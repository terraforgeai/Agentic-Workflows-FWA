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 ACTIVE" sheetId="1" r:id="rId4"/>
    <sheet state="visible" name="2025 enquiries" sheetId="2" r:id="rId5"/>
    <sheet state="visible" name="NYATHI" sheetId="3" r:id="rId6"/>
    <sheet state="visible" name="BAKERS INN" sheetId="4" r:id="rId7"/>
    <sheet state="visible" name="DAVE" sheetId="5" r:id="rId8"/>
    <sheet state="visible" name="2024" sheetId="6" r:id="rId9"/>
    <sheet state="visible" name="SANDRA" sheetId="7" r:id="rId10"/>
    <sheet state="visible" name="POTENTIALS CLIENTS" sheetId="8" r:id="rId11"/>
    <sheet state="visible" name="EDGARS DELIVERIES 2024" sheetId="9" r:id="rId12"/>
    <sheet state="visible" name="BVR MASTER" sheetId="10" r:id="rId13"/>
    <sheet state="visible" name="AFRICAN THREADS" sheetId="11" r:id="rId14"/>
    <sheet state="visible" name="EDGARS GOLF SHIRTS" sheetId="12" r:id="rId15"/>
    <sheet state="visible" name="EDGARS CAPS" sheetId="13" r:id="rId16"/>
    <sheet state="visible" name="Mukuru 2024" sheetId="14" r:id="rId17"/>
    <sheet state="visible" name="prokel" sheetId="15" r:id="rId18"/>
    <sheet state="visible" name="CURRENT" sheetId="16" r:id="rId19"/>
    <sheet state="visible" name="COMPLETED" sheetId="17" r:id="rId20"/>
    <sheet state="visible" name="ALL CUSTOMERS" sheetId="18" r:id="rId21"/>
  </sheets>
  <definedNames>
    <definedName hidden="1" localSheetId="0" name="_xlnm._FilterDatabase">'2025 ACTIVE'!$B$5:$Q$393</definedName>
    <definedName hidden="1" localSheetId="1" name="_xlnm._FilterDatabase">'2025 enquiries'!$B$5:$Q$303</definedName>
    <definedName hidden="1" localSheetId="5" name="_xlnm._FilterDatabase">'2024'!$B$5:$P$78</definedName>
    <definedName hidden="1" localSheetId="8" name="_xlnm._FilterDatabase">'EDGARS DELIVERIES 2024'!$F$1:$G$1000</definedName>
    <definedName hidden="1" localSheetId="0" name="Z_DF98F3F8_A947_45F8_9F11_6D24AAA20C2A_.wvu.FilterData">'2025 ACTIVE'!$B$5:$Q$393</definedName>
    <definedName hidden="1" localSheetId="1" name="Z_DF98F3F8_A947_45F8_9F11_6D24AAA20C2A_.wvu.FilterData">'2025 enquiries'!$B$5:$Q$303</definedName>
    <definedName hidden="1" localSheetId="0" name="Z_0D23F570_5269_498A_927E_5520934A5A24_.wvu.FilterData">'2025 ACTIVE'!$B$5:$Q$393</definedName>
    <definedName hidden="1" localSheetId="1" name="Z_0D23F570_5269_498A_927E_5520934A5A24_.wvu.FilterData">'2025 enquiries'!$B$5:$Q$303</definedName>
    <definedName hidden="1" localSheetId="0" name="Z_3328504C_575E_4CD0_B39A_D5CD151BADBA_.wvu.FilterData">'2025 ACTIVE'!$B$4:$Q$393</definedName>
    <definedName hidden="1" localSheetId="1" name="Z_3328504C_575E_4CD0_B39A_D5CD151BADBA_.wvu.FilterData">'2025 enquiries'!$B$4:$Q$303</definedName>
    <definedName hidden="1" localSheetId="5" name="Z_3328504C_575E_4CD0_B39A_D5CD151BADBA_.wvu.FilterData">'2024'!$B$4:$P$78</definedName>
  </definedNames>
  <calcPr/>
  <customWorkbookViews>
    <customWorkbookView activeSheetId="0" maximized="1" windowHeight="0" windowWidth="0" guid="{DF98F3F8-A947-45F8-9F11-6D24AAA20C2A}" name="fwa"/>
    <customWorkbookView activeSheetId="0" maximized="1" windowHeight="0" windowWidth="0" guid="{0D23F570-5269-498A-927E-5520934A5A24}" name="LVR"/>
    <customWorkbookView activeSheetId="0" maximized="1" windowHeight="0" windowWidth="0" guid="{3328504C-575E-4CD0-B39A-D5CD151BADBA}" name="Sorted by Delivery Date"/>
  </customWorkbookViews>
</workbook>
</file>

<file path=xl/sharedStrings.xml><?xml version="1.0" encoding="utf-8"?>
<sst xmlns="http://schemas.openxmlformats.org/spreadsheetml/2006/main" count="5180" uniqueCount="1911">
  <si>
    <t>ACTIVE ORDERS</t>
  </si>
  <si>
    <t>FW Order Management</t>
  </si>
  <si>
    <t>PAYMENT</t>
  </si>
  <si>
    <t>NEED ATTENTION</t>
  </si>
  <si>
    <t>Process Checklist</t>
  </si>
  <si>
    <t>Notes</t>
  </si>
  <si>
    <t>Order
Number</t>
  </si>
  <si>
    <t>Order
Date</t>
  </si>
  <si>
    <t>Company
Name</t>
  </si>
  <si>
    <t>Company
Contact</t>
  </si>
  <si>
    <t>Contact Number</t>
  </si>
  <si>
    <t>Assigned to:
(Point Man)</t>
  </si>
  <si>
    <t>Delivery
Date</t>
  </si>
  <si>
    <t>Product</t>
  </si>
  <si>
    <t>Status</t>
  </si>
  <si>
    <t>Quotation</t>
  </si>
  <si>
    <t>Fabric</t>
  </si>
  <si>
    <t>Making/ outsource</t>
  </si>
  <si>
    <t>Branding</t>
  </si>
  <si>
    <t>Fiscal</t>
  </si>
  <si>
    <t>Payment</t>
  </si>
  <si>
    <t>Simbisa</t>
  </si>
  <si>
    <t>Mako</t>
  </si>
  <si>
    <t>TAF</t>
  </si>
  <si>
    <t>Shirts</t>
  </si>
  <si>
    <t>Completed</t>
  </si>
  <si>
    <t>Probottlers</t>
  </si>
  <si>
    <t>Munashe</t>
  </si>
  <si>
    <t>BVR</t>
  </si>
  <si>
    <t xml:space="preserve">RED TSHIRTS TO COME </t>
  </si>
  <si>
    <t xml:space="preserve">AWAITING PAYMENT </t>
  </si>
  <si>
    <t>01 Sept 2024</t>
  </si>
  <si>
    <t>Prime Grow</t>
  </si>
  <si>
    <t>Tantswa</t>
  </si>
  <si>
    <t>branding shirts</t>
  </si>
  <si>
    <t>Branding At Taf</t>
  </si>
  <si>
    <t>NEC Bricks</t>
  </si>
  <si>
    <t>Brenda</t>
  </si>
  <si>
    <t>Uniforms</t>
  </si>
  <si>
    <t>Save Valley</t>
  </si>
  <si>
    <t>Nikki</t>
  </si>
  <si>
    <t>160 balance</t>
  </si>
  <si>
    <t xml:space="preserve">African threads - printing Roni - </t>
  </si>
  <si>
    <t>Cafe Nush</t>
  </si>
  <si>
    <t>Tara</t>
  </si>
  <si>
    <t>LVR</t>
  </si>
  <si>
    <t>20 Caps</t>
  </si>
  <si>
    <t>Frampol</t>
  </si>
  <si>
    <t>3 shirts</t>
  </si>
  <si>
    <t>Branding at Taf</t>
  </si>
  <si>
    <t xml:space="preserve">Africa parks / Matusadona </t>
  </si>
  <si>
    <t>Jo</t>
  </si>
  <si>
    <t>Shirts are at Texcolour with Gena</t>
  </si>
  <si>
    <t>West Prop</t>
  </si>
  <si>
    <t>Paul</t>
  </si>
  <si>
    <t>37 White golfers</t>
  </si>
  <si>
    <t>Branding at Dave / waiting payment</t>
  </si>
  <si>
    <t>Isuzu</t>
  </si>
  <si>
    <t>Sebastian</t>
  </si>
  <si>
    <t>Sublimated shirts</t>
  </si>
  <si>
    <t>At sandras then to texcolour for branding</t>
  </si>
  <si>
    <t>Tikki Hywood</t>
  </si>
  <si>
    <t>60 Shirts</t>
  </si>
  <si>
    <t>sandra to make  / BVR artworks to roni</t>
  </si>
  <si>
    <t>Fneil</t>
  </si>
  <si>
    <t>Teo</t>
  </si>
  <si>
    <t xml:space="preserve">TSHIRTS BALANCE IN BRANDING </t>
  </si>
  <si>
    <t>LAST TSHIRTS AT DAVE FOR BRANDING</t>
  </si>
  <si>
    <t>Zimworks</t>
  </si>
  <si>
    <t>Bornwell</t>
  </si>
  <si>
    <t>90 shirts</t>
  </si>
  <si>
    <t>printed by roni</t>
  </si>
  <si>
    <t>Waterwright</t>
  </si>
  <si>
    <t>Lauren</t>
  </si>
  <si>
    <t>Bush shirts</t>
  </si>
  <si>
    <t>Branding to Kutaura</t>
  </si>
  <si>
    <t>Vic Falls Saf Lodge</t>
  </si>
  <si>
    <t>Nommy</t>
  </si>
  <si>
    <t>Making shirts</t>
  </si>
  <si>
    <t>Cell Insurance</t>
  </si>
  <si>
    <t>Vimbai</t>
  </si>
  <si>
    <t>sample to go for approval</t>
  </si>
  <si>
    <t>Oncology</t>
  </si>
  <si>
    <t>Theo</t>
  </si>
  <si>
    <t>sizes - making at amai</t>
  </si>
  <si>
    <t>Mukuru</t>
  </si>
  <si>
    <t>Chelsea</t>
  </si>
  <si>
    <t>4994 shirts</t>
  </si>
  <si>
    <t>Safari Trading co</t>
  </si>
  <si>
    <t>Robbie</t>
  </si>
  <si>
    <t>Caps</t>
  </si>
  <si>
    <t>AWAITING DELIVERY</t>
  </si>
  <si>
    <t>900 shirts</t>
  </si>
  <si>
    <t>Cafe Nush on the Go</t>
  </si>
  <si>
    <t>Abed</t>
  </si>
  <si>
    <t>10 caps - New logo</t>
  </si>
  <si>
    <t>Branding at Kutaura / frank will deliver caps to kutaura</t>
  </si>
  <si>
    <t>Brown Engineering</t>
  </si>
  <si>
    <t>Kevin</t>
  </si>
  <si>
    <t>200 Caps</t>
  </si>
  <si>
    <t xml:space="preserve"> Sampling at Headwear / PAYMENT DONE</t>
  </si>
  <si>
    <t xml:space="preserve">10 Sept </t>
  </si>
  <si>
    <t>NETONE NEW</t>
  </si>
  <si>
    <t>850 tshirts</t>
  </si>
  <si>
    <t>SENT Quote 11 sept</t>
  </si>
  <si>
    <t>10 Sept</t>
  </si>
  <si>
    <t>Jess Parham</t>
  </si>
  <si>
    <t>Jess</t>
  </si>
  <si>
    <t>caps</t>
  </si>
  <si>
    <t>Branding at Texcolour</t>
  </si>
  <si>
    <t>Bakers Inn BIBS</t>
  </si>
  <si>
    <t>Emma</t>
  </si>
  <si>
    <t>Salty</t>
  </si>
  <si>
    <t>Alex</t>
  </si>
  <si>
    <t>11 Sept</t>
  </si>
  <si>
    <t>Pitstop</t>
  </si>
  <si>
    <t>Caps, golf shirts</t>
  </si>
  <si>
    <t>Golf shirts to BVR , Caps to TEXCOLOUR</t>
  </si>
  <si>
    <t>1 Sept 2024</t>
  </si>
  <si>
    <t xml:space="preserve">Runyanga </t>
  </si>
  <si>
    <t>Hoodies, shirts</t>
  </si>
  <si>
    <t>16 SEPT 2024</t>
  </si>
  <si>
    <t>SALTY</t>
  </si>
  <si>
    <t>ALEX</t>
  </si>
  <si>
    <t xml:space="preserve">tshirts </t>
  </si>
  <si>
    <t>Tshirts are at african threads then onto Roni for printing</t>
  </si>
  <si>
    <t>16 sept 2024</t>
  </si>
  <si>
    <t>Edgars tshirt</t>
  </si>
  <si>
    <t>GONE TO BRANDING WITH RONI</t>
  </si>
  <si>
    <t>Lasher Tools</t>
  </si>
  <si>
    <t>Ben</t>
  </si>
  <si>
    <t>Golf Shirts</t>
  </si>
  <si>
    <t>Branding at Kutaura</t>
  </si>
  <si>
    <t>23 Sept 2024</t>
  </si>
  <si>
    <t>TruCut</t>
  </si>
  <si>
    <t>26 Sept 2024</t>
  </si>
  <si>
    <t xml:space="preserve">Dirt Box </t>
  </si>
  <si>
    <t>10 caps</t>
  </si>
  <si>
    <t>STRIDERS</t>
  </si>
  <si>
    <t>7 shirts</t>
  </si>
  <si>
    <t>Chisi Hoodies - juniors</t>
  </si>
  <si>
    <t>Josie</t>
  </si>
  <si>
    <t>40 mediums</t>
  </si>
  <si>
    <t>Chisi Hoodies - seniors</t>
  </si>
  <si>
    <t xml:space="preserve">20 smalls, 20 med WITH BLACK </t>
  </si>
  <si>
    <t>Chisi Hoodies - STAFF</t>
  </si>
  <si>
    <t>65 with lime green</t>
  </si>
  <si>
    <t>SATIB</t>
  </si>
  <si>
    <t>Rachel</t>
  </si>
  <si>
    <t xml:space="preserve">5 shirts </t>
  </si>
  <si>
    <t>Branding at Dave</t>
  </si>
  <si>
    <t>Steel Wareouse</t>
  </si>
  <si>
    <t>50 golfers</t>
  </si>
  <si>
    <t xml:space="preserve">ROSSI </t>
  </si>
  <si>
    <t>PAUL</t>
  </si>
  <si>
    <t>pilot Shirts</t>
  </si>
  <si>
    <t>Mr Chingwa</t>
  </si>
  <si>
    <t>EMMA</t>
  </si>
  <si>
    <t>20 chinos, 40 golf shirts, soft shells</t>
  </si>
  <si>
    <t>River of Life</t>
  </si>
  <si>
    <t>Charlotte</t>
  </si>
  <si>
    <t>100 Tshirts</t>
  </si>
  <si>
    <t>Probrands</t>
  </si>
  <si>
    <t>MIKE</t>
  </si>
  <si>
    <t xml:space="preserve"> 10 smart shirts</t>
  </si>
  <si>
    <t>manzi Houseboat</t>
  </si>
  <si>
    <t>Wendy</t>
  </si>
  <si>
    <t>t's , golf shirts, caps, pilot shirts, chino shorts</t>
  </si>
  <si>
    <t>Bishoplea School</t>
  </si>
  <si>
    <t>50 Golf Shirts</t>
  </si>
  <si>
    <t>EDGARS GOLF DAY</t>
  </si>
  <si>
    <t>OILMARK</t>
  </si>
  <si>
    <t>VARIOUS UNIFORM</t>
  </si>
  <si>
    <t>Didnt get job</t>
  </si>
  <si>
    <t>AMCOTTS</t>
  </si>
  <si>
    <t>80 TSHIRTS</t>
  </si>
  <si>
    <t>SUNRISE</t>
  </si>
  <si>
    <t>VINAY</t>
  </si>
  <si>
    <t>CAPS AND BRANDING</t>
  </si>
  <si>
    <t>Old Mututal</t>
  </si>
  <si>
    <t>Pro Bottlers</t>
  </si>
  <si>
    <t>Viola</t>
  </si>
  <si>
    <t>150 T shirts left over</t>
  </si>
  <si>
    <t>Europcar</t>
  </si>
  <si>
    <t>Sharmaine</t>
  </si>
  <si>
    <t>32 ladies, 32 mens golfers</t>
  </si>
  <si>
    <t>Bishoplea Gala</t>
  </si>
  <si>
    <t>Blessing</t>
  </si>
  <si>
    <t>Harare Int School</t>
  </si>
  <si>
    <t>FHI</t>
  </si>
  <si>
    <t>23 Shirts</t>
  </si>
  <si>
    <t>Damara</t>
  </si>
  <si>
    <t>Caps, hats, umbrellas</t>
  </si>
  <si>
    <t>RBZ</t>
  </si>
  <si>
    <t>SHORTS</t>
  </si>
  <si>
    <t>ZNBF</t>
  </si>
  <si>
    <t>13 navy CAPS</t>
  </si>
  <si>
    <t>europcar</t>
  </si>
  <si>
    <t>SHARMAINE</t>
  </si>
  <si>
    <t>re branding new logo - 60 shirts / CAPS</t>
  </si>
  <si>
    <t>SALTY NOV SHORTS</t>
  </si>
  <si>
    <t>360 shorts - sandra</t>
  </si>
  <si>
    <t>SALTY NOV CAPS</t>
  </si>
  <si>
    <t>SALTY NOV BAGS</t>
  </si>
  <si>
    <t>at Dave for branding</t>
  </si>
  <si>
    <t>SALTY NOV TEES</t>
  </si>
  <si>
    <t>CHISIPITE JUNIOR SCHOOL</t>
  </si>
  <si>
    <t>Ally</t>
  </si>
  <si>
    <t>53 HOODIES</t>
  </si>
  <si>
    <t>IMARA</t>
  </si>
  <si>
    <t>SPIWE</t>
  </si>
  <si>
    <t>Grey Golfers left</t>
  </si>
  <si>
    <t>waiting for grey fabric -GREY MENS S-2,M-9, L- 2,XL-3, XXL-1, 3XL -1 = 18 LADIES S-2, M-7, L-7, XL-2,XXL-1 = 19</t>
  </si>
  <si>
    <t>DULUX</t>
  </si>
  <si>
    <t>SHIRTS LEFT</t>
  </si>
  <si>
    <t>all shirts to be delivered by 6 March</t>
  </si>
  <si>
    <t xml:space="preserve">EUROPCAR </t>
  </si>
  <si>
    <t>ECB</t>
  </si>
  <si>
    <t>Lucky</t>
  </si>
  <si>
    <t>100 golf shirts - TALIS MINING</t>
  </si>
  <si>
    <t>DA MOTORS</t>
  </si>
  <si>
    <t>300 WHITE &amp;  54 BLACK  GOLFERS</t>
  </si>
  <si>
    <t>White - S-22, M- 60, L - 120, XL- 60, XXL - 24, 3XL - 10, 4 XL - 4  = 300 / BLACK L- 12, XL - 12, XXL - 20, XXXL 10 - 54  - BALANCE  - 22 BLACK SANDRA MAKING</t>
  </si>
  <si>
    <t>NEED TO TAKE TO DAVE TO DAY</t>
  </si>
  <si>
    <t>LANBEC Developers</t>
  </si>
  <si>
    <t>Justin Becker</t>
  </si>
  <si>
    <t>10 Golfers</t>
  </si>
  <si>
    <t xml:space="preserve">Rooneys </t>
  </si>
  <si>
    <t>Niall Rooney</t>
  </si>
  <si>
    <t>100  Caps</t>
  </si>
  <si>
    <t>Global Imaging</t>
  </si>
  <si>
    <t>TBA LVR</t>
  </si>
  <si>
    <t>10 Caps / 10 Golfers</t>
  </si>
  <si>
    <t>ON HOLD FOR NW</t>
  </si>
  <si>
    <t>complete</t>
  </si>
  <si>
    <t>400 Tshirts - OLD PAYMENT</t>
  </si>
  <si>
    <t>s-3,m-6,l-13,xl-11,xxl-4,3xl-6, grey melange fancy</t>
  </si>
  <si>
    <t>Foundations for Farming</t>
  </si>
  <si>
    <t>Hazel</t>
  </si>
  <si>
    <t>300 shirts and Hats</t>
  </si>
  <si>
    <t>hats at dave , thsirts follow , roni has artworks up shepard d</t>
  </si>
  <si>
    <t>TBA</t>
  </si>
  <si>
    <t>2000 shirts and Hats m-200,L-1600,xl-200</t>
  </si>
  <si>
    <t>DAMARA</t>
  </si>
  <si>
    <t xml:space="preserve">44 Golf Shirts </t>
  </si>
  <si>
    <t xml:space="preserve">Adding 4 more golf shirts </t>
  </si>
  <si>
    <t>Am Bus and truck</t>
  </si>
  <si>
    <t>Peter</t>
  </si>
  <si>
    <t>delivered</t>
  </si>
  <si>
    <t>8 Button Through and 40 Fishing shirts</t>
  </si>
  <si>
    <t>Zimbabwe Gun Club</t>
  </si>
  <si>
    <t>Shawn</t>
  </si>
  <si>
    <t>`golf Shirts and button through Shirts</t>
  </si>
  <si>
    <t>s-3,m-6,l-13,xl-11,xxl-4,3xl-6,  grey melange fancy /and Kish fabric</t>
  </si>
  <si>
    <t>NAVY 810 tshirts</t>
  </si>
  <si>
    <t>S-91, M-150 , L- 226, XL- 192, XXL- 99,  3XL -44, 4XL -18, 5XL  -1 = 821 / AFRICAN THREADS MAKING/  BVR ARTWROKAND RONI PRINTING</t>
  </si>
  <si>
    <t>Royal Harare</t>
  </si>
  <si>
    <t>Plan</t>
  </si>
  <si>
    <t>WAITING BLACK CHINOS &amp; WHITE SHIRTS</t>
  </si>
  <si>
    <t>chinos solved, remaining shirts in branding,</t>
  </si>
  <si>
    <t>Raymond</t>
  </si>
  <si>
    <t>EZY track</t>
  </si>
  <si>
    <t>Grant Weare</t>
  </si>
  <si>
    <t>25 Golfers - Fabric - charcoal melange</t>
  </si>
  <si>
    <t>14 Small, 6 medium, 5 Large</t>
  </si>
  <si>
    <t>Dulux</t>
  </si>
  <si>
    <t>250 Navy Tshirts</t>
  </si>
  <si>
    <t>Pro Brands</t>
  </si>
  <si>
    <t>Glenda</t>
  </si>
  <si>
    <t>tba</t>
  </si>
  <si>
    <t>12 golfers, 12 long sleeve shirts</t>
  </si>
  <si>
    <t>Didnt get job, ON HOLD FOR NW</t>
  </si>
  <si>
    <t>PRO VOLT</t>
  </si>
  <si>
    <t xml:space="preserve">MIKE </t>
  </si>
  <si>
    <t>ADJUSTED SHIRT Plus 2 black golfers plus caps</t>
  </si>
  <si>
    <t>20 BASIC GOLFERS (10 GREY 10 BLACK) $18 ,18 HIGHEND WORSUITS $ 45 ,10 SAFETY $35 SHOES, 9 HATS $12,8 BASIC CAPS $6.50,4(2-xl  CHAR, 2-xl NAVY) FANCY GOLFER $25,24 SA CAP S19601 $10 PAID DEPOSIT - NEED FINAL INVOICE</t>
  </si>
  <si>
    <t>NEED TO REPLACE 2 LARGE GOLF SHIRTS BASIC, FANCY GOLF SHIRTS TO BE DELIVERED TODAY, ALSO AWAITING CAPS FROM SA</t>
  </si>
  <si>
    <t>chisi hoodies</t>
  </si>
  <si>
    <t>Josie Melvin</t>
  </si>
  <si>
    <t>Junior Hoodies XS-20 , S-20 / Senior Hoodies XS  -10, S - 20, M - 10</t>
  </si>
  <si>
    <t>ISUZU</t>
  </si>
  <si>
    <t>SEB</t>
  </si>
  <si>
    <t>22 SUBLIMATED GOLFERS/ DTF ISUZU AND AUTOWORLD GENA</t>
  </si>
  <si>
    <t>TRAIL BLAZERS/ ISUZU</t>
  </si>
  <si>
    <t>KISH</t>
  </si>
  <si>
    <t>22 SHIRTS - DELIVERED need another 2 KISH AND THEN DTF TEXCOLOR</t>
  </si>
  <si>
    <t>Convent School</t>
  </si>
  <si>
    <t>Tecla</t>
  </si>
  <si>
    <t>Sampling African threads</t>
  </si>
  <si>
    <t>Client not forthcoming re branding</t>
  </si>
  <si>
    <t>St Ignatius</t>
  </si>
  <si>
    <t>Fadza</t>
  </si>
  <si>
    <t>10 Golf shirts</t>
  </si>
  <si>
    <t>TSC</t>
  </si>
  <si>
    <t>Portia</t>
  </si>
  <si>
    <t>20 tshirts</t>
  </si>
  <si>
    <t>Fleish meats</t>
  </si>
  <si>
    <t>Darlington/</t>
  </si>
  <si>
    <t>caps required buckle back navy ex frank</t>
  </si>
  <si>
    <t>Keepnet</t>
  </si>
  <si>
    <t>Roxy</t>
  </si>
  <si>
    <t>25 uflex cap catalogue</t>
  </si>
  <si>
    <t>74 navy golf shirts - some ladies some mens, 26 navy soft shell jackets  - SEE sizes at end</t>
  </si>
  <si>
    <t>Soft Shell NAVY Ladies  (9)- S-2, M-2, L-4, 2XL -1, Soft Shell NAVY Mens (17) - S-2, M- 5, L-6, XL - 1, 2XL -1, 3XL - 2</t>
  </si>
  <si>
    <t>Race Shirts Black - S-8, M-18, L - 24, 2XL - 8, 3 XL - 4 = 62</t>
  </si>
  <si>
    <t>GOLF SHIRTS NAVY LADIES - S-4, M- 16, 2xl - 4, 3xl - 4 = 28</t>
  </si>
  <si>
    <t xml:space="preserve">Royal Harare </t>
  </si>
  <si>
    <t>52 worksuits and top up golf shirts 10</t>
  </si>
  <si>
    <t xml:space="preserve">Worksuits ,golfshirts and khaki chinos delivered </t>
  </si>
  <si>
    <t>GOLF SHIRTS NAVY MENS - S-4, M- 17, L - 12, XL -4, 2xl - 6, 3xl - 3 = 46</t>
  </si>
  <si>
    <t>Three Monkeys</t>
  </si>
  <si>
    <t xml:space="preserve"> 18 short sleeve SHIRTS / 5 long sleeve   AND  150 CAPS from SA</t>
  </si>
  <si>
    <t>COMPLETE</t>
  </si>
  <si>
    <t>23 WHITE GOLFERS / 13 NAVY GOLFERS</t>
  </si>
  <si>
    <t>TEDDY</t>
  </si>
  <si>
    <t>100 KIDS TSHIRTS</t>
  </si>
  <si>
    <t>Val Martin Physio</t>
  </si>
  <si>
    <t>Val</t>
  </si>
  <si>
    <t>NAVY MENS S-2, L-3, XL- 1, NAVY LADIES S-4, M-14, XL- 8, CHARCOAL LADIES M-4, XXL- 2, CHAR MENS L- 2</t>
  </si>
  <si>
    <t>Paid deposit</t>
  </si>
  <si>
    <t>Capital Foods</t>
  </si>
  <si>
    <t>Nicky Dawson</t>
  </si>
  <si>
    <t xml:space="preserve">25 Khaki Mens shirts S-10, M- 15,  / Ladies Blouses Khaki 14x2, 16x6, 18x8, 20 x4 - </t>
  </si>
  <si>
    <t>Arundel School</t>
  </si>
  <si>
    <t>Hoodies</t>
  </si>
  <si>
    <t>Ruzawi Soccer Kit Donation</t>
  </si>
  <si>
    <t>Tayne</t>
  </si>
  <si>
    <t xml:space="preserve">30 KIDS TSHIRTS in 2colours  - 15 each per colour  / amai in trilobal 11-12yrs - 7 13-14yrs - 8 in each colour - emerald green and orange - 30 orange caps trucker - at office </t>
  </si>
  <si>
    <t>Aqua Harvest</t>
  </si>
  <si>
    <t>Matetsi ( mist mountain safaris )</t>
  </si>
  <si>
    <t>Juanita Strydom</t>
  </si>
  <si>
    <t>25 Caps from sa  &amp; 25Caps @ genas</t>
  </si>
  <si>
    <t>Malilangwe</t>
  </si>
  <si>
    <t>Sonya</t>
  </si>
  <si>
    <t xml:space="preserve"> 28 Olive Skirts and Olive Fleece</t>
  </si>
  <si>
    <t>Agrifalcon</t>
  </si>
  <si>
    <t>Brett</t>
  </si>
  <si>
    <t>10 Shirts and  5caps</t>
  </si>
  <si>
    <t>EDGARS SHORTS</t>
  </si>
  <si>
    <t>branding by DTF with Much</t>
  </si>
  <si>
    <t>EZY TRACK</t>
  </si>
  <si>
    <t>Grant</t>
  </si>
  <si>
    <t>50 caps at dave , golf shirts</t>
  </si>
  <si>
    <t>M- 5, l- 15, xl - 5, 2xl - 3, 3 xl - 2 = 30 golfers  -sandra to make</t>
  </si>
  <si>
    <t>SKY RUN</t>
  </si>
  <si>
    <t>Far and wide</t>
  </si>
  <si>
    <t>CLARK PROPERTIES</t>
  </si>
  <si>
    <t>VANESSA</t>
  </si>
  <si>
    <t xml:space="preserve">11 golf shirts black </t>
  </si>
  <si>
    <t>PETERHOUSE GOLFERS</t>
  </si>
  <si>
    <t xml:space="preserve">Safari trading co </t>
  </si>
  <si>
    <t xml:space="preserve">Bridge </t>
  </si>
  <si>
    <t xml:space="preserve">Tshirts </t>
  </si>
  <si>
    <t>BAKERS INN</t>
  </si>
  <si>
    <t>54 Cargo trousers</t>
  </si>
  <si>
    <t>SEALMAN</t>
  </si>
  <si>
    <t>30 CAPS</t>
  </si>
  <si>
    <t>Shorts</t>
  </si>
  <si>
    <t>Fabric bought and gone to Sandra for production, branding then to Kutaura</t>
  </si>
  <si>
    <t xml:space="preserve">St Ignatious </t>
  </si>
  <si>
    <t>2 golf shirts</t>
  </si>
  <si>
    <t>BROWNS ENGINEERING</t>
  </si>
  <si>
    <t>CHARLENE</t>
  </si>
  <si>
    <t>ready</t>
  </si>
  <si>
    <t>100 CAPS</t>
  </si>
  <si>
    <t>Lucile real estate</t>
  </si>
  <si>
    <t>LUCILE 0777 055172</t>
  </si>
  <si>
    <t>30 NAVY GOLF SHIRT - Lucile XL-10, XXL- 10 / MDA L-5, XL- 5</t>
  </si>
  <si>
    <t>PAID $480</t>
  </si>
  <si>
    <t>Fneil &amp; Sons</t>
  </si>
  <si>
    <t>110 golf shirts  , 45 round neck tshirts</t>
  </si>
  <si>
    <t>golf shirts M-20, L - 40, XL- 20, XXL- 20, 3XL- 10 =110 / ROUND neck T'/s M-10, L-25, XL-5, XXL- 5</t>
  </si>
  <si>
    <t>AnimalFriend Foundation</t>
  </si>
  <si>
    <t>Lorna 0777529371</t>
  </si>
  <si>
    <t>200 meters royal blue trilobal - DTF BRANDING</t>
  </si>
  <si>
    <t xml:space="preserve">PAID 800 / MADE AT AMAI THEN BRAND TEX COLOUR S-30, M- 45, L- 45, XL -30, XXL - 15, 3XL - 10  = 175 THIN BINDING FRONT  / THICK BACK - SKY RUN SHIRT </t>
  </si>
  <si>
    <t>Kimia 0788696249</t>
  </si>
  <si>
    <t>Grey Golfers Ladies  - S- 3, M- 6, L- 1, XL- 1, MENS - M-10, L- 5, XL - 4 - TOTAL 30</t>
  </si>
  <si>
    <t>sanders OPTOMERTRIST</t>
  </si>
  <si>
    <t>Farai 0772936147</t>
  </si>
  <si>
    <t>to see Taf</t>
  </si>
  <si>
    <t>limbo</t>
  </si>
  <si>
    <t>Zim judo</t>
  </si>
  <si>
    <t>Tapiwa 0785833221</t>
  </si>
  <si>
    <t xml:space="preserve">30 tracksuits, 30 shorts, 30 tshirts </t>
  </si>
  <si>
    <t>Harare international school</t>
  </si>
  <si>
    <t>todd</t>
  </si>
  <si>
    <t>120  fabric kish golfers DONE, girls shorts DONE, boys shorts / boys golf shorts</t>
  </si>
  <si>
    <t>Golf shirts cut by kish and to be sewn by sandra /  girls shorts xs-30, s-30, m-20, l-10, xl- 10 = 100 sandra to cut  / black golf shorts - sandra to make sample - sz26-5, 28-10, 30-15, 32-15, 34-10, 36-5 = 60 / boys tennis shorts - xxs-5, xs-10, s -15, m- 15, l-10, xl - 5 = 60 / golf shirts xs-20, s-30, m-30, l- 20 - xl-10, xxl-10 = 120</t>
  </si>
  <si>
    <t>Triathlon</t>
  </si>
  <si>
    <t>Black Hoodies x 22 XS-1, S - 6, m- 14, L - 1</t>
  </si>
  <si>
    <t>EDGARS TSHIRTS</t>
  </si>
  <si>
    <t>bvr to send dtf to Liberty</t>
  </si>
  <si>
    <t>st johns golf</t>
  </si>
  <si>
    <t>sublimated shirts x 3 , grey shirts x 8, caps x 8</t>
  </si>
  <si>
    <t>4x4</t>
  </si>
  <si>
    <t>smple made need sbranding</t>
  </si>
  <si>
    <t>FOUNDATIONS for Farming</t>
  </si>
  <si>
    <t xml:space="preserve"> 4 FLAGS FROM CHRIS FLAGS  </t>
  </si>
  <si>
    <t>HIS HOODIES</t>
  </si>
  <si>
    <t xml:space="preserve">Diana 078  204 0782 / </t>
  </si>
  <si>
    <t>black hoodies - xs-3, s-8, m-9, l-15, xl-5,xxl-1 = 41</t>
  </si>
  <si>
    <t xml:space="preserve">branding at roni, needs to go texcolour dtf and dave embroidery delivery 16th april - </t>
  </si>
  <si>
    <t>Econet</t>
  </si>
  <si>
    <t>Tatenda</t>
  </si>
  <si>
    <t>done</t>
  </si>
  <si>
    <t>Samples to Tatenda</t>
  </si>
  <si>
    <t>await tatenda</t>
  </si>
  <si>
    <t>Bakers Inn</t>
  </si>
  <si>
    <t>Glenys</t>
  </si>
  <si>
    <t>50 golfers - 25 navyBAKERS INN  25 grey MR CHINGWA</t>
  </si>
  <si>
    <t>MAR</t>
  </si>
  <si>
    <t>21/08</t>
  </si>
  <si>
    <t>400 golf shirts - long service 250 navy 150 grey</t>
  </si>
  <si>
    <t>Paragon</t>
  </si>
  <si>
    <t>Mark Sthrathen</t>
  </si>
  <si>
    <t>300 royal Tshirts</t>
  </si>
  <si>
    <t>Halsteds</t>
  </si>
  <si>
    <t xml:space="preserve">Rachel </t>
  </si>
  <si>
    <t>1000 Golf Shirts</t>
  </si>
  <si>
    <t>await feedbackf rom messages</t>
  </si>
  <si>
    <t>100 Hats</t>
  </si>
  <si>
    <t>Springvale</t>
  </si>
  <si>
    <t>Rich</t>
  </si>
  <si>
    <t xml:space="preserve">85 GOLFERS 85 CAPS </t>
  </si>
  <si>
    <t>LADIES S-2, M-14, L-19, XL-4, XXL-1 = 40 , MENS M-10, L- 11, XL - 16, XXL-6, XXXL - 1, 4XL -1 - 45 SHIRTS  / branding DTF texcolour</t>
  </si>
  <si>
    <t>imire</t>
  </si>
  <si>
    <t>on route</t>
  </si>
  <si>
    <t>HEALTH at home</t>
  </si>
  <si>
    <t>Charmaine</t>
  </si>
  <si>
    <t xml:space="preserve">30 caps </t>
  </si>
  <si>
    <t xml:space="preserve">Tatu Capital </t>
  </si>
  <si>
    <t>2000 polyester Shirts - 1000 kids / 1000 adults</t>
  </si>
  <si>
    <t>ADULTS  -S-150, M- 300, L- 300, XL - 150, 2XL - 100 = 1000      KIDS 7-8 YRS -200, 8-9YRS - 200, 9-10 YRS-200, 10-11 YRS - 200, 11-12 YRS - 200 = 1000   threads for sewing 8/4/2025</t>
  </si>
  <si>
    <t>Lauren 0777284128</t>
  </si>
  <si>
    <t xml:space="preserve">caps </t>
  </si>
  <si>
    <t>sa camo and bennies to dave and trucker tex colour they have artwork. delivery friday</t>
  </si>
  <si>
    <t xml:space="preserve">Mututal Finance </t>
  </si>
  <si>
    <t>10 MEDIUM L/S SHIRTS WITH BRANDING</t>
  </si>
  <si>
    <t>white shirts - 10</t>
  </si>
  <si>
    <t>Hwange Power Station</t>
  </si>
  <si>
    <t>Ernst 0773 196700</t>
  </si>
  <si>
    <t>showed various samples</t>
  </si>
  <si>
    <t>meet</t>
  </si>
  <si>
    <t>HIS Sublimated shirts</t>
  </si>
  <si>
    <t xml:space="preserve">TODD </t>
  </si>
  <si>
    <t xml:space="preserve">27 sublimtaed soccer shirts - to be made by amai </t>
  </si>
  <si>
    <t>done at amai</t>
  </si>
  <si>
    <t>HIS KAREN</t>
  </si>
  <si>
    <t>KAREN</t>
  </si>
  <si>
    <t xml:space="preserve">  black T's S-17, M- 7, L - 2, XL - 2  = 28</t>
  </si>
  <si>
    <t>done at tex</t>
  </si>
  <si>
    <t xml:space="preserve">HIS STEM </t>
  </si>
  <si>
    <t>Todd</t>
  </si>
  <si>
    <t>BLACK T SHIRTS S-3, M- 6, ;L- 3, XXL - 1 = 13</t>
  </si>
  <si>
    <t>OpenIT</t>
  </si>
  <si>
    <t>jackets etc</t>
  </si>
  <si>
    <t>TAITA TYRES</t>
  </si>
  <si>
    <t>KIM</t>
  </si>
  <si>
    <t>Mens and ladies golf shirts</t>
  </si>
  <si>
    <t>Midlands Acres</t>
  </si>
  <si>
    <t>$9.50 ex vat awaiyting qty and size breakdown</t>
  </si>
  <si>
    <t>PETERHOUSE CAPS</t>
  </si>
  <si>
    <t>Doug 0772377383</t>
  </si>
  <si>
    <t xml:space="preserve">20 caps </t>
  </si>
  <si>
    <t>HIS GOLFERS</t>
  </si>
  <si>
    <t>CONSTANCE</t>
  </si>
  <si>
    <t>GOLFERS</t>
  </si>
  <si>
    <t>followup</t>
  </si>
  <si>
    <t>PRO BRANDS</t>
  </si>
  <si>
    <t>GLENZ</t>
  </si>
  <si>
    <t>short sleeve ladies 1x m, 1 XL, long sleeve mens cut L, short sleeve Mens L</t>
  </si>
  <si>
    <t>WHITE SHIRTS LADIES SHORT SLEEVE 1 X M, 1 X XL NEED TO ORDER / MENS LONG SLEEVE L ( WE HAVE )  MENS SHORT SLEEVE L ( WE HAVE )</t>
  </si>
  <si>
    <t xml:space="preserve">SAFARI TRADING CO </t>
  </si>
  <si>
    <t xml:space="preserve">shirts printing </t>
  </si>
  <si>
    <t>muTAnga has one design, OTHER DESIGN FOR GENA</t>
  </si>
  <si>
    <t>Ordered in SA</t>
  </si>
  <si>
    <t>caps in progress</t>
  </si>
  <si>
    <t>zimbass</t>
  </si>
  <si>
    <t>ready awaiting customer return</t>
  </si>
  <si>
    <t>1000  black tshirts</t>
  </si>
  <si>
    <t>cutting at threads balance</t>
  </si>
  <si>
    <t>Sustainable agri</t>
  </si>
  <si>
    <t>Linda 0718516993</t>
  </si>
  <si>
    <t>60 white golf shirts</t>
  </si>
  <si>
    <t>Health Int</t>
  </si>
  <si>
    <t>Glynnis 0772268699</t>
  </si>
  <si>
    <t>135 white caps</t>
  </si>
  <si>
    <t>Striders</t>
  </si>
  <si>
    <t>Lorraine 0772712033</t>
  </si>
  <si>
    <t>50 running shirts</t>
  </si>
  <si>
    <t>in production</t>
  </si>
  <si>
    <t>Salty Tshirts</t>
  </si>
  <si>
    <t>Alexia</t>
  </si>
  <si>
    <t>1320 TSHIRTS</t>
  </si>
  <si>
    <t>in printing</t>
  </si>
  <si>
    <t>Mark Srathen 0772610022</t>
  </si>
  <si>
    <t>tshirts - bradning with Roni</t>
  </si>
  <si>
    <t>CTDO</t>
  </si>
  <si>
    <t xml:space="preserve"> 60 GOLF SHIRTS</t>
  </si>
  <si>
    <t xml:space="preserve">electrosales </t>
  </si>
  <si>
    <t>shereen</t>
  </si>
  <si>
    <t>TSHIRTS RED AND YELLO</t>
  </si>
  <si>
    <t>electrosales 4X4 CLUB</t>
  </si>
  <si>
    <t>SHEreen</t>
  </si>
  <si>
    <t>GOLF SHIRTS</t>
  </si>
  <si>
    <t>CHISI HOODIES</t>
  </si>
  <si>
    <t>SANDRA TO MAKE , KUTAURA AND RONI TO BRAND</t>
  </si>
  <si>
    <t>delivered 282, balance this week</t>
  </si>
  <si>
    <t>Sweaters</t>
  </si>
  <si>
    <t>NAVY FLEECE HALF ZIP S-4, M- 10, L-21, XL - 10, XXL - 3, XXXL - 2 = 50 - SANDRA TO MAKE/ DAVE TO BRAND</t>
  </si>
  <si>
    <t>NHUMBI</t>
  </si>
  <si>
    <t>Tony</t>
  </si>
  <si>
    <t>needs fabric and cutsheets</t>
  </si>
  <si>
    <t>FAR AND WIDE SYOT</t>
  </si>
  <si>
    <t>JAZZY</t>
  </si>
  <si>
    <r>
      <rPr>
        <rFont val="Arial"/>
        <color theme="1"/>
        <sz val="7.0"/>
      </rPr>
      <t>GOLFERS TO GENA.LONGSLEEVE BRAND CONFIRMATION,TECH SHIRT SAMPLE AND QTY AVAIBLE TO OFFICE</t>
    </r>
    <r>
      <rPr>
        <rFont val="Arial"/>
        <color theme="1"/>
        <sz val="12.0"/>
      </rPr>
      <t xml:space="preserve"> </t>
    </r>
    <r>
      <rPr>
        <rFont val="Arial"/>
        <color theme="1"/>
        <sz val="6.0"/>
      </rPr>
      <t xml:space="preserve">FOR COLLECTION, THSIRTS </t>
    </r>
  </si>
  <si>
    <t>AFRICAN THREADS  to deliver tshirts still, PRINTING WILL BE DTF TEXCOLOUR  / BVR TO GIVE DETAILS FOR INVOICE.</t>
  </si>
  <si>
    <t>SALTY TRACK SUIT</t>
  </si>
  <si>
    <t>DAVE EMBROIDERY AS TODAY</t>
  </si>
  <si>
    <t>BENNIES FOR STORES</t>
  </si>
  <si>
    <t>VISUAL REQUIRED</t>
  </si>
  <si>
    <t>40 GOLFERS</t>
  </si>
  <si>
    <t>Sunflow Energy</t>
  </si>
  <si>
    <t>6 L/S  + 10 golfers</t>
  </si>
  <si>
    <t>Jecha Rakanaka</t>
  </si>
  <si>
    <t xml:space="preserve">25 caps </t>
  </si>
  <si>
    <t>in jhb later today / sent message to Kelvin to Collect</t>
  </si>
  <si>
    <t>Horizon Camps</t>
  </si>
  <si>
    <t>Asher Ellis</t>
  </si>
  <si>
    <t>14/7</t>
  </si>
  <si>
    <t>Hoodies, x50</t>
  </si>
  <si>
    <t>Collected</t>
  </si>
  <si>
    <t>Jetvest INVESTMENTS</t>
  </si>
  <si>
    <t>NICKY 0772311265</t>
  </si>
  <si>
    <t>7 Black Golfers, 3 navy</t>
  </si>
  <si>
    <t>Transvaal</t>
  </si>
  <si>
    <t>Mandy</t>
  </si>
  <si>
    <t>Tshirts  / sunhats</t>
  </si>
  <si>
    <t>quiet</t>
  </si>
  <si>
    <t>POLYOAK</t>
  </si>
  <si>
    <t>Tommy</t>
  </si>
  <si>
    <t xml:space="preserve"> 71Tshirts</t>
  </si>
  <si>
    <t>on hold</t>
  </si>
  <si>
    <t>150 caps</t>
  </si>
  <si>
    <t>arriving jhb today 29/7</t>
  </si>
  <si>
    <t xml:space="preserve">Edgars </t>
  </si>
  <si>
    <t>Mathew</t>
  </si>
  <si>
    <t>Shorts &amp; 200 TSHIRTS KISH</t>
  </si>
  <si>
    <t>Garments at shop - preparing for Inspection</t>
  </si>
  <si>
    <t>Niall</t>
  </si>
  <si>
    <t>20 beanies &amp; HATS</t>
  </si>
  <si>
    <t>Hats coming from SA / sample approved</t>
  </si>
  <si>
    <t>N Richards</t>
  </si>
  <si>
    <t>200 tshirts</t>
  </si>
  <si>
    <t>100 large, 70 x large, 30 xx large = 200 branding today 28/7 delivery wednesday 30th july</t>
  </si>
  <si>
    <t>American Chambers</t>
  </si>
  <si>
    <t>Ivy</t>
  </si>
  <si>
    <t>30/08</t>
  </si>
  <si>
    <t>10 golf shirts, 10 caps, 10 shirts</t>
  </si>
  <si>
    <t>Ezytrack</t>
  </si>
  <si>
    <t>50 caps</t>
  </si>
  <si>
    <t>collected</t>
  </si>
  <si>
    <t xml:space="preserve">seedco </t>
  </si>
  <si>
    <t>Never heard back</t>
  </si>
  <si>
    <t>browns engineering</t>
  </si>
  <si>
    <t>Charlene</t>
  </si>
  <si>
    <t>50 caps charcoal, 50 caps l/grey ,ordered with lynika</t>
  </si>
  <si>
    <t>in jhb, chasing payment / told Kelvin he can collect</t>
  </si>
  <si>
    <t xml:space="preserve">Edgar's </t>
  </si>
  <si>
    <t>Fari</t>
  </si>
  <si>
    <t>Golf day, GOLF SHIRT CAP AND SLEEVES</t>
  </si>
  <si>
    <t>250 OF EACH , vote , need new fabric options, whites and greys. pic on route</t>
  </si>
  <si>
    <t>Crowe</t>
  </si>
  <si>
    <t>Tracksuits</t>
  </si>
  <si>
    <t>Cancelled</t>
  </si>
  <si>
    <t>Be aware of short notice customers</t>
  </si>
  <si>
    <t>Zimre Holdings</t>
  </si>
  <si>
    <t>Caps, `Golf shirts, sleeves</t>
  </si>
  <si>
    <t>No colours of their choice</t>
  </si>
  <si>
    <t>Providence</t>
  </si>
  <si>
    <t>Chipo &amp; Omega</t>
  </si>
  <si>
    <t>150 FEDUP tshirts</t>
  </si>
  <si>
    <t>Completed and Paid. Need to get going on Partnership</t>
  </si>
  <si>
    <t>Kefalos</t>
  </si>
  <si>
    <t>22 tracksuits</t>
  </si>
  <si>
    <t>beanies x 50 Navy</t>
  </si>
  <si>
    <t>144 Black Buckle back caps</t>
  </si>
  <si>
    <t xml:space="preserve">Amcotts </t>
  </si>
  <si>
    <t>Leigh</t>
  </si>
  <si>
    <t>33 Hoodies</t>
  </si>
  <si>
    <t>Danielle 0786889538</t>
  </si>
  <si>
    <t>Soft Shells</t>
  </si>
  <si>
    <t>Bakers Inn FC</t>
  </si>
  <si>
    <t>20/6</t>
  </si>
  <si>
    <t>50 Trilobal navy tshirts</t>
  </si>
  <si>
    <t>S- 2, M- 21, L- 15, XL - 9, XXL - 2, 3XL - 1 = 50</t>
  </si>
  <si>
    <t>Amcotts</t>
  </si>
  <si>
    <t>FOR ADMA - PAUL</t>
  </si>
  <si>
    <t>Caps, shirts</t>
  </si>
  <si>
    <t>Gain Wholesalers</t>
  </si>
  <si>
    <t>20 Golf Shirts</t>
  </si>
  <si>
    <t>s-1, m- 4, l-10, xl-2, xxl- 2, 3xl - 1 = 20</t>
  </si>
  <si>
    <t>African Sun</t>
  </si>
  <si>
    <t>Leon &amp; Thandie</t>
  </si>
  <si>
    <t>Fishing shirts, tshirts , caps</t>
  </si>
  <si>
    <t>Fishing shirts and Holiday Inn t-shirts delivered. Caps order????</t>
  </si>
  <si>
    <t>River of life</t>
  </si>
  <si>
    <t xml:space="preserve"> 70 Tshirts</t>
  </si>
  <si>
    <t>ready today.</t>
  </si>
  <si>
    <t>Imire</t>
  </si>
  <si>
    <t>Candice</t>
  </si>
  <si>
    <t>23 green, 100 khakhi tshirts</t>
  </si>
  <si>
    <t>Branding  with Roni</t>
  </si>
  <si>
    <t>Expacare</t>
  </si>
  <si>
    <t>Glynnis</t>
  </si>
  <si>
    <t>70 TSHIRTS</t>
  </si>
  <si>
    <t>need to quote for 500 white floppy hats. $6.50 FOT LOCAL AND $10.50 SA - QUOTE SENT, nothing yet</t>
  </si>
  <si>
    <t>Nyathi</t>
  </si>
  <si>
    <t>Richard Mann</t>
  </si>
  <si>
    <t xml:space="preserve">2000 Assorted </t>
  </si>
  <si>
    <t>sent labels and forwarded sizes to threads. What's happening Brett?</t>
  </si>
  <si>
    <t>Zimworx</t>
  </si>
  <si>
    <t>Mandi/Bornwell</t>
  </si>
  <si>
    <t>Tree life....lunch bags</t>
  </si>
  <si>
    <t>Safari Trading Company</t>
  </si>
  <si>
    <t>Robbie Hoard</t>
  </si>
  <si>
    <t>Tshirts</t>
  </si>
  <si>
    <t>Slab sales</t>
  </si>
  <si>
    <t>Damo</t>
  </si>
  <si>
    <t>100 Caps</t>
  </si>
  <si>
    <t>CAPS AT DAVE AND IN PROCESS NEEDS FOLLOWUP</t>
  </si>
  <si>
    <t>Omega</t>
  </si>
  <si>
    <t>Sample pack on intended products to be supplied Tracksuit / fishing shirt / basic cap / buckle cap / Golf Shirt</t>
  </si>
  <si>
    <t xml:space="preserve">Putting together everything that we can supply. 1.fishing shirt, 2.tracksuit, 3.caps buckle back, </t>
  </si>
  <si>
    <t>Husqarvana</t>
  </si>
  <si>
    <t>Josh Oates</t>
  </si>
  <si>
    <t>SAMPLE SHIRTS</t>
  </si>
  <si>
    <t>Waiting for Josh to put together what he wants and needs. Need to keep following up with him.</t>
  </si>
  <si>
    <t>Zim Bass</t>
  </si>
  <si>
    <t>12 Caps</t>
  </si>
  <si>
    <t>*</t>
  </si>
  <si>
    <t>Tengwe Tobacco</t>
  </si>
  <si>
    <t>Kelsey</t>
  </si>
  <si>
    <t>HOLD</t>
  </si>
  <si>
    <t>cold at moment</t>
  </si>
  <si>
    <t>Nikki Ross</t>
  </si>
  <si>
    <t>50 Hoodies, 8S, 15M, 20L, 7XL</t>
  </si>
  <si>
    <t>Being made by Sandra - Branding big R on back with Roni, in process</t>
  </si>
  <si>
    <t>Kryssie</t>
  </si>
  <si>
    <t>sample tshirt, polo shirt, poly shirt short sleeve and also poly cotton kharki for 4x4, Cap options, formal short sleeve and longsleeve</t>
  </si>
  <si>
    <t>samples by end next week. golfer, fishing shirt short sleeve charcoal, formal fw shirts long and short sleeve.</t>
  </si>
  <si>
    <t>Harris Auto</t>
  </si>
  <si>
    <t>Ian Johnson</t>
  </si>
  <si>
    <t>50-100 caps (30 caps for each of the 3 different designs)</t>
  </si>
  <si>
    <t>Ian is waiting for his boss to come back from 2 weeks holiday (15 Sep)</t>
  </si>
  <si>
    <t>ZIMWORX</t>
  </si>
  <si>
    <t>15 Golfers, 15 Caps</t>
  </si>
  <si>
    <t>S2S</t>
  </si>
  <si>
    <t>Kirsten Ashwell</t>
  </si>
  <si>
    <t>29 /8</t>
  </si>
  <si>
    <t>30 Caps re order</t>
  </si>
  <si>
    <t>SA</t>
  </si>
  <si>
    <t>HEALTH INTERNATIONAL</t>
  </si>
  <si>
    <t>del</t>
  </si>
  <si>
    <t>200 caps</t>
  </si>
  <si>
    <t>IMIRE</t>
  </si>
  <si>
    <t>12 / 9</t>
  </si>
  <si>
    <t xml:space="preserve">100 caps </t>
  </si>
  <si>
    <t xml:space="preserve">SA. I have 100 branded Imire caps here at the shop. Advise on what needs to be done </t>
  </si>
  <si>
    <t>MATUSADONA CONSERVATION</t>
  </si>
  <si>
    <t>Jo Odonaghue</t>
  </si>
  <si>
    <t xml:space="preserve">3 /9 &amp; 15 /9 </t>
  </si>
  <si>
    <t>270 shirts for  15 sept / 16 running shirts  3/9</t>
  </si>
  <si>
    <t>visual being sent today M - 140 / L - 70 / Xl - 20 / XXL - 5           KIDS 5-6yrs  x 5 /       11-12 yrs x  30       collect 250 m bottle green from Azbo  all to go to amai midzi             to collect light green vented fabric in warehouse for 16 running shirts to AMAI sizes short sleeve  s-5 , m- 3                sandra long sleeve s-5, m- 3</t>
  </si>
  <si>
    <t>Inamo Agri</t>
  </si>
  <si>
    <t>Jesse Parmer</t>
  </si>
  <si>
    <t>15/7</t>
  </si>
  <si>
    <t>10 fishing shirts, 10 golfers</t>
  </si>
  <si>
    <t>Need fiscal invoice</t>
  </si>
  <si>
    <t>Swift</t>
  </si>
  <si>
    <t>Garth Jones</t>
  </si>
  <si>
    <t>All products</t>
  </si>
  <si>
    <t>Need to target App Launch and other big days</t>
  </si>
  <si>
    <t>Cutting Edge (Husqarvana)</t>
  </si>
  <si>
    <t>8 standard golf shirts</t>
  </si>
  <si>
    <t>needed mid september. awaiting payment</t>
  </si>
  <si>
    <t>The Brahman</t>
  </si>
  <si>
    <t>Paul Williams</t>
  </si>
  <si>
    <t>18/7</t>
  </si>
  <si>
    <t>8M, 4L, 4XL, 2XXL</t>
  </si>
  <si>
    <t xml:space="preserve">delivered </t>
  </si>
  <si>
    <t xml:space="preserve">Alpha motors </t>
  </si>
  <si>
    <t>BEN SNYMAN</t>
  </si>
  <si>
    <t>Bishoplea</t>
  </si>
  <si>
    <t>05 sept 2025</t>
  </si>
  <si>
    <t>100 golf Shirts, navy with white stripe in collar  XS15, S 30, M - 30, L - 25, XL -5, XXL 5</t>
  </si>
  <si>
    <t xml:space="preserve">BCG </t>
  </si>
  <si>
    <t>Jerry</t>
  </si>
  <si>
    <t>12 caps  / TG</t>
  </si>
  <si>
    <t>1 missing cap being branded</t>
  </si>
  <si>
    <t>DB CAps</t>
  </si>
  <si>
    <t>Ben Mavros</t>
  </si>
  <si>
    <t>20 caps</t>
  </si>
  <si>
    <t>CTDT</t>
  </si>
  <si>
    <t>Jabulani</t>
  </si>
  <si>
    <t>Sent a follow up email. They will get back to us if they need to order with us</t>
  </si>
  <si>
    <t>Old Mutual</t>
  </si>
  <si>
    <t>Sandra/Nyarai</t>
  </si>
  <si>
    <t>100 fancy grey golfer, 100 charcoal golfer, 100 black tees. 300 branded bush shirts.</t>
  </si>
  <si>
    <t>DAP Australia</t>
  </si>
  <si>
    <t>Nyaradzo</t>
  </si>
  <si>
    <t>100 caps, 60 golfers</t>
  </si>
  <si>
    <t>No response, Leigh followed up</t>
  </si>
  <si>
    <t>OLD LEGS TOUR</t>
  </si>
  <si>
    <t>Eric de Jong</t>
  </si>
  <si>
    <t>7 HOODIES / 7 TSHIRTS</t>
  </si>
  <si>
    <t>hoodies and tshirts in branding and production</t>
  </si>
  <si>
    <t>Nush2go</t>
  </si>
  <si>
    <t>10 Caps</t>
  </si>
  <si>
    <t xml:space="preserve">Steel warehouse </t>
  </si>
  <si>
    <t>GOLF SHIRTS- assorted</t>
  </si>
  <si>
    <r>
      <rPr>
        <rFont val="Arial"/>
        <b/>
        <color theme="1"/>
        <sz val="11.0"/>
      </rPr>
      <t>Ammended artwork and texcolour doing one for actual approval</t>
    </r>
    <r>
      <rPr>
        <rFont val="Arial"/>
        <color theme="1"/>
        <sz val="11.0"/>
      </rPr>
      <t>Waiting for Brett's feedback on actual sample done by Texcolour</t>
    </r>
  </si>
  <si>
    <t>Zimbass</t>
  </si>
  <si>
    <t>CAPS</t>
  </si>
  <si>
    <t>Mashonaland gun club</t>
  </si>
  <si>
    <t>Lara</t>
  </si>
  <si>
    <t>GOLFERS , LONGSLEEVE SHIRT</t>
  </si>
  <si>
    <t>need to make samples with Kish and Sandra (Thursday). Sandra has the fabric and making samples</t>
  </si>
  <si>
    <t>21/8</t>
  </si>
  <si>
    <t>2S, 4L, 3XXXL</t>
  </si>
  <si>
    <t>Fuchs</t>
  </si>
  <si>
    <t>Dayna</t>
  </si>
  <si>
    <t xml:space="preserve">Golf shirts - </t>
  </si>
  <si>
    <t>Inquiry</t>
  </si>
  <si>
    <t>NEED TO SHOW OTHER FABRICS</t>
  </si>
  <si>
    <t xml:space="preserve">Bakers Inn </t>
  </si>
  <si>
    <t>Thabani</t>
  </si>
  <si>
    <t>2500 aprons ,2500 trousers</t>
  </si>
  <si>
    <t>In Progress</t>
  </si>
  <si>
    <t>Lucile</t>
  </si>
  <si>
    <t>18 golfers</t>
  </si>
  <si>
    <t xml:space="preserve"> Union Hardware (Geberit)</t>
  </si>
  <si>
    <t>need to show sample pack</t>
  </si>
  <si>
    <t>EZY Track</t>
  </si>
  <si>
    <t xml:space="preserve">50 charcoal grey caps </t>
  </si>
  <si>
    <t>Frank checking his stock</t>
  </si>
  <si>
    <t>Foundations for farming</t>
  </si>
  <si>
    <t>Hazel Edwards</t>
  </si>
  <si>
    <t>50 CAPS, 50 TSHIRTS, 50 GOLFERS</t>
  </si>
  <si>
    <t>Brahman new</t>
  </si>
  <si>
    <t>Now combined with order 64 since they placed another order</t>
  </si>
  <si>
    <t>Savos</t>
  </si>
  <si>
    <t>Ant Savo</t>
  </si>
  <si>
    <t>50 red caps</t>
  </si>
  <si>
    <t>34 chinos, 34 golfers</t>
  </si>
  <si>
    <t xml:space="preserve">Hazel </t>
  </si>
  <si>
    <t xml:space="preserve"> 14 Longsleeve taupe shirts </t>
  </si>
  <si>
    <t>Ready for collection</t>
  </si>
  <si>
    <t>John Hook</t>
  </si>
  <si>
    <t xml:space="preserve">Luke hook </t>
  </si>
  <si>
    <t>Golfers and Safari shirts. No Softshells</t>
  </si>
  <si>
    <t>Safari shirts and Golfers at shop for packing. No Soft Shells at Paramount</t>
  </si>
  <si>
    <t>Husqvarna (TruCut)</t>
  </si>
  <si>
    <t>Ryan Bessel</t>
  </si>
  <si>
    <t>Grey golf shirts</t>
  </si>
  <si>
    <t>Ryan will get in touch when ready to order</t>
  </si>
  <si>
    <t>Smart Homes</t>
  </si>
  <si>
    <t>a lady</t>
  </si>
  <si>
    <t>Basic Black golfers - Ladies - S x 2, M x 2 Basic ; Men's - M x 2, L x 2, XL x 2, XXL x 2</t>
  </si>
  <si>
    <t>semex/hygiene</t>
  </si>
  <si>
    <t>`Steve</t>
  </si>
  <si>
    <t>52 Hats</t>
  </si>
  <si>
    <t>Prodairy</t>
  </si>
  <si>
    <t>Patience</t>
  </si>
  <si>
    <t>Fishing shirts, fancy golfers and caps</t>
  </si>
  <si>
    <t>01 Sept 2025</t>
  </si>
  <si>
    <t>THandiwe</t>
  </si>
  <si>
    <t>CGI 101 roundneck white shirts</t>
  </si>
  <si>
    <t>At Kutaura. They will update by 1pm so I give them to Roni today</t>
  </si>
  <si>
    <t>Reprint</t>
  </si>
  <si>
    <t>RONI</t>
  </si>
  <si>
    <t>Nadia/Omega</t>
  </si>
  <si>
    <t>100 Fedup tees</t>
  </si>
  <si>
    <t>Delivered Friday 6 Sep</t>
  </si>
  <si>
    <t>28 fancy golfers</t>
  </si>
  <si>
    <t>Homesforth</t>
  </si>
  <si>
    <t>Cassandra</t>
  </si>
  <si>
    <t>12 Mens and 8 Ladies basic golfers</t>
  </si>
  <si>
    <t>50 SS formal white shirts, 50 grey golfers fancy</t>
  </si>
  <si>
    <t>Waiting for size breakdown. Can I start Production before payment?</t>
  </si>
  <si>
    <t xml:space="preserve">Health international </t>
  </si>
  <si>
    <t xml:space="preserve">Lizzy </t>
  </si>
  <si>
    <t xml:space="preserve">800 branded Caps </t>
  </si>
  <si>
    <t>Chisi hoodies</t>
  </si>
  <si>
    <t>XS- 20</t>
  </si>
  <si>
    <t>Zimhealth Europe</t>
  </si>
  <si>
    <t>Lois</t>
  </si>
  <si>
    <t>Abraham Jacob</t>
  </si>
  <si>
    <t>Not worth it</t>
  </si>
  <si>
    <t>New brand trying to collaborate with us on their merchandise. Asked them to send an email proposal</t>
  </si>
  <si>
    <t>HUKU &amp; CHIPS</t>
  </si>
  <si>
    <t>KARL</t>
  </si>
  <si>
    <t>20 Tracker caps</t>
  </si>
  <si>
    <t>Discounted sale</t>
  </si>
  <si>
    <t>Piet</t>
  </si>
  <si>
    <t>22 Fishing shirts, 20 Golf shirts</t>
  </si>
  <si>
    <t>Open IT</t>
  </si>
  <si>
    <t>Jarod Berry / Paul</t>
  </si>
  <si>
    <t>SS formal shirts, basic golfers, caps, worksuits</t>
  </si>
  <si>
    <t>Waiting for feedback</t>
  </si>
  <si>
    <t>Thandie</t>
  </si>
  <si>
    <t>188 Black Roundneck Tees</t>
  </si>
  <si>
    <t>INTERESTED</t>
  </si>
  <si>
    <t>Waiting for sample approval</t>
  </si>
  <si>
    <t>Sharon</t>
  </si>
  <si>
    <t>20 branded Visor Caps</t>
  </si>
  <si>
    <t>Need artwork from brett to share with marketing before they approve</t>
  </si>
  <si>
    <t>All the way</t>
  </si>
  <si>
    <t>Ngwarie</t>
  </si>
  <si>
    <t>Making a Purchase at the shop</t>
  </si>
  <si>
    <t xml:space="preserve">VicFalls Safari </t>
  </si>
  <si>
    <t>21 Golfers</t>
  </si>
  <si>
    <t>Nommy collected</t>
  </si>
  <si>
    <t>FBC Bank</t>
  </si>
  <si>
    <t>Roy</t>
  </si>
  <si>
    <t>Samples Range</t>
  </si>
  <si>
    <t>Organising appointment with Group marketing director to show samples</t>
  </si>
  <si>
    <t>John Deer</t>
  </si>
  <si>
    <t>Garth</t>
  </si>
  <si>
    <t>Waiting to assort some fabric. Sending pic from Brett to garth</t>
  </si>
  <si>
    <t xml:space="preserve">Keepnet </t>
  </si>
  <si>
    <t>CHOP CHOP</t>
  </si>
  <si>
    <t>Need pricing on samples so I quote. Referrence with current supplier on the group if we can bit a price</t>
  </si>
  <si>
    <t>Croco Motors</t>
  </si>
  <si>
    <t>Waiting to hear back from them</t>
  </si>
  <si>
    <t>Mandi</t>
  </si>
  <si>
    <t>100 Global Impact Black Tees</t>
  </si>
  <si>
    <t>100 urgent ones only. Zimworx on the front, Global Impact at back. Delivery on Friday</t>
  </si>
  <si>
    <t>Nyarai/Tanya</t>
  </si>
  <si>
    <t>100 Golfers</t>
  </si>
  <si>
    <t>Showing Samples</t>
  </si>
  <si>
    <t xml:space="preserve">Aqua </t>
  </si>
  <si>
    <t xml:space="preserve">Caps </t>
  </si>
  <si>
    <t>27 Sept 2025</t>
  </si>
  <si>
    <t>100 black, 60 fancy</t>
  </si>
  <si>
    <t>In Progress, Order SA</t>
  </si>
  <si>
    <t>26 Sept 2025</t>
  </si>
  <si>
    <t>1 300 white, 200 black running tees</t>
  </si>
  <si>
    <t>For 15/16 Oct. Size breakdown on the group. Please pay attention to split detail as per email (screenshot in FWA group). 50% payment made.</t>
  </si>
  <si>
    <t xml:space="preserve">FNEIL </t>
  </si>
  <si>
    <t xml:space="preserve">100 navy golf shirts </t>
  </si>
  <si>
    <t>Collecting with Dave today</t>
  </si>
  <si>
    <t>28 Sept 2025</t>
  </si>
  <si>
    <t xml:space="preserve">N Richards </t>
  </si>
  <si>
    <t>Wendy Beauchamp</t>
  </si>
  <si>
    <t>Golf Shirts, chinos , Pencil skirts</t>
  </si>
  <si>
    <t>29 Sept 2025</t>
  </si>
  <si>
    <t>Nyarai</t>
  </si>
  <si>
    <t>100 grey camo golfers, 100 Black Roundneck tees, 300 Safari shirts</t>
  </si>
  <si>
    <t>Same as ZAS, they coming to initiate order.</t>
  </si>
  <si>
    <t>Chas Everit</t>
  </si>
  <si>
    <t>Golfers and Safari shirts all done. 50 longsleeve khakishirts short. Paramount won't have those in the next 4 weeks or more 9check with Tselentis). Roni printing black tees</t>
  </si>
  <si>
    <t>30 Sept 2025</t>
  </si>
  <si>
    <t>20 orange tracker caps</t>
  </si>
  <si>
    <t>Karl coming to collect some time</t>
  </si>
  <si>
    <t>100 Black JG Tees</t>
  </si>
  <si>
    <t>Awaiting Payment, Delivered</t>
  </si>
  <si>
    <t>Afenet</t>
  </si>
  <si>
    <t>100 Blue and White Regular golfer</t>
  </si>
  <si>
    <t>?????????? thought complete</t>
  </si>
  <si>
    <t>Vic Falls Safari Collection</t>
  </si>
  <si>
    <t>2 golf samples</t>
  </si>
  <si>
    <t>Samples by Monday. On right sleeve and left chest. Kish can cut for a few 6 more samples</t>
  </si>
  <si>
    <t>Hwange Safari Lodge</t>
  </si>
  <si>
    <t>Tamy</t>
  </si>
  <si>
    <t>White roundneck. 20S, 20M, 45L, 35XL, 15XXL, 5XXXL... Black roundneck. 20S, 20M, 45L, 35XL, 15XXL, 5XXXL.... 140 Caps</t>
  </si>
  <si>
    <t>Cap Invoice not paid yet\</t>
  </si>
  <si>
    <t>Tariro</t>
  </si>
  <si>
    <t>100 Black Roundneck tees</t>
  </si>
  <si>
    <t>Tariro awaiting payment authorisation from Chipo Ndudzo.</t>
  </si>
  <si>
    <t>Freshly Grounds</t>
  </si>
  <si>
    <t>6XXL, 2XL, 2L</t>
  </si>
  <si>
    <t>Pam Golding</t>
  </si>
  <si>
    <t>28 White, 28 Green golfers</t>
  </si>
  <si>
    <t>Waiting for confirmation, size breakdown and quantities</t>
  </si>
  <si>
    <t xml:space="preserve">37 Golfers 37 t shirts </t>
  </si>
  <si>
    <t>Mutapa</t>
  </si>
  <si>
    <t>240 golfers, 100 tshirts, 340 caps</t>
  </si>
  <si>
    <t>Steel Warehouse</t>
  </si>
  <si>
    <t>6L golf shirts</t>
  </si>
  <si>
    <t>TROUTBECK</t>
  </si>
  <si>
    <t>130 t shirts</t>
  </si>
  <si>
    <t>In Production at Kutaura. Roni collecting with Kutaura and printing. Troutbeck getting from office 24 October</t>
  </si>
  <si>
    <t>Yamaha / Evolution</t>
  </si>
  <si>
    <t>Black caps. 20 full head and 10 visor caps</t>
  </si>
  <si>
    <t xml:space="preserve">they might need them 24 Oct if possible. </t>
  </si>
  <si>
    <t>Hwange Kamandama Marathon</t>
  </si>
  <si>
    <t>1500 running shirts / sleeves /  650 caps</t>
  </si>
  <si>
    <t>Smoke House</t>
  </si>
  <si>
    <t>Vic Falls Safari lodge</t>
  </si>
  <si>
    <t>Liquor Supplies</t>
  </si>
  <si>
    <t>336 Black Mens and Ladies Golfers</t>
  </si>
  <si>
    <t>Matrix</t>
  </si>
  <si>
    <t>EZRA</t>
  </si>
  <si>
    <t>30 /10</t>
  </si>
  <si>
    <t xml:space="preserve">7 GREY SHIRTS </t>
  </si>
  <si>
    <t>10 Black Golf shirts with striped white collar. 10 Black fancy caps. 2 L/S Formal shirts. 10S/S Formal shirts. Branded black worksuits with reflectors</t>
  </si>
  <si>
    <t>In Progress, ON HOLD FOR NW</t>
  </si>
  <si>
    <t>Waiting for artwork from Brett and payment from Jarod to start branding. Caps ordered at TG. Worksuits ready for branding.</t>
  </si>
  <si>
    <t>The Perfomance Hub</t>
  </si>
  <si>
    <t>Keegan/Hellen</t>
  </si>
  <si>
    <t>T-shirts, Hoodies, Shorts, Joggers, Tracksuits, Caps</t>
  </si>
  <si>
    <t>Waiting for feedback on artwork. Social media plans needs to start.</t>
  </si>
  <si>
    <t>Labor Outsourcing Zim</t>
  </si>
  <si>
    <t>100 Black Roundneck T-shirts</t>
  </si>
  <si>
    <t>20 XS Junior hoodies  / 20  small Senior hoodies with black</t>
  </si>
  <si>
    <t>Imara Investing in Africa</t>
  </si>
  <si>
    <t>Spiwe</t>
  </si>
  <si>
    <t>10 Navy Golf Shirts, 10 White Golf Shirts</t>
  </si>
  <si>
    <t>Sending quote and waiting for approval</t>
  </si>
  <si>
    <t>100 Black Global Impact T-shirts</t>
  </si>
  <si>
    <t>Bakers INN</t>
  </si>
  <si>
    <t>Collwyn</t>
  </si>
  <si>
    <t>Golf Shirt and Peeky caps</t>
  </si>
  <si>
    <t>Capri</t>
  </si>
  <si>
    <t>Donovan</t>
  </si>
  <si>
    <t>15 Sweat Navy roundneck</t>
  </si>
  <si>
    <t>Awaiting Payment</t>
  </si>
  <si>
    <t>Waiting for PoP to Start</t>
  </si>
  <si>
    <t>Caribbea Bay</t>
  </si>
  <si>
    <t>Emmah</t>
  </si>
  <si>
    <t>100 White Roundnecks, 100 Black Caps</t>
  </si>
  <si>
    <t>Roni end of day (Wednesday), Caps early morning</t>
  </si>
  <si>
    <t>Mist Mountain</t>
  </si>
  <si>
    <t>Order SA</t>
  </si>
  <si>
    <t>Kim</t>
  </si>
  <si>
    <t>Kim looking for a supervisors smart look. She has said she will come through</t>
  </si>
  <si>
    <t>Head</t>
  </si>
  <si>
    <t>aiden Martin</t>
  </si>
  <si>
    <t>25 Caps</t>
  </si>
  <si>
    <t>Deposit made</t>
  </si>
  <si>
    <t>Chris</t>
  </si>
  <si>
    <t xml:space="preserve">9 Mens and 3 Ladies Longsleeve bush shirts </t>
  </si>
  <si>
    <t>Checking if Chris is still ordering</t>
  </si>
  <si>
    <t>Stuart</t>
  </si>
  <si>
    <t>Stuart Gemil</t>
  </si>
  <si>
    <t>150 Warmers and 150 Technical Caps</t>
  </si>
  <si>
    <t>peter House</t>
  </si>
  <si>
    <t>XL x 12 white regular golfers,, 12 white pilot caps</t>
  </si>
  <si>
    <t>In Progress, DAVE</t>
  </si>
  <si>
    <t>Caps ready, golfers amende and ready</t>
  </si>
  <si>
    <t>14 Grey and 14 Navy Golfers and Formal Shirts</t>
  </si>
  <si>
    <t>Golfers Deleivered with Colwyn Office. Expecting Pari to send to Harare on 10 December. Pari said earlier is not possible</t>
  </si>
  <si>
    <t>Mash Gunclub</t>
  </si>
  <si>
    <t>lara</t>
  </si>
  <si>
    <t>53 Green golfer, 31 Camo golfers, 31 Caps</t>
  </si>
  <si>
    <t>Ordered with Kish, still cutting. To Sandra for sewing</t>
  </si>
  <si>
    <t>white roundneck polyesters Shirts</t>
  </si>
  <si>
    <t>100 Black Roundnecks Global Impact</t>
  </si>
  <si>
    <t>In Progress, KUTAURA</t>
  </si>
  <si>
    <t>PETERHOUSE</t>
  </si>
  <si>
    <t>250 STAFF Shirts</t>
  </si>
  <si>
    <t>Brett suggesting another fabric. Embroidery. Navy Fancy DTF</t>
  </si>
  <si>
    <t>Tafara</t>
  </si>
  <si>
    <t>26 Lacoste golfers and 80 soft shell</t>
  </si>
  <si>
    <t>Waiting for PoP or approval</t>
  </si>
  <si>
    <t>50 Khaki brim hats</t>
  </si>
  <si>
    <t>Ordered with Innocent</t>
  </si>
  <si>
    <t>Nika</t>
  </si>
  <si>
    <t>12 Black Lacoste, 19 Fleeces</t>
  </si>
  <si>
    <t>Waiting for approval</t>
  </si>
  <si>
    <t>Tom</t>
  </si>
  <si>
    <t>ROSSI  / Pomona</t>
  </si>
  <si>
    <t>Dale</t>
  </si>
  <si>
    <t>50 Trucker Caps</t>
  </si>
  <si>
    <t>Grey Millange C10500</t>
  </si>
  <si>
    <t>Elephant Hills</t>
  </si>
  <si>
    <t>30 Caps</t>
  </si>
  <si>
    <t>African Sun Range</t>
  </si>
  <si>
    <t>100 Golf Shirts</t>
  </si>
  <si>
    <t>Sam</t>
  </si>
  <si>
    <t>Convex</t>
  </si>
  <si>
    <t>24 Regular Golfers</t>
  </si>
  <si>
    <t>Grey, Navy and white. Get size breakdown and Proof of payment</t>
  </si>
  <si>
    <t>National IT</t>
  </si>
  <si>
    <t>Shaylee</t>
  </si>
  <si>
    <t xml:space="preserve">ZIMBO SHOP </t>
  </si>
  <si>
    <t xml:space="preserve">Peterhouse </t>
  </si>
  <si>
    <t>Matt Hosack</t>
  </si>
  <si>
    <t>14 caps</t>
  </si>
  <si>
    <t>340 tshirts</t>
  </si>
  <si>
    <t xml:space="preserve">Val </t>
  </si>
  <si>
    <t xml:space="preserve">3 large grey ladies shirts </t>
  </si>
  <si>
    <t>20 Regular golf shirts (Grey, Navy, White)</t>
  </si>
  <si>
    <t>Alturas</t>
  </si>
  <si>
    <t>Troy</t>
  </si>
  <si>
    <t>10 Golf Shirts</t>
  </si>
  <si>
    <t>I need a visual for client to approve</t>
  </si>
  <si>
    <t>Daynna</t>
  </si>
  <si>
    <t>Golfers and Formal Shirts</t>
  </si>
  <si>
    <t>Waiting for Dayna to come back to us. $14.50, $20 and $22 on sample t-shirts taken</t>
  </si>
  <si>
    <t>Edgars</t>
  </si>
  <si>
    <t>Panashe</t>
  </si>
  <si>
    <t>42 golfers / 42 caps Marketing</t>
  </si>
  <si>
    <t>Sent Quote to Edgars.</t>
  </si>
  <si>
    <t>River Of Life</t>
  </si>
  <si>
    <t>African Threads 150 (green). Roni print Client prefers Friday delivery</t>
  </si>
  <si>
    <t>Baker's Inn</t>
  </si>
  <si>
    <t>150 Navy tees - EXPRESS TEES</t>
  </si>
  <si>
    <t>Glenys complications on deadlines</t>
  </si>
  <si>
    <t>SANDRA</t>
  </si>
  <si>
    <t>Dave</t>
  </si>
  <si>
    <t>KUTAURA</t>
  </si>
  <si>
    <t>i am zimbo kids</t>
  </si>
  <si>
    <t>isuzu</t>
  </si>
  <si>
    <t>sample</t>
  </si>
  <si>
    <t>TEXCOLOUR</t>
  </si>
  <si>
    <t>HEADWEAR</t>
  </si>
  <si>
    <t>waterwright</t>
  </si>
  <si>
    <t xml:space="preserve">Nyathi </t>
  </si>
  <si>
    <t>BRETT</t>
  </si>
  <si>
    <t>DETAILS ON SAFARI TRADING COMPANY ORDER - HOW MANY ?</t>
  </si>
  <si>
    <t xml:space="preserve">INVOICE FOR SAFARI TRADING </t>
  </si>
  <si>
    <t>Amai Midzi</t>
  </si>
  <si>
    <t>Troutbek samples</t>
  </si>
  <si>
    <t>Rooneys</t>
  </si>
  <si>
    <t xml:space="preserve">SYOT recon and invoice </t>
  </si>
  <si>
    <t>MARKY FEEDBACK</t>
  </si>
  <si>
    <t>AFRICAN THREADS</t>
  </si>
  <si>
    <t>M</t>
  </si>
  <si>
    <r>
      <rPr>
        <rFont val="Arial"/>
        <color theme="1"/>
        <sz val="7.0"/>
      </rPr>
      <t>GOLFERS TO GENA.LONGSLEEVE BRAND CONFIRMATION,TECH SHIRT SAMPLE AND QTY AVAIBLE TO OFFICE</t>
    </r>
    <r>
      <rPr>
        <rFont val="Arial"/>
        <color theme="1"/>
        <sz val="12.0"/>
      </rPr>
      <t xml:space="preserve"> </t>
    </r>
    <r>
      <rPr>
        <rFont val="Arial"/>
        <color theme="1"/>
        <sz val="6.0"/>
      </rPr>
      <t xml:space="preserve">FOR COLLECTION, THSIRTS </t>
    </r>
  </si>
  <si>
    <t>in production At African Threads with Alice - please send details for invoicing. Need to check Roni's samples</t>
  </si>
  <si>
    <r>
      <rPr>
        <rFont val="Arial"/>
        <b/>
        <color theme="1"/>
        <sz val="11.0"/>
      </rPr>
      <t>Ammended artwork and texcolour doing one for actual approval</t>
    </r>
    <r>
      <rPr>
        <rFont val="Arial"/>
        <color theme="1"/>
        <sz val="11.0"/>
      </rPr>
      <t>Waiting for Brett's feedback on actual sample done by Texcolour</t>
    </r>
  </si>
  <si>
    <t>CHINO trouser sizes are being sent asap, once in will send to Sumit.</t>
  </si>
  <si>
    <t>20 Tracker caps plus 19</t>
  </si>
  <si>
    <t>Ready for COllection</t>
  </si>
  <si>
    <t>Ordered with Frank</t>
  </si>
  <si>
    <t>10 Fishing shirts, 20 Golf shirts</t>
  </si>
  <si>
    <t>35 ex vat fishing, golfer- 22 ex vat</t>
  </si>
  <si>
    <t>Mashonaland Gunclub</t>
  </si>
  <si>
    <t xml:space="preserve">K-way style soft shell jackets, Golfers, SS Golf Shirts,LS Golf Shirts, LS Tees, Caps </t>
  </si>
  <si>
    <t>Need to make samples. Brett will give update on the fancy softshell K-way style</t>
  </si>
  <si>
    <t>Tawanda</t>
  </si>
  <si>
    <t>Samples</t>
  </si>
  <si>
    <t>Paid. Samples to Sandra after getting Chino fabric from Azbo. soon as possible. Shirt sample sent to Pari?</t>
  </si>
  <si>
    <t>Delivered, Awaiting Payment</t>
  </si>
  <si>
    <t>Nyarai to advise on time for coming to showroom</t>
  </si>
  <si>
    <t>Staff uniform</t>
  </si>
  <si>
    <t>All golfers and Safari shirts done. Can't supply 50 khaki longsleeve mens</t>
  </si>
  <si>
    <t>Never head back from them</t>
  </si>
  <si>
    <t>Replacement. 19 caps available. Karl need visiual, Brett to provide once back</t>
  </si>
  <si>
    <t>Kutaura making. Need to collect Tuesday then to Roni. But Kutaura is waiting for fabric from Kadoma.</t>
  </si>
  <si>
    <t xml:space="preserve"> Waiting for size breakdown for the balance of 46</t>
  </si>
  <si>
    <t>White roundneck. 25S, 30M, 55XL, 20XXL, 10XXXL... Black roundneck. 25S, 30M, 55XL, 20XXL, 10XXXL. 140 Black caps and 140 white caps</t>
  </si>
  <si>
    <t>Delivered all. 1 missing black shirt</t>
  </si>
  <si>
    <t>Tariro waiting for authorisation sign off. Checking with her friday this week</t>
  </si>
  <si>
    <t>Cash on delivery. Sandra making, Texcolour for branding</t>
  </si>
  <si>
    <t>Same as previous black order. Brett to advise on fabric.</t>
  </si>
  <si>
    <t>PDC (Swift)</t>
  </si>
  <si>
    <t>Irene</t>
  </si>
  <si>
    <t>8 (blue shades) golf shirts... 10 Royal blue caps</t>
  </si>
  <si>
    <t>What fabrics do we have on shades of blue</t>
  </si>
  <si>
    <t>100 Black T-shirts Global Impact</t>
  </si>
  <si>
    <t>Brett to advise as per his voicenote in Zimworx group</t>
  </si>
  <si>
    <t>Holiday Inn</t>
  </si>
  <si>
    <t>110 White Hoodies</t>
  </si>
  <si>
    <t>Need a price to send quote. Do we have capacity for White????</t>
  </si>
  <si>
    <t>NYATHI</t>
  </si>
  <si>
    <t>QTY</t>
  </si>
  <si>
    <t>GOT</t>
  </si>
  <si>
    <t>DELIVERED</t>
  </si>
  <si>
    <t>CAPS TRUCKER 5 PANEL</t>
  </si>
  <si>
    <t>CAPS BUCKLE BACK  6 PANEL</t>
  </si>
  <si>
    <t>BHAT 21 BUCKET HAT</t>
  </si>
  <si>
    <t>BHAT 22 BUCKET HAT</t>
  </si>
  <si>
    <t>ANDY CAP</t>
  </si>
  <si>
    <t>BEANIE</t>
  </si>
  <si>
    <t>NYATHI CORE TSHIRT</t>
  </si>
  <si>
    <t>SHIELD WINDOW TSHIRT</t>
  </si>
  <si>
    <t>CRACKED TSHIRT</t>
  </si>
  <si>
    <t>NYATHI CORE TSHIRT - BAGGY</t>
  </si>
  <si>
    <t>CRACKED TSHIRT - BAGGY</t>
  </si>
  <si>
    <t>VNECK</t>
  </si>
  <si>
    <t>L/SLEEVE</t>
  </si>
  <si>
    <t>HOODIE NYATHI LOGO</t>
  </si>
  <si>
    <t>HOODIE RESPECT THE CRAFT</t>
  </si>
  <si>
    <t>CHINOS</t>
  </si>
  <si>
    <t>LABELS</t>
  </si>
  <si>
    <t>TOTAL</t>
  </si>
  <si>
    <t>PAID</t>
  </si>
  <si>
    <t>BALANCE</t>
  </si>
  <si>
    <t>Bakers INN order aprons and chinos</t>
  </si>
  <si>
    <t>Delvivered to client</t>
  </si>
  <si>
    <t>Ordered</t>
  </si>
  <si>
    <t>Delivered from sandra</t>
  </si>
  <si>
    <t>Delivered to Client</t>
  </si>
  <si>
    <t>Balance DUE</t>
  </si>
  <si>
    <t>Aprons</t>
  </si>
  <si>
    <t xml:space="preserve">DAVE </t>
  </si>
  <si>
    <t xml:space="preserve">MISHAPS </t>
  </si>
  <si>
    <t>22/8</t>
  </si>
  <si>
    <t>REPLACEMENT CAP  BCG</t>
  </si>
  <si>
    <t>MOTORBIKE FOR BCG CAP</t>
  </si>
  <si>
    <t>70 GOLFERS</t>
  </si>
  <si>
    <t>DAVE</t>
  </si>
  <si>
    <t xml:space="preserve">Salty bags </t>
  </si>
  <si>
    <t>Sky run shirts</t>
  </si>
  <si>
    <t xml:space="preserve">Cafe Nush </t>
  </si>
  <si>
    <t>SALTY SHORTS X360</t>
  </si>
  <si>
    <t>zimbo caps</t>
  </si>
  <si>
    <t>Edgars Shorts x300</t>
  </si>
  <si>
    <t>TEX COLOUR</t>
  </si>
  <si>
    <t>500 masks</t>
  </si>
  <si>
    <t>Imara Navy shirts</t>
  </si>
  <si>
    <t xml:space="preserve">Edgar's shorts </t>
  </si>
  <si>
    <t>Faithwear shorts airport X88</t>
  </si>
  <si>
    <t>9 SEPT</t>
  </si>
  <si>
    <t xml:space="preserve">Damara </t>
  </si>
  <si>
    <t>Kidd Hunta TEES</t>
  </si>
  <si>
    <t>Lonely Nguni Tees</t>
  </si>
  <si>
    <t>Safari Trading Tees</t>
  </si>
  <si>
    <t>Faithwear Tees</t>
  </si>
  <si>
    <t>Salty tees</t>
  </si>
  <si>
    <t>BVR ARTWORKS</t>
  </si>
  <si>
    <t xml:space="preserve">Bakers inn bib </t>
  </si>
  <si>
    <t>Instructions DAVE - salty bags</t>
  </si>
  <si>
    <t>SHIRTS for Edgars x750</t>
  </si>
  <si>
    <t>BIB for bakers inn new sample</t>
  </si>
  <si>
    <t>Airport sweaters</t>
  </si>
  <si>
    <t>Mens Floral Shirts - airport</t>
  </si>
  <si>
    <t xml:space="preserve">TAF MASTER LIST </t>
  </si>
  <si>
    <t>SALTY TEES</t>
  </si>
  <si>
    <t>NEED more navy golfers from sandra then branding</t>
  </si>
  <si>
    <t>FAITHWEAR TEES</t>
  </si>
  <si>
    <t>hangers edgars 850 - 750 to kish</t>
  </si>
  <si>
    <t>inspection crew tees x750</t>
  </si>
  <si>
    <t>sandra shorts x300 edgars - branding</t>
  </si>
  <si>
    <t>salty shorts - sandra</t>
  </si>
  <si>
    <t>branding kutarura</t>
  </si>
  <si>
    <t>salty tees</t>
  </si>
  <si>
    <t>help coordiante</t>
  </si>
  <si>
    <t>DATE</t>
  </si>
  <si>
    <t>INV NO</t>
  </si>
  <si>
    <t>FOR WHO</t>
  </si>
  <si>
    <t>COST PER GARMENT</t>
  </si>
  <si>
    <t>CR</t>
  </si>
  <si>
    <t>DB PAYMENTS</t>
  </si>
  <si>
    <t>94/2024</t>
  </si>
  <si>
    <t>74,76,77,78,79,80,81</t>
  </si>
  <si>
    <t>GOLF SHIRTS STOCK</t>
  </si>
  <si>
    <t>TRACK SUITS</t>
  </si>
  <si>
    <t>25/3/2024</t>
  </si>
  <si>
    <t>18/4/2024</t>
  </si>
  <si>
    <t>84,85,86,87</t>
  </si>
  <si>
    <t>17/5/2024</t>
  </si>
  <si>
    <t>21/5/2024</t>
  </si>
  <si>
    <t>89,91,92</t>
  </si>
  <si>
    <t>TSHIRTS</t>
  </si>
  <si>
    <t>24/5/2024</t>
  </si>
  <si>
    <t>MACHINES PAYMENT</t>
  </si>
  <si>
    <t>PAYMENT via shop</t>
  </si>
  <si>
    <t>94,95,97,98,99,100,01</t>
  </si>
  <si>
    <t>chisi hoodies + golf shirts</t>
  </si>
  <si>
    <t>masks 1000</t>
  </si>
  <si>
    <t>15/7/2024</t>
  </si>
  <si>
    <t>Payment via shop</t>
  </si>
  <si>
    <t>06,07,08,09,10,11</t>
  </si>
  <si>
    <t>chisi hoodies $3</t>
  </si>
  <si>
    <t>shorts</t>
  </si>
  <si>
    <t>21/8/2024</t>
  </si>
  <si>
    <t>PAYMENT VIA BVR</t>
  </si>
  <si>
    <t>mukur deposit</t>
  </si>
  <si>
    <t>20/8/2024</t>
  </si>
  <si>
    <t>13,14</t>
  </si>
  <si>
    <t>87,88</t>
  </si>
  <si>
    <t>golf shirts</t>
  </si>
  <si>
    <t>18/9/2024</t>
  </si>
  <si>
    <t>payment via shop / leigh</t>
  </si>
  <si>
    <t>19/9/2024</t>
  </si>
  <si>
    <t>payment via leigh/shop</t>
  </si>
  <si>
    <t>17/9/2024</t>
  </si>
  <si>
    <t>20/9/2024</t>
  </si>
  <si>
    <t>17,18,19,20,22,23,24,27</t>
  </si>
  <si>
    <t>20/9/24</t>
  </si>
  <si>
    <t>green t's</t>
  </si>
  <si>
    <t>20,23,26</t>
  </si>
  <si>
    <t>runyanga</t>
  </si>
  <si>
    <t>payment via shop/bvr</t>
  </si>
  <si>
    <t>30,31,33,34</t>
  </si>
  <si>
    <t>mukuru</t>
  </si>
  <si>
    <t>payment from brett</t>
  </si>
  <si>
    <t>38,39,41,43,44</t>
  </si>
  <si>
    <t>22/10/2024</t>
  </si>
  <si>
    <t>salty shorts</t>
  </si>
  <si>
    <t>cel c golf shirts - 105</t>
  </si>
  <si>
    <t>15/11/2024</t>
  </si>
  <si>
    <t>payment</t>
  </si>
  <si>
    <t>19/11</t>
  </si>
  <si>
    <t>48,49,50</t>
  </si>
  <si>
    <t>edgars golf shirts</t>
  </si>
  <si>
    <t>52,55,56</t>
  </si>
  <si>
    <t>Edgars shorts</t>
  </si>
  <si>
    <t>19/11/2024</t>
  </si>
  <si>
    <t>51,57</t>
  </si>
  <si>
    <t>58,59</t>
  </si>
  <si>
    <t>sky run</t>
  </si>
  <si>
    <t>54,60</t>
  </si>
  <si>
    <t xml:space="preserve">Machine bal </t>
  </si>
  <si>
    <t>FABRIC RECON 2025</t>
  </si>
  <si>
    <t>TOTAL Garments</t>
  </si>
  <si>
    <t>14/3</t>
  </si>
  <si>
    <t>28/2</t>
  </si>
  <si>
    <t>26/2</t>
  </si>
  <si>
    <t>19/2</t>
  </si>
  <si>
    <t>24/2</t>
  </si>
  <si>
    <t>14/2</t>
  </si>
  <si>
    <t>28/1</t>
  </si>
  <si>
    <t>31/1</t>
  </si>
  <si>
    <t>25/1</t>
  </si>
  <si>
    <t>16.01.2025</t>
  </si>
  <si>
    <t>WHITE</t>
  </si>
  <si>
    <t>LACOSTE x 5 rolls</t>
  </si>
  <si>
    <t>COLLARS</t>
  </si>
  <si>
    <t>22/1/2025</t>
  </si>
  <si>
    <t>GREEN</t>
  </si>
  <si>
    <t>FLEECE</t>
  </si>
  <si>
    <t xml:space="preserve">BLACK </t>
  </si>
  <si>
    <t>RIB</t>
  </si>
  <si>
    <t>27/1</t>
  </si>
  <si>
    <t>MELANGE GREY</t>
  </si>
  <si>
    <t>29/1/2025</t>
  </si>
  <si>
    <t>BLACK</t>
  </si>
  <si>
    <t>NAVY</t>
  </si>
  <si>
    <t>LACOSTE</t>
  </si>
  <si>
    <t>POLY SPAN</t>
  </si>
  <si>
    <t>RIPSTOP</t>
  </si>
  <si>
    <t>MESH</t>
  </si>
  <si>
    <t>TN Holdings</t>
  </si>
  <si>
    <t>Getting in comms with the CEO</t>
  </si>
  <si>
    <t>Dandemutande</t>
  </si>
  <si>
    <t>Marketing executive referred us to marketing manager Rumbi who we are in comms with</t>
  </si>
  <si>
    <t>Husqarvana Cutting Edge</t>
  </si>
  <si>
    <t>Josh Oates currently figuring things out for first order placement</t>
  </si>
  <si>
    <t>Providence Human Capital</t>
  </si>
  <si>
    <t>Have done first order and are happy. We can go on and design a long-term partnership deal with them</t>
  </si>
  <si>
    <t>Autoworld Isuzu</t>
  </si>
  <si>
    <t>Meeting with Piet to discuss an exclusive long-term partnership</t>
  </si>
  <si>
    <t xml:space="preserve">Bitumen </t>
  </si>
  <si>
    <t xml:space="preserve">On hold </t>
  </si>
  <si>
    <t>FBC Holdings</t>
  </si>
  <si>
    <t>Waiting to initiate long-term partnership talks</t>
  </si>
  <si>
    <t>WestProp</t>
  </si>
  <si>
    <t>Have done order(s) and are happy. We can go on and design a long-term partnership deal with them</t>
  </si>
  <si>
    <t>Once order has been confirmed, we can go on and design a long-term partnership deal with them</t>
  </si>
  <si>
    <t>EDGARS DELIVERIES</t>
  </si>
  <si>
    <t>DELIVERY DATE TO US</t>
  </si>
  <si>
    <t>DELIVERY DATE TO EDGARS</t>
  </si>
  <si>
    <t>CHANGES TO BE MADE TO ORDER</t>
  </si>
  <si>
    <t>asked mathew to change</t>
  </si>
  <si>
    <t>need sandy to change</t>
  </si>
  <si>
    <t>Stickers we have</t>
  </si>
  <si>
    <t>Sticker change</t>
  </si>
  <si>
    <t>INVOICES SANDY</t>
  </si>
  <si>
    <t>LABELS DONE</t>
  </si>
  <si>
    <t>LABELS NEEDED</t>
  </si>
  <si>
    <t>SIZES</t>
  </si>
  <si>
    <t>FAITH</t>
  </si>
  <si>
    <t>POWERTECH</t>
  </si>
  <si>
    <t>CHECKED</t>
  </si>
  <si>
    <t>CHAR/EMERALD</t>
  </si>
  <si>
    <t>13/11</t>
  </si>
  <si>
    <t>29/10</t>
  </si>
  <si>
    <t>CREW NECK TEE</t>
  </si>
  <si>
    <t>BLK/CHAR / GOLD</t>
  </si>
  <si>
    <t>AMAI MIDZI</t>
  </si>
  <si>
    <t>white x750</t>
  </si>
  <si>
    <t>VESTS</t>
  </si>
  <si>
    <t>CHAR / GOLD / WHT</t>
  </si>
  <si>
    <t xml:space="preserve">28/10 </t>
  </si>
  <si>
    <t>white x500, blk x250</t>
  </si>
  <si>
    <t>MAROON / NAVY / WHT</t>
  </si>
  <si>
    <t>18/11</t>
  </si>
  <si>
    <t>BLK/PEACH</t>
  </si>
  <si>
    <t>CHAR/ROYAL</t>
  </si>
  <si>
    <t>BLK/NVY</t>
  </si>
  <si>
    <t>BLK VENT/ NAVY VENT / BLK/NAVY</t>
  </si>
  <si>
    <t>BLK, BURGANDY, GREY, NAVY, OLIVE, RED, SKY BLUE, STONE, WHITE</t>
  </si>
  <si>
    <t>BLACK, NAVY, SKY BLUE</t>
  </si>
  <si>
    <t>CHARCOAL/OLIVE</t>
  </si>
  <si>
    <t>BLACK/WHITE</t>
  </si>
  <si>
    <t>BLACK/GREY</t>
  </si>
  <si>
    <t>BROWN</t>
  </si>
  <si>
    <t>NAVY YELLOW</t>
  </si>
  <si>
    <t>BLUE</t>
  </si>
  <si>
    <t>GREY/KHAKI/OLIVE</t>
  </si>
  <si>
    <t>MUSTARD/NAVY</t>
  </si>
  <si>
    <t>SOCKS</t>
  </si>
  <si>
    <t>VAT</t>
  </si>
  <si>
    <t>NET VAT</t>
  </si>
  <si>
    <t xml:space="preserve">EDGARS </t>
  </si>
  <si>
    <t>BVR MASTER LIST</t>
  </si>
  <si>
    <t>POWER TECH TSHIRT</t>
  </si>
  <si>
    <t>EPOLO2025000193</t>
  </si>
  <si>
    <t>EPOLO2025000188</t>
  </si>
  <si>
    <t>TRACKSUIT TOP</t>
  </si>
  <si>
    <t>EPOLO2025000189</t>
  </si>
  <si>
    <t>TRACKSUIT BOTTOMS</t>
  </si>
  <si>
    <t>EPOLO2025000190</t>
  </si>
  <si>
    <t>LONG SLEEVE TEES</t>
  </si>
  <si>
    <t>BLACK / WHITE</t>
  </si>
  <si>
    <t>FLEECE SWEATER</t>
  </si>
  <si>
    <t>MELANGE GREY / BLACK</t>
  </si>
  <si>
    <t>UNISEX JOGGERS</t>
  </si>
  <si>
    <t>BEANIES</t>
  </si>
  <si>
    <t>ZIMBO</t>
  </si>
  <si>
    <t>KIDS TEES</t>
  </si>
  <si>
    <t xml:space="preserve">A THREADS </t>
  </si>
  <si>
    <t>ADULTS TEES</t>
  </si>
  <si>
    <t>LADIES FAITHWEAR</t>
  </si>
  <si>
    <t>PRICES FOR AIRPORT SHOP</t>
  </si>
  <si>
    <t>HIS</t>
  </si>
  <si>
    <t xml:space="preserve">GOLF SHIRTS </t>
  </si>
  <si>
    <t>NOW FOR BRANDING</t>
  </si>
  <si>
    <t xml:space="preserve">GIRLS SHORTS </t>
  </si>
  <si>
    <t xml:space="preserve">BLACK GOLF SHORTS </t>
  </si>
  <si>
    <t xml:space="preserve">BOYS TENNIS SHORTS </t>
  </si>
  <si>
    <t>SAMPLE</t>
  </si>
  <si>
    <t>DELIVERY DATE</t>
  </si>
  <si>
    <t>COMPLETED</t>
  </si>
  <si>
    <t>S</t>
  </si>
  <si>
    <t>L</t>
  </si>
  <si>
    <t>XL</t>
  </si>
  <si>
    <t>XXL</t>
  </si>
  <si>
    <t>3XL</t>
  </si>
  <si>
    <t>PRINTING</t>
  </si>
  <si>
    <t>BLACK TSHIRTS</t>
  </si>
  <si>
    <t>SLEEVELESS TSHIRTS</t>
  </si>
  <si>
    <t>LONG SLEEVE WHITE</t>
  </si>
  <si>
    <t>KIDS POLYESTER TEES</t>
  </si>
  <si>
    <t>NAVY BLUE</t>
  </si>
  <si>
    <t>ADULTS TEES POLYESTER</t>
  </si>
  <si>
    <t>EMBRIODERY</t>
  </si>
  <si>
    <t xml:space="preserve">MELANGE GREY </t>
  </si>
  <si>
    <t>BAGGY TSHIRT STOCK</t>
  </si>
  <si>
    <t>MT070</t>
  </si>
  <si>
    <t>BLACK AND NAVY</t>
  </si>
  <si>
    <t>SALTY REGULAR FIT</t>
  </si>
  <si>
    <t>TSHRTS</t>
  </si>
  <si>
    <t>VALCAN</t>
  </si>
  <si>
    <t>MAYA BLUE</t>
  </si>
  <si>
    <t>SALTY SLIM FIT</t>
  </si>
  <si>
    <t>PUTTY</t>
  </si>
  <si>
    <t>FAITHWEAR GOLFERS BRANDED FOR EDGARS</t>
  </si>
  <si>
    <t>PLAIN</t>
  </si>
  <si>
    <t xml:space="preserve">PUTTY GREY </t>
  </si>
  <si>
    <t>GREY</t>
  </si>
  <si>
    <t>OLIVE</t>
  </si>
  <si>
    <t>WITH CONTRAST</t>
  </si>
  <si>
    <t>PUTTY GREY/GREEN</t>
  </si>
  <si>
    <t>RUBY WINE / PEACH</t>
  </si>
  <si>
    <t xml:space="preserve">PEACH/ RUBY </t>
  </si>
  <si>
    <t>OLIVE / BEIGE</t>
  </si>
  <si>
    <t>NAVY/LT BLUE</t>
  </si>
  <si>
    <t>WHITE/BLACK</t>
  </si>
  <si>
    <t>ORDER NO</t>
  </si>
  <si>
    <t>STYLE</t>
  </si>
  <si>
    <t>COLOUR</t>
  </si>
  <si>
    <t>DELIVERED to edgars</t>
  </si>
  <si>
    <t>Column 1</t>
  </si>
  <si>
    <t>MISSING</t>
  </si>
  <si>
    <t xml:space="preserve">recevied headwear </t>
  </si>
  <si>
    <t>CRUSHED NYLON</t>
  </si>
  <si>
    <t>MUSTARD</t>
  </si>
  <si>
    <t>BUSH HAT</t>
  </si>
  <si>
    <t>KHAKI</t>
  </si>
  <si>
    <t>NAVY/YELLO</t>
  </si>
  <si>
    <t>50 DELIVERED</t>
  </si>
  <si>
    <t>C010500</t>
  </si>
  <si>
    <t>S17601</t>
  </si>
  <si>
    <t>dont have these</t>
  </si>
  <si>
    <t>P19700</t>
  </si>
  <si>
    <t>Got and ready to deliver</t>
  </si>
  <si>
    <t>CHARCOAL</t>
  </si>
  <si>
    <t>Delivered</t>
  </si>
  <si>
    <t>No Olive</t>
  </si>
  <si>
    <t>MEL</t>
  </si>
  <si>
    <t>TOTALS</t>
  </si>
  <si>
    <t>DN 13/9/24 # 0603</t>
  </si>
  <si>
    <t>DN 24/9/24 # 0605</t>
  </si>
  <si>
    <t>DN 9/10/24 # 0606</t>
  </si>
  <si>
    <t>DN 23/10/24 # 0609</t>
  </si>
  <si>
    <t>DN 1/11/24 # 0610</t>
  </si>
  <si>
    <t>ENG / BLK</t>
  </si>
  <si>
    <t>SHONA /BLK</t>
  </si>
  <si>
    <t>NDL / BLK</t>
  </si>
  <si>
    <t>SHONA / ORG</t>
  </si>
  <si>
    <t>NDL / ORG</t>
  </si>
  <si>
    <t>ENG / ORG</t>
  </si>
  <si>
    <t>ORDERED</t>
  </si>
  <si>
    <t>INV</t>
  </si>
  <si>
    <t>Prokel</t>
  </si>
  <si>
    <t>AMOUNT</t>
  </si>
  <si>
    <t>RUNNING</t>
  </si>
  <si>
    <t>000-462</t>
  </si>
  <si>
    <t>TROJAN</t>
  </si>
  <si>
    <t>001-404</t>
  </si>
  <si>
    <t>navy/black</t>
  </si>
  <si>
    <t>LAGOONA</t>
  </si>
  <si>
    <t>001-721</t>
  </si>
  <si>
    <t>am bus</t>
  </si>
  <si>
    <t>002-027</t>
  </si>
  <si>
    <t>GREY / NAVY</t>
  </si>
  <si>
    <t>002-151</t>
  </si>
  <si>
    <t>PROVOLT</t>
  </si>
  <si>
    <t>002-600</t>
  </si>
  <si>
    <t>PROVOLT / AQUA / MATETSI</t>
  </si>
  <si>
    <t>002-785</t>
  </si>
  <si>
    <t>FLEECE FABRIC TROJAN</t>
  </si>
  <si>
    <t>003-077</t>
  </si>
  <si>
    <t>QUERY ON THIS DUPLICATION</t>
  </si>
  <si>
    <t>pnp</t>
  </si>
  <si>
    <t>004-316</t>
  </si>
  <si>
    <t>headWEAR</t>
  </si>
  <si>
    <t>004-207</t>
  </si>
  <si>
    <t>salty and imire</t>
  </si>
  <si>
    <t>ykk</t>
  </si>
  <si>
    <t>004-318</t>
  </si>
  <si>
    <t>headwear</t>
  </si>
  <si>
    <t>006-270</t>
  </si>
  <si>
    <t xml:space="preserve">waterwright, BE, keepnet / receipt </t>
  </si>
  <si>
    <t>005-052</t>
  </si>
  <si>
    <t>lagoona</t>
  </si>
  <si>
    <t>004-638</t>
  </si>
  <si>
    <t>receipt 0401</t>
  </si>
  <si>
    <t>30/4</t>
  </si>
  <si>
    <t>Headwear</t>
  </si>
  <si>
    <t>005-55</t>
  </si>
  <si>
    <t>26/5</t>
  </si>
  <si>
    <t>3 monkeys</t>
  </si>
  <si>
    <t>29/5</t>
  </si>
  <si>
    <t>trojan</t>
  </si>
  <si>
    <t>006-501</t>
  </si>
  <si>
    <t>006-618</t>
  </si>
  <si>
    <t>receipt 1783</t>
  </si>
  <si>
    <t>receipt 0527</t>
  </si>
  <si>
    <t>BVR Paid</t>
  </si>
  <si>
    <t>receipt 2625</t>
  </si>
  <si>
    <t>24/6</t>
  </si>
  <si>
    <t>receipt 0596</t>
  </si>
  <si>
    <t>006-719</t>
  </si>
  <si>
    <t>23/6</t>
  </si>
  <si>
    <t>007-570</t>
  </si>
  <si>
    <t>007-579</t>
  </si>
  <si>
    <t>008-378</t>
  </si>
  <si>
    <t>Bakers inn</t>
  </si>
  <si>
    <t>14/07</t>
  </si>
  <si>
    <t xml:space="preserve">receipt </t>
  </si>
  <si>
    <t>receipt 2795</t>
  </si>
  <si>
    <t>21/07</t>
  </si>
  <si>
    <t>receipt</t>
  </si>
  <si>
    <t>008-923</t>
  </si>
  <si>
    <t>29/7</t>
  </si>
  <si>
    <t>009-277</t>
  </si>
  <si>
    <t>Browns</t>
  </si>
  <si>
    <t>24/7</t>
  </si>
  <si>
    <t>009-089</t>
  </si>
  <si>
    <t>nyathi samples</t>
  </si>
  <si>
    <t>31/7</t>
  </si>
  <si>
    <t>009-449</t>
  </si>
  <si>
    <t>jecha</t>
  </si>
  <si>
    <t>009-538</t>
  </si>
  <si>
    <t>black fabric</t>
  </si>
  <si>
    <t>pnp/woolies</t>
  </si>
  <si>
    <t>009-816</t>
  </si>
  <si>
    <t>009-703</t>
  </si>
  <si>
    <t>rooneys</t>
  </si>
  <si>
    <t>19/8</t>
  </si>
  <si>
    <t>18/8</t>
  </si>
  <si>
    <t>Pnp</t>
  </si>
  <si>
    <t>010-093</t>
  </si>
  <si>
    <t xml:space="preserve">Headwear </t>
  </si>
  <si>
    <t>DB</t>
  </si>
  <si>
    <t>010-599</t>
  </si>
  <si>
    <t>Faith wear / S2S</t>
  </si>
  <si>
    <t>010-804</t>
  </si>
  <si>
    <t>010-674</t>
  </si>
  <si>
    <t>010-104</t>
  </si>
  <si>
    <t>Headwear 22098</t>
  </si>
  <si>
    <t>28/9</t>
  </si>
  <si>
    <t>011-620</t>
  </si>
  <si>
    <t xml:space="preserve">bakers inn final </t>
  </si>
  <si>
    <t>Headwear 52570 / 17500</t>
  </si>
  <si>
    <t>16/9</t>
  </si>
  <si>
    <t>011-990</t>
  </si>
  <si>
    <t xml:space="preserve">Headwear 14659 </t>
  </si>
  <si>
    <t xml:space="preserve">Faith </t>
  </si>
  <si>
    <t>011-979</t>
  </si>
  <si>
    <t>Headwear 3667</t>
  </si>
  <si>
    <t>22/9</t>
  </si>
  <si>
    <t>011-452</t>
  </si>
  <si>
    <t>Headwear 5543</t>
  </si>
  <si>
    <t xml:space="preserve">Semex </t>
  </si>
  <si>
    <t>011-138</t>
  </si>
  <si>
    <t>Headwear 2023.75</t>
  </si>
  <si>
    <t>Receipt</t>
  </si>
  <si>
    <t>at house</t>
  </si>
  <si>
    <t>VR SPORTS</t>
  </si>
  <si>
    <t>012-279</t>
  </si>
  <si>
    <t>012-251</t>
  </si>
  <si>
    <t>Aqua  /waterwright samples</t>
  </si>
  <si>
    <t>brett paid at warehouse</t>
  </si>
  <si>
    <t>012-591</t>
  </si>
  <si>
    <t>pick pay</t>
  </si>
  <si>
    <t>012-381</t>
  </si>
  <si>
    <t>nyathi</t>
  </si>
  <si>
    <t>012-621</t>
  </si>
  <si>
    <t>nyathi bucket hats</t>
  </si>
  <si>
    <t>27 /10</t>
  </si>
  <si>
    <t>coffee machine</t>
  </si>
  <si>
    <t>013-012</t>
  </si>
  <si>
    <t>cash convertors</t>
  </si>
  <si>
    <t>013-015</t>
  </si>
  <si>
    <t>headwear Nyathi</t>
  </si>
  <si>
    <t>28/10</t>
  </si>
  <si>
    <t>013-428</t>
  </si>
  <si>
    <t>headwear - sky run</t>
  </si>
  <si>
    <t>013-670</t>
  </si>
  <si>
    <t xml:space="preserve">lagoona </t>
  </si>
  <si>
    <t>14/11</t>
  </si>
  <si>
    <t>reecipt</t>
  </si>
  <si>
    <t>20/11</t>
  </si>
  <si>
    <t>014-312</t>
  </si>
  <si>
    <t>headwear evolution</t>
  </si>
  <si>
    <t>014-392</t>
  </si>
  <si>
    <t>durban hwnge shirts</t>
  </si>
  <si>
    <t>26/11</t>
  </si>
  <si>
    <t>014-816</t>
  </si>
  <si>
    <t>Hangers</t>
  </si>
  <si>
    <t>Amrod</t>
  </si>
  <si>
    <t>Headwear RHS / Sealman</t>
  </si>
  <si>
    <t>COMPANY NAME</t>
  </si>
  <si>
    <t>CONTACT</t>
  </si>
  <si>
    <t>OUR POINT MAN</t>
  </si>
  <si>
    <t>PRODUCT</t>
  </si>
  <si>
    <t>TO DO</t>
  </si>
  <si>
    <t>WHO</t>
  </si>
  <si>
    <t>BY WHEN</t>
  </si>
  <si>
    <t>IN PROGRESS</t>
  </si>
  <si>
    <t>ONGOING QUOTES / FOLLOW UPS</t>
  </si>
  <si>
    <t>KYLE COLLEGE UNIFORMS - LVR</t>
  </si>
  <si>
    <t>DElta meeting/BVR</t>
  </si>
  <si>
    <t>QUOTED / INQUIRY</t>
  </si>
  <si>
    <t>West Propertiers</t>
  </si>
  <si>
    <t xml:space="preserve"> </t>
  </si>
  <si>
    <t>MUKURU</t>
  </si>
  <si>
    <t>CHELSEA</t>
  </si>
  <si>
    <t>4994 TSHIRTS</t>
  </si>
  <si>
    <t>save valley</t>
  </si>
  <si>
    <t>nikki gripper</t>
  </si>
  <si>
    <t>200 polyester - 100 LADIES 100 MENS</t>
  </si>
  <si>
    <t>samples to shop</t>
  </si>
  <si>
    <t>QUOTATION</t>
  </si>
  <si>
    <t>FISCAL</t>
  </si>
  <si>
    <t>Safari Trading company</t>
  </si>
  <si>
    <t>quotation</t>
  </si>
  <si>
    <t>Order from SA</t>
  </si>
  <si>
    <t>SIMBISA BRANDS</t>
  </si>
  <si>
    <t>MAKO / TAF</t>
  </si>
  <si>
    <t>Moisture Management Golf Shirts</t>
  </si>
  <si>
    <t>NANDOS</t>
  </si>
  <si>
    <t>NEC BRICK</t>
  </si>
  <si>
    <t>BRENDA</t>
  </si>
  <si>
    <t>FORMAL SHIRTS MENS AND LADIES</t>
  </si>
  <si>
    <t>CARGO TROUSERS</t>
  </si>
  <si>
    <t xml:space="preserve">FISCAL </t>
  </si>
  <si>
    <t>BRANDING</t>
  </si>
  <si>
    <t>SEBASTIAN</t>
  </si>
  <si>
    <t>20 Sublimated golf shirts</t>
  </si>
  <si>
    <t>fiscal</t>
  </si>
  <si>
    <t>fabric printing</t>
  </si>
  <si>
    <t>making of shirt</t>
  </si>
  <si>
    <t>AFRICA PARKS</t>
  </si>
  <si>
    <t>JO</t>
  </si>
  <si>
    <t>228 SHIRTS - ADULTS M - 170, L  -30, XL - 5</t>
  </si>
  <si>
    <t>joannac@africanparks.org</t>
  </si>
  <si>
    <t xml:space="preserve">KIDS - 3-4 YRS - 3, 5-6 YRS - 5 7-8 YRS - 5, 11-12 YRS - 10 </t>
  </si>
  <si>
    <t>FNEIL &amp; SONS</t>
  </si>
  <si>
    <t xml:space="preserve">SHIRTS - </t>
  </si>
  <si>
    <t>160 caps</t>
  </si>
  <si>
    <t>ZIMWORKS</t>
  </si>
  <si>
    <t>BORNWELL</t>
  </si>
  <si>
    <t>SHIRTS X90 BLACK</t>
  </si>
  <si>
    <t>INVOICE FOR 100</t>
  </si>
  <si>
    <t>S - 16, M- 28 - L- 28, XL - 18</t>
  </si>
  <si>
    <t>FABRIC FROM SUTOL</t>
  </si>
  <si>
    <t>MAKING AT AFRICAN THREADS</t>
  </si>
  <si>
    <t>BRANDING AT RONI</t>
  </si>
  <si>
    <t>WATERWRIGHT</t>
  </si>
  <si>
    <t>LAUREN</t>
  </si>
  <si>
    <t>Taf via BVR</t>
  </si>
  <si>
    <t>BUSH SHIRTS X26</t>
  </si>
  <si>
    <t>S - 1, M- 6, L - 8, XL - 7, XXL - 4</t>
  </si>
  <si>
    <t>SHIRTS COMING FROM SHAYNE AT PARAMOUNT SHOP</t>
  </si>
  <si>
    <t>ORDER</t>
  </si>
  <si>
    <t>BRANDING - kutaura??</t>
  </si>
  <si>
    <t>FIZZI</t>
  </si>
  <si>
    <t>CAFE NUSH</t>
  </si>
  <si>
    <t>TARA</t>
  </si>
  <si>
    <t>Tiiki Hywood</t>
  </si>
  <si>
    <t>Sizes - S - 16, M - 24, L - 18, XL - 2 == 50</t>
  </si>
  <si>
    <t>SHIRTS to be made?</t>
  </si>
  <si>
    <t>branding</t>
  </si>
  <si>
    <t>Terry shirts x 80</t>
  </si>
  <si>
    <t>Tafeta shorts - MAKING</t>
  </si>
  <si>
    <t>TAFEta shorts - BRANDING</t>
  </si>
  <si>
    <t>CAPS  - ORDER FROM SA</t>
  </si>
  <si>
    <t>LADIES GOLFERS X 4</t>
  </si>
  <si>
    <t>MENS GOLFERS X5</t>
  </si>
  <si>
    <t>ADD $10 BIKERS</t>
  </si>
  <si>
    <t>Prime Agro</t>
  </si>
  <si>
    <t>Grey golfers branding - DAVE</t>
  </si>
  <si>
    <t>PAYMENT FOR BRANDING</t>
  </si>
  <si>
    <t>vic falls saf lodge</t>
  </si>
  <si>
    <t>16 Sept</t>
  </si>
  <si>
    <t>Cell insurance</t>
  </si>
  <si>
    <t>sublimated shirts x100</t>
  </si>
  <si>
    <t>fabric printed</t>
  </si>
  <si>
    <t>shirts to be made</t>
  </si>
  <si>
    <t>oncology</t>
  </si>
  <si>
    <t>Quotaiton</t>
  </si>
  <si>
    <t>IAMZIMBO</t>
  </si>
  <si>
    <t>STOCK</t>
  </si>
  <si>
    <t xml:space="preserve">FOUNDATIONS FOR FARMING </t>
  </si>
  <si>
    <t>hazel Edwards</t>
  </si>
  <si>
    <t>1500 T-SHIRTS</t>
  </si>
  <si>
    <t xml:space="preserve">African threads for rib </t>
  </si>
  <si>
    <t>1500 HATS</t>
  </si>
  <si>
    <t xml:space="preserve">Customer hat sizes. </t>
  </si>
  <si>
    <t>printing invoice done</t>
  </si>
  <si>
    <t>extra 200 done</t>
  </si>
  <si>
    <t>LONG SLEEVE STONE SHIRTS  With Branding</t>
  </si>
  <si>
    <t>branding at dave</t>
  </si>
  <si>
    <t>invoice for 10 long sleeve</t>
  </si>
  <si>
    <t>fleece jackets from paramount</t>
  </si>
  <si>
    <t>branding for fleece</t>
  </si>
  <si>
    <t>cleaning/collect thurs6</t>
  </si>
  <si>
    <t>fiscal invoices</t>
  </si>
  <si>
    <t>FOUNDATIONS FOR FARMING</t>
  </si>
  <si>
    <t>HAZEL</t>
  </si>
  <si>
    <t xml:space="preserve">100 TSHIRTS XXL </t>
  </si>
  <si>
    <t>20 LONG SLEEVE STONE SHIRTS</t>
  </si>
  <si>
    <t>branding WITH RONI</t>
  </si>
  <si>
    <t>MARABOU</t>
  </si>
  <si>
    <t>NEIL EILLIOT</t>
  </si>
  <si>
    <t>10 TSHIRTS</t>
  </si>
  <si>
    <t>2 JACKEST BRANDING</t>
  </si>
  <si>
    <t>TSHIRTS PRINTING RONI</t>
  </si>
  <si>
    <t>JACKETS BRANDED KUTAURA</t>
  </si>
  <si>
    <t>KIRSTEN SHADWELL</t>
  </si>
  <si>
    <t>LOCAL GREY CAPS FROM DAVE X15</t>
  </si>
  <si>
    <t>CHARCOAL FROM SA - ORDER FROM HEADWEAR</t>
  </si>
  <si>
    <t>awaiting caps from SA</t>
  </si>
  <si>
    <t>MR CHINGWA</t>
  </si>
  <si>
    <t>GOLF SHIRTS  - NAVY 30</t>
  </si>
  <si>
    <t xml:space="preserve">M-10, L- 10, XL - 10 </t>
  </si>
  <si>
    <t>SOFT SHELL NAVY  -collect and Brand</t>
  </si>
  <si>
    <t>BLUE CROSS</t>
  </si>
  <si>
    <t>LYNNE</t>
  </si>
  <si>
    <t>INNSCOR</t>
  </si>
  <si>
    <t>DESIGN BY BVR</t>
  </si>
  <si>
    <t>PRINTING FABRIC</t>
  </si>
  <si>
    <t>MAKING AMAI MIDZI</t>
  </si>
  <si>
    <t>FISCAL &amp; PAYMENT</t>
  </si>
  <si>
    <t>CONVEX</t>
  </si>
  <si>
    <t>20 golf shirts</t>
  </si>
  <si>
    <t>branding at Kutaura</t>
  </si>
  <si>
    <t>SAVOS</t>
  </si>
  <si>
    <t>5 golf shirts</t>
  </si>
  <si>
    <t>4 caps</t>
  </si>
  <si>
    <t>ROONEYS</t>
  </si>
  <si>
    <t>NIALL</t>
  </si>
  <si>
    <t>SOFT SHELL X10</t>
  </si>
  <si>
    <t>FLEECE X 10 - COMING FROM AFRICAN THREADS</t>
  </si>
  <si>
    <t>invoice</t>
  </si>
  <si>
    <t>MR SINKWA</t>
  </si>
  <si>
    <t>KIDS T SHIRTS X1000</t>
  </si>
  <si>
    <t>KUTAURA TO MAKE TEES</t>
  </si>
  <si>
    <t>BRANDING WITH RONI</t>
  </si>
  <si>
    <t>delivery</t>
  </si>
  <si>
    <t>HORIZON CAMPS</t>
  </si>
  <si>
    <t>SANTE</t>
  </si>
  <si>
    <t>BUFFS X140</t>
  </si>
  <si>
    <t>Sewing</t>
  </si>
  <si>
    <t>Branding @ Roni</t>
  </si>
  <si>
    <t>caps from SA</t>
  </si>
  <si>
    <t>CAPS X100 BASIC TO ORDER FROM FRANK</t>
  </si>
  <si>
    <t>local caps branding at Patrick</t>
  </si>
  <si>
    <t>SAFARI TRADING COMPANY</t>
  </si>
  <si>
    <t>ROBBIE HOARD</t>
  </si>
  <si>
    <t>200 TSHIRTS</t>
  </si>
  <si>
    <t>Printing</t>
  </si>
  <si>
    <t>ZADZAMATURA</t>
  </si>
  <si>
    <t xml:space="preserve"> 500 t-shirts </t>
  </si>
  <si>
    <t>500 HATS - BVR TO TELL INNOCENT</t>
  </si>
  <si>
    <t>GREY GOLFERS</t>
  </si>
  <si>
    <t>LADIES - 3 SMALL, 4 LARGE</t>
  </si>
  <si>
    <t xml:space="preserve">MENS - 5 SMALLS, 4 MED, 4 LARGE, </t>
  </si>
  <si>
    <t>5 CAPS</t>
  </si>
  <si>
    <t>LADIES - 2 MED, 2 LARGE</t>
  </si>
  <si>
    <t>4 MED, 4 LARGE</t>
  </si>
  <si>
    <t>caps x 50</t>
  </si>
  <si>
    <t>CHISIPITE</t>
  </si>
  <si>
    <t>LEE RILEY</t>
  </si>
  <si>
    <t xml:space="preserve">630 hoodies </t>
  </si>
  <si>
    <t xml:space="preserve">450 junior </t>
  </si>
  <si>
    <t>180 senior hoodies</t>
  </si>
  <si>
    <t>ORDER FABRIC</t>
  </si>
  <si>
    <t>MAKE HOODY SAMPLE SET TAKE ZIMBO SET FOR APPROVAL</t>
  </si>
  <si>
    <t>Making of Hoodies with Sandra</t>
  </si>
  <si>
    <t>Branding- roni asap/ wash care</t>
  </si>
  <si>
    <t>Farai</t>
  </si>
  <si>
    <t>SMALL - BLK 7, WHT 1 = 8</t>
  </si>
  <si>
    <t>MED - BLK 22, WHT1 = 23</t>
  </si>
  <si>
    <t>LARGE  -BLK 25, WHT 1 = 26</t>
  </si>
  <si>
    <t>XL - BLK 15, WHT 1 = 16</t>
  </si>
  <si>
    <t>XXL - BLK - 7 = 7</t>
  </si>
  <si>
    <t>TOTAL = 80 GOLF SHIRTS</t>
  </si>
  <si>
    <t>BRANDING AT TEX COLOUR</t>
  </si>
  <si>
    <t>SIGNED ORDER</t>
  </si>
  <si>
    <t>TSHIRTS - AFRICAN THREADS</t>
  </si>
  <si>
    <t>MAGAYA MINING</t>
  </si>
  <si>
    <t>DUSTIN</t>
  </si>
  <si>
    <t>SALTY SHIRTS</t>
  </si>
  <si>
    <t>GOLF SHIRTS GREY</t>
  </si>
  <si>
    <t>COREPAY</t>
  </si>
  <si>
    <t>5 GOLFERS</t>
  </si>
  <si>
    <t>Tel One</t>
  </si>
  <si>
    <t>RUTENDO</t>
  </si>
  <si>
    <t>s-150, m - 150, L - 200, xl - 100, 2xl - 100</t>
  </si>
  <si>
    <t>3xl - 100 = 800 UNITS</t>
  </si>
  <si>
    <t>OFFICIAL ORDER &amp; QUOTATION</t>
  </si>
  <si>
    <t>MAKING SHIRTS - AFRICAN THREADS - ORDERED</t>
  </si>
  <si>
    <t>DELIVERY</t>
  </si>
  <si>
    <t>120 TSHIRTS GREEN M- 25, L- 60, XL - 25, 2XL - 10 = 120</t>
  </si>
  <si>
    <t>A threads making shirts</t>
  </si>
  <si>
    <t>Branding with Roni</t>
  </si>
  <si>
    <t>120 hats</t>
  </si>
  <si>
    <t>Innocent to Collect deposit</t>
  </si>
  <si>
    <t>CONTACT NAME</t>
  </si>
  <si>
    <t>NUMBER</t>
  </si>
  <si>
    <t>AKA / INVOICE NAME</t>
  </si>
  <si>
    <t>TIN</t>
  </si>
  <si>
    <t>BRANDING HOUSE</t>
  </si>
  <si>
    <t>3M FUELS</t>
  </si>
  <si>
    <t>MAC</t>
  </si>
  <si>
    <t>AFRICAN ALBIDA</t>
  </si>
  <si>
    <t>NOMMY</t>
  </si>
  <si>
    <t>0772347749</t>
  </si>
  <si>
    <t>VICTORIA FALLS SAFARI LODGE</t>
  </si>
  <si>
    <t>AGRIPEAK CAPS</t>
  </si>
  <si>
    <t>TOM/BRETT</t>
  </si>
  <si>
    <t>ALL THE WAY</t>
  </si>
  <si>
    <t>ALPHA</t>
  </si>
  <si>
    <t>ALPHA PACKAING</t>
  </si>
  <si>
    <t>AM BUS &amp; TRUCK</t>
  </si>
  <si>
    <t>PAUL BRIEN</t>
  </si>
  <si>
    <t>DION</t>
  </si>
  <si>
    <t>AUSTRALIAN AID</t>
  </si>
  <si>
    <t>NYARADZO</t>
  </si>
  <si>
    <t>AUTOWORLD</t>
  </si>
  <si>
    <t>0781157639</t>
  </si>
  <si>
    <t>BCG</t>
  </si>
  <si>
    <t>BISHOPLEA</t>
  </si>
  <si>
    <t>0788696249</t>
  </si>
  <si>
    <t>CAPITAL FOODS</t>
  </si>
  <si>
    <t>NICKY DAWSON</t>
  </si>
  <si>
    <t>0773247192</t>
  </si>
  <si>
    <t>CCC</t>
  </si>
  <si>
    <t>CHEETAHS</t>
  </si>
  <si>
    <t>COAL ZIM</t>
  </si>
  <si>
    <t>MARK HALL</t>
  </si>
  <si>
    <t>COMTEX</t>
  </si>
  <si>
    <t>CONREE</t>
  </si>
  <si>
    <t>SAM</t>
  </si>
  <si>
    <t>0772423883</t>
  </si>
  <si>
    <t>CONVEX COMPUTER SYSTEMS</t>
  </si>
  <si>
    <t>TYLER ROWE</t>
  </si>
  <si>
    <t>0771289624</t>
  </si>
  <si>
    <t>DELTA</t>
  </si>
  <si>
    <t>DIRTBOX</t>
  </si>
  <si>
    <t>DLS ATTORNEYS</t>
  </si>
  <si>
    <t>ELIZABET GLACIER</t>
  </si>
  <si>
    <t>EUROPCAR</t>
  </si>
  <si>
    <t>MIKE ROONEY</t>
  </si>
  <si>
    <t>F NEIL</t>
  </si>
  <si>
    <t>TEO YATRAS</t>
  </si>
  <si>
    <t>FARAI</t>
  </si>
  <si>
    <t>0719764566</t>
  </si>
  <si>
    <t>FIVET</t>
  </si>
  <si>
    <t>HAZEL EDWARDS</t>
  </si>
  <si>
    <t>0775702777</t>
  </si>
  <si>
    <t>FRIENDLIES</t>
  </si>
  <si>
    <t>TATENDA</t>
  </si>
  <si>
    <t>0733144144</t>
  </si>
  <si>
    <t>FRESHLY GROUND</t>
  </si>
  <si>
    <t>FUCHS</t>
  </si>
  <si>
    <t>GAIN WHOLESALERS</t>
  </si>
  <si>
    <t>GOGO OLIVE</t>
  </si>
  <si>
    <t>JULIA BAKER</t>
  </si>
  <si>
    <t>0778195741</t>
  </si>
  <si>
    <t>GROW AGRICULTURE</t>
  </si>
  <si>
    <t xml:space="preserve">HAC </t>
  </si>
  <si>
    <t>HAPPY VALLEY</t>
  </si>
  <si>
    <t>SIOBHAN CHRISTIE</t>
  </si>
  <si>
    <t>HEALTH INT</t>
  </si>
  <si>
    <t>HERITAGE</t>
  </si>
  <si>
    <t>TON</t>
  </si>
  <si>
    <t>HOMESFORTH</t>
  </si>
  <si>
    <t>HOVE ATTORNYES</t>
  </si>
  <si>
    <t>HYBRID AGRI</t>
  </si>
  <si>
    <t>ICC</t>
  </si>
  <si>
    <t>EVAN STEWART</t>
  </si>
  <si>
    <t>INNBUCKS</t>
  </si>
  <si>
    <t>CHLOE</t>
  </si>
  <si>
    <t>0772366094</t>
  </si>
  <si>
    <t>JOHN HOOK</t>
  </si>
  <si>
    <t>LUKE HOOK</t>
  </si>
  <si>
    <t>0774532669</t>
  </si>
  <si>
    <t>KEN SHARP</t>
  </si>
  <si>
    <t>KIMPLE</t>
  </si>
  <si>
    <t>BRAD REID</t>
  </si>
  <si>
    <t>0774988884</t>
  </si>
  <si>
    <t>LEWISAM MOTORS</t>
  </si>
  <si>
    <t>ARAN KATOUNGOUS</t>
  </si>
  <si>
    <t>LIVE AND LEARN SCHOOL</t>
  </si>
  <si>
    <t>LONELY NGUNI</t>
  </si>
  <si>
    <t>BRUCE HENDERSON</t>
  </si>
  <si>
    <t>MASH EAGLES CRICKET</t>
  </si>
  <si>
    <t>MERCANTILE</t>
  </si>
  <si>
    <t>METALOCK</t>
  </si>
  <si>
    <t>MIKE MASON</t>
  </si>
  <si>
    <t>MICHAEL PROJECT</t>
  </si>
  <si>
    <t>MIDLANDS ACRES</t>
  </si>
  <si>
    <t>TABAKA</t>
  </si>
  <si>
    <t>0784408935</t>
  </si>
  <si>
    <t>MINES ADVISORY</t>
  </si>
  <si>
    <t>MR RICE</t>
  </si>
  <si>
    <t>MRO</t>
  </si>
  <si>
    <t>MYSTICAL</t>
  </si>
  <si>
    <t>NUFERT</t>
  </si>
  <si>
    <t>OLD LEGGS</t>
  </si>
  <si>
    <t>ONCOLOGY</t>
  </si>
  <si>
    <t>ONE STOP SOLAR</t>
  </si>
  <si>
    <t>OPEN IT</t>
  </si>
  <si>
    <t>OTTER TRAIL</t>
  </si>
  <si>
    <t>PITSTOP</t>
  </si>
  <si>
    <t>PORTUGUESE - AM MACHADO</t>
  </si>
  <si>
    <t>MR MACHADO</t>
  </si>
  <si>
    <t>PROVIDENCE</t>
  </si>
  <si>
    <t>POWERSTAR</t>
  </si>
  <si>
    <t>PROBOTTLERS</t>
  </si>
  <si>
    <t>PROJECT KURAMA</t>
  </si>
  <si>
    <t>DAVE MARTIN</t>
  </si>
  <si>
    <t>RIVER OF LIFE</t>
  </si>
  <si>
    <t>NIALL ROONEY</t>
  </si>
  <si>
    <t>ROSSI</t>
  </si>
  <si>
    <t>MARC ROSSITER</t>
  </si>
  <si>
    <t>ROYAL HARARE</t>
  </si>
  <si>
    <t>SABRE</t>
  </si>
  <si>
    <t>Sabre Ultra Run</t>
  </si>
  <si>
    <t>SADC</t>
  </si>
  <si>
    <t>SAFARI TRADING CO</t>
  </si>
  <si>
    <t>SAFEGUARD</t>
  </si>
  <si>
    <t>SAVO</t>
  </si>
  <si>
    <t>ALEXIA</t>
  </si>
  <si>
    <t>SARABI</t>
  </si>
  <si>
    <t>SKYRUN</t>
  </si>
  <si>
    <t>CHRIS CRAGG</t>
  </si>
  <si>
    <t>SLAB SALES</t>
  </si>
  <si>
    <t>DAMIEN WHELAN</t>
  </si>
  <si>
    <t>SOGO</t>
  </si>
  <si>
    <t>SPINAL AFRICA / DROP</t>
  </si>
  <si>
    <t>SPRINGVALE HOUSE</t>
  </si>
  <si>
    <t>ST JOHNS</t>
  </si>
  <si>
    <t>STEEL WAREHOUSE</t>
  </si>
  <si>
    <t>STEWARD BANK</t>
  </si>
  <si>
    <t>STRIDER CLUB</t>
  </si>
  <si>
    <t>STYLE BAR</t>
  </si>
  <si>
    <t>SUNNY GUYS</t>
  </si>
  <si>
    <t>S2S IRRIGATION</t>
  </si>
  <si>
    <t>KIRSTEN ASHWELL</t>
  </si>
  <si>
    <t>0774140011</t>
  </si>
  <si>
    <t>IRRIGATION SUPPLY &amp; MAINTENANCE</t>
  </si>
  <si>
    <t>TEHILIA</t>
  </si>
  <si>
    <t>MR ROBERTS</t>
  </si>
  <si>
    <t>TIKKIMON</t>
  </si>
  <si>
    <t>TRADERS CLUB</t>
  </si>
  <si>
    <t>TRUMP</t>
  </si>
  <si>
    <t>UIP AFRICA</t>
  </si>
  <si>
    <t>UPSTATE</t>
  </si>
  <si>
    <t>KARL ECKARD</t>
  </si>
  <si>
    <t>USAID</t>
  </si>
  <si>
    <t>VALLEY</t>
  </si>
  <si>
    <t>0777284128</t>
  </si>
  <si>
    <t>WEST PROP</t>
  </si>
  <si>
    <t>YOU PRO CONTACT</t>
  </si>
  <si>
    <t>DANIEL MYERS</t>
  </si>
  <si>
    <t>ZIMBABWE BASS FISHING</t>
  </si>
  <si>
    <t>ZIMBABWE HOCKEY</t>
  </si>
  <si>
    <t>ZOC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</si>
</sst>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dd&quot;-&quot;mmm&quot;-&quot;yy"/>
    <numFmt numFmtId="165" formatCode="d&quot;-&quot;mmm&quot;-&quot;yy"/>
    <numFmt numFmtId="166" formatCode="d&quot; &quot;mmm&quot; &quot;yyyy"/>
    <numFmt numFmtId="167" formatCode="d mmm yyyy"/>
    <numFmt numFmtId="168" formatCode="d mmm"/>
    <numFmt numFmtId="169" formatCode="d mmmm"/>
    <numFmt numFmtId="170" formatCode="d mmmm yyyy"/>
    <numFmt numFmtId="171" formatCode="dd mmmm"/>
    <numFmt numFmtId="172" formatCode="dd mmm yyyy"/>
    <numFmt numFmtId="173" formatCode="m/d"/>
    <numFmt numFmtId="174" formatCode="mm/dd/yyyy"/>
    <numFmt numFmtId="175" formatCode="m/d/yyyy"/>
    <numFmt numFmtId="176" formatCode="mmm yyyy"/>
    <numFmt numFmtId="177" formatCode="mmmm yyyy"/>
    <numFmt numFmtId="178" formatCode="m-d"/>
    <numFmt numFmtId="179" formatCode="mm/dd"/>
  </numFmts>
  <fonts count="15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CC0000"/>
      <name val="Merriweather"/>
    </font>
    <font>
      <sz val="11.0"/>
      <color rgb="FF000000"/>
      <name val="Merriweather"/>
    </font>
    <font>
      <b/>
      <sz val="11.0"/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sz val="11.0"/>
      <color rgb="FF000000"/>
      <name val="Arial"/>
      <scheme val="minor"/>
    </font>
    <font>
      <color theme="1"/>
      <name val="Arial"/>
      <scheme val="minor"/>
    </font>
    <font>
      <strike/>
      <sz val="11.0"/>
      <color theme="1"/>
      <name val="Arial"/>
      <scheme val="minor"/>
    </font>
    <font>
      <sz val="11.0"/>
      <color rgb="FF595959"/>
      <name val="Arial"/>
    </font>
    <font>
      <b/>
      <color theme="1"/>
      <name val="Arial"/>
      <scheme val="minor"/>
    </font>
    <font>
      <sz val="15.0"/>
      <color theme="1"/>
      <name val="Arial"/>
      <scheme val="minor"/>
    </font>
    <font>
      <b/>
      <sz val="14.0"/>
      <color theme="1"/>
      <name val="Arial"/>
    </font>
    <font>
      <b/>
      <sz val="2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1" numFmtId="165" xfId="0" applyAlignment="1" applyFont="1" applyNumberFormat="1">
      <alignment horizontal="center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vertical="center"/>
    </xf>
    <xf borderId="0" fillId="2" fontId="3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readingOrder="0" shrinkToFit="0" wrapText="1"/>
    </xf>
    <xf borderId="0" fillId="3" fontId="1" numFmtId="0" xfId="0" applyAlignment="1" applyFill="1" applyFont="1">
      <alignment readingOrder="0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4" numFmtId="0" xfId="0" applyFont="1"/>
    <xf borderId="0" fillId="0" fontId="4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1" numFmtId="166" xfId="0" applyAlignment="1" applyFont="1" applyNumberFormat="1">
      <alignment horizontal="center" readingOrder="0"/>
    </xf>
    <xf borderId="0" fillId="2" fontId="1" numFmtId="166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0" fillId="2" fontId="1" numFmtId="0" xfId="0" applyFont="1"/>
    <xf borderId="0" fillId="2" fontId="5" numFmtId="0" xfId="0" applyAlignment="1" applyFont="1">
      <alignment vertical="bottom"/>
    </xf>
    <xf borderId="0" fillId="2" fontId="5" numFmtId="166" xfId="0" applyAlignment="1" applyFont="1" applyNumberFormat="1">
      <alignment horizontal="center" vertical="bottom"/>
    </xf>
    <xf borderId="0" fillId="2" fontId="5" numFmtId="0" xfId="0" applyAlignment="1" applyFont="1">
      <alignment shrinkToFit="0" vertical="bottom" wrapText="1"/>
    </xf>
    <xf borderId="0" fillId="2" fontId="5" numFmtId="0" xfId="0" applyAlignment="1" applyFont="1">
      <alignment vertical="bottom"/>
    </xf>
    <xf borderId="0" fillId="2" fontId="5" numFmtId="0" xfId="0" applyAlignment="1" applyFont="1">
      <alignment horizontal="center" vertical="bottom"/>
    </xf>
    <xf borderId="0" fillId="2" fontId="1" numFmtId="167" xfId="0" applyAlignment="1" applyFont="1" applyNumberFormat="1">
      <alignment horizontal="center" readingOrder="0"/>
    </xf>
    <xf borderId="0" fillId="2" fontId="5" numFmtId="0" xfId="0" applyAlignment="1" applyFont="1">
      <alignment horizontal="center" shrinkToFit="0" vertical="bottom" wrapText="1"/>
    </xf>
    <xf borderId="0" fillId="2" fontId="5" numFmtId="0" xfId="0" applyAlignment="1" applyFont="1">
      <alignment horizontal="center" readingOrder="0" vertical="bottom"/>
    </xf>
    <xf borderId="0" fillId="2" fontId="5" numFmtId="0" xfId="0" applyAlignment="1" applyFont="1">
      <alignment horizontal="center" readingOrder="0"/>
    </xf>
    <xf borderId="0" fillId="2" fontId="5" numFmtId="0" xfId="0" applyAlignment="1" applyFont="1">
      <alignment horizontal="center"/>
    </xf>
    <xf borderId="0" fillId="2" fontId="5" numFmtId="0" xfId="0" applyAlignment="1" applyFont="1">
      <alignment readingOrder="0" vertical="bottom"/>
    </xf>
    <xf borderId="0" fillId="2" fontId="5" numFmtId="167" xfId="0" applyAlignment="1" applyFont="1" applyNumberFormat="1">
      <alignment readingOrder="0" vertical="bottom"/>
    </xf>
    <xf borderId="0" fillId="0" fontId="6" numFmtId="0" xfId="0" applyAlignment="1" applyFont="1">
      <alignment vertical="bottom"/>
    </xf>
    <xf borderId="0" fillId="0" fontId="1" numFmtId="166" xfId="0" applyAlignment="1" applyFont="1" applyNumberFormat="1">
      <alignment horizontal="center"/>
    </xf>
    <xf borderId="0" fillId="0" fontId="1" numFmtId="168" xfId="0" applyAlignment="1" applyFont="1" applyNumberFormat="1">
      <alignment horizontal="center" readingOrder="0"/>
    </xf>
    <xf borderId="0" fillId="0" fontId="1" numFmtId="169" xfId="0" applyAlignment="1" applyFont="1" applyNumberFormat="1">
      <alignment horizontal="center"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7" numFmtId="166" xfId="0" applyAlignment="1" applyFont="1" applyNumberFormat="1">
      <alignment horizontal="center" readingOrder="0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 readingOrder="0" shrinkToFit="0" wrapText="1"/>
    </xf>
    <xf borderId="0" fillId="0" fontId="7" numFmtId="0" xfId="0" applyFont="1"/>
    <xf borderId="0" fillId="0" fontId="4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2" fontId="1" numFmtId="0" xfId="0" applyAlignment="1" applyFont="1">
      <alignment readingOrder="0" shrinkToFit="0" wrapText="1"/>
    </xf>
    <xf borderId="0" fillId="3" fontId="1" numFmtId="0" xfId="0" applyAlignment="1" applyFont="1">
      <alignment readingOrder="0" shrinkToFit="0" wrapText="1"/>
    </xf>
    <xf borderId="0" fillId="0" fontId="5" numFmtId="0" xfId="0" applyAlignment="1" applyFont="1">
      <alignment horizontal="center" vertical="bottom"/>
    </xf>
    <xf borderId="0" fillId="0" fontId="5" numFmtId="166" xfId="0" applyAlignment="1" applyFont="1" applyNumberFormat="1">
      <alignment horizontal="center" vertical="bottom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1" numFmtId="170" xfId="0" applyAlignment="1" applyFont="1" applyNumberFormat="1">
      <alignment horizontal="center" readingOrder="0"/>
    </xf>
    <xf borderId="0" fillId="0" fontId="1" numFmtId="172" xfId="0" applyAlignment="1" applyFont="1" applyNumberFormat="1">
      <alignment horizontal="center"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horizontal="center"/>
    </xf>
    <xf borderId="0" fillId="0" fontId="6" numFmtId="0" xfId="0" applyAlignment="1" applyFont="1">
      <alignment vertical="bottom"/>
    </xf>
    <xf borderId="0" fillId="0" fontId="9" numFmtId="0" xfId="0" applyAlignment="1" applyFont="1">
      <alignment readingOrder="0" shrinkToFit="0" wrapText="1"/>
    </xf>
    <xf borderId="0" fillId="0" fontId="9" numFmtId="0" xfId="0" applyAlignment="1" applyFont="1">
      <alignment horizontal="center" readingOrder="0" shrinkToFit="0" wrapText="1"/>
    </xf>
    <xf borderId="0" fillId="0" fontId="6" numFmtId="166" xfId="0" applyAlignment="1" applyFont="1" applyNumberFormat="1">
      <alignment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6" numFmtId="166" xfId="0" applyAlignment="1" applyFont="1" applyNumberFormat="1">
      <alignment horizontal="right" vertical="bottom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horizontal="center" readingOrder="0" vertical="bottom"/>
    </xf>
    <xf borderId="0" fillId="0" fontId="6" numFmtId="166" xfId="0" applyAlignment="1" applyFont="1" applyNumberFormat="1">
      <alignment readingOrder="0" vertical="bottom"/>
    </xf>
    <xf borderId="0" fillId="0" fontId="5" numFmtId="166" xfId="0" applyAlignment="1" applyFont="1" applyNumberFormat="1">
      <alignment horizontal="center" readingOrder="0" vertical="bottom"/>
    </xf>
    <xf borderId="0" fillId="2" fontId="4" numFmtId="0" xfId="0" applyAlignment="1" applyFont="1">
      <alignment horizontal="center" readingOrder="0"/>
    </xf>
    <xf borderId="0" fillId="2" fontId="4" numFmtId="0" xfId="0" applyAlignment="1" applyFont="1">
      <alignment readingOrder="0"/>
    </xf>
    <xf borderId="0" fillId="2" fontId="1" numFmtId="0" xfId="0" applyAlignment="1" applyFont="1">
      <alignment horizontal="center" readingOrder="0" shrinkToFit="0" wrapText="1"/>
    </xf>
    <xf borderId="0" fillId="0" fontId="1" numFmtId="173" xfId="0" applyAlignment="1" applyFont="1" applyNumberFormat="1">
      <alignment horizontal="center" readingOrder="0" shrinkToFit="0" wrapText="1"/>
    </xf>
    <xf borderId="0" fillId="2" fontId="4" numFmtId="0" xfId="0" applyAlignment="1" applyFont="1">
      <alignment horizontal="center" readingOrder="0" shrinkToFit="0" wrapText="1"/>
    </xf>
    <xf borderId="0" fillId="0" fontId="1" numFmtId="173" xfId="0" applyAlignment="1" applyFont="1" applyNumberFormat="1">
      <alignment horizontal="center"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center" readingOrder="0" shrinkToFit="0" wrapText="1"/>
    </xf>
    <xf borderId="0" fillId="2" fontId="1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2" fontId="1" numFmtId="0" xfId="0" applyAlignment="1" applyFont="1">
      <alignment readingOrder="0"/>
    </xf>
    <xf borderId="0" fillId="2" fontId="1" numFmtId="0" xfId="0" applyAlignment="1" applyFont="1">
      <alignment horizontal="center"/>
    </xf>
    <xf borderId="0" fillId="0" fontId="8" numFmtId="0" xfId="0" applyFont="1"/>
    <xf borderId="0" fillId="0" fontId="8" numFmtId="9" xfId="0" applyAlignment="1" applyFont="1" applyNumberFormat="1">
      <alignment readingOrder="0"/>
    </xf>
    <xf borderId="0" fillId="0" fontId="8" numFmtId="0" xfId="0" applyAlignment="1" applyFont="1">
      <alignment horizontal="right" readingOrder="0"/>
    </xf>
    <xf borderId="0" fillId="0" fontId="8" numFmtId="0" xfId="0" applyAlignment="1" applyFont="1">
      <alignment horizontal="right"/>
    </xf>
    <xf borderId="0" fillId="0" fontId="8" numFmtId="0" xfId="0" applyAlignment="1" applyFont="1">
      <alignment readingOrder="0" shrinkToFit="0" wrapText="1"/>
    </xf>
    <xf borderId="0" fillId="0" fontId="8" numFmtId="174" xfId="0" applyAlignment="1" applyFont="1" applyNumberFormat="1">
      <alignment horizontal="right" readingOrder="0"/>
    </xf>
    <xf borderId="0" fillId="0" fontId="8" numFmtId="175" xfId="0" applyAlignment="1" applyFont="1" applyNumberFormat="1">
      <alignment horizontal="right" readingOrder="0"/>
    </xf>
    <xf borderId="0" fillId="2" fontId="8" numFmtId="0" xfId="0" applyAlignment="1" applyFont="1">
      <alignment horizontal="right"/>
    </xf>
    <xf borderId="0" fillId="2" fontId="8" numFmtId="0" xfId="0" applyAlignment="1" applyFont="1">
      <alignment readingOrder="0"/>
    </xf>
    <xf borderId="0" fillId="2" fontId="8" numFmtId="0" xfId="0" applyFont="1"/>
    <xf borderId="0" fillId="0" fontId="8" numFmtId="173" xfId="0" applyAlignment="1" applyFont="1" applyNumberFormat="1">
      <alignment readingOrder="0"/>
    </xf>
    <xf borderId="0" fillId="4" fontId="8" numFmtId="0" xfId="0" applyAlignment="1" applyFill="1" applyFont="1">
      <alignment horizontal="right"/>
    </xf>
    <xf borderId="0" fillId="4" fontId="8" numFmtId="0" xfId="0" applyFont="1"/>
    <xf borderId="0" fillId="5" fontId="8" numFmtId="0" xfId="0" applyAlignment="1" applyFill="1" applyFont="1">
      <alignment horizontal="right"/>
    </xf>
    <xf borderId="0" fillId="5" fontId="8" numFmtId="0" xfId="0" applyFont="1"/>
    <xf borderId="0" fillId="6" fontId="8" numFmtId="0" xfId="0" applyAlignment="1" applyFill="1" applyFont="1">
      <alignment readingOrder="0"/>
    </xf>
    <xf borderId="0" fillId="6" fontId="8" numFmtId="0" xfId="0" applyFont="1"/>
    <xf borderId="0" fillId="7" fontId="8" numFmtId="0" xfId="0" applyAlignment="1" applyFill="1" applyFont="1">
      <alignment readingOrder="0"/>
    </xf>
    <xf borderId="0" fillId="0" fontId="11" numFmtId="0" xfId="0" applyAlignment="1" applyFont="1">
      <alignment horizontal="center" readingOrder="0" shrinkToFit="0" wrapText="1"/>
    </xf>
    <xf borderId="0" fillId="0" fontId="11" numFmtId="0" xfId="0" applyAlignment="1" applyFont="1">
      <alignment readingOrder="0" shrinkToFit="0" wrapText="1"/>
    </xf>
    <xf borderId="0" fillId="0" fontId="6" numFmtId="0" xfId="0" applyAlignment="1" applyFont="1">
      <alignment shrinkToFit="0" vertical="bottom" wrapText="1"/>
    </xf>
    <xf borderId="0" fillId="0" fontId="8" numFmtId="173" xfId="0" applyAlignment="1" applyFont="1" applyNumberFormat="1">
      <alignment horizontal="right" readingOrder="0"/>
    </xf>
    <xf borderId="0" fillId="0" fontId="6" numFmtId="0" xfId="0" applyAlignment="1" applyFont="1">
      <alignment horizontal="center" readingOrder="0"/>
    </xf>
    <xf borderId="0" fillId="0" fontId="6" numFmtId="173" xfId="0" applyAlignment="1" applyFont="1" applyNumberFormat="1">
      <alignment horizontal="center"/>
    </xf>
    <xf borderId="0" fillId="0" fontId="8" numFmtId="0" xfId="0" applyAlignment="1" applyFont="1">
      <alignment horizontal="right" readingOrder="0" shrinkToFit="0" wrapText="1"/>
    </xf>
    <xf borderId="0" fillId="8" fontId="8" numFmtId="0" xfId="0" applyAlignment="1" applyFill="1" applyFont="1">
      <alignment readingOrder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8" numFmtId="176" xfId="0" applyAlignment="1" applyFont="1" applyNumberFormat="1">
      <alignment readingOrder="0"/>
    </xf>
    <xf borderId="0" fillId="0" fontId="8" numFmtId="177" xfId="0" applyAlignment="1" applyFont="1" applyNumberFormat="1">
      <alignment readingOrder="0"/>
    </xf>
    <xf borderId="0" fillId="0" fontId="11" numFmtId="178" xfId="0" applyAlignment="1" applyFont="1" applyNumberFormat="1">
      <alignment horizontal="center" readingOrder="0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0" fillId="0" fontId="8" numFmtId="0" xfId="0" applyAlignment="1" applyFont="1">
      <alignment horizontal="center"/>
    </xf>
    <xf borderId="0" fillId="0" fontId="8" numFmtId="169" xfId="0" applyAlignment="1" applyFont="1" applyNumberFormat="1">
      <alignment horizontal="center" readingOrder="0"/>
    </xf>
    <xf borderId="0" fillId="0" fontId="8" numFmtId="173" xfId="0" applyAlignment="1" applyFont="1" applyNumberFormat="1">
      <alignment horizontal="center" readingOrder="0"/>
    </xf>
    <xf borderId="0" fillId="0" fontId="11" numFmtId="0" xfId="0" applyFont="1"/>
    <xf borderId="0" fillId="0" fontId="8" numFmtId="0" xfId="0" applyAlignment="1" applyFont="1">
      <alignment horizontal="left"/>
    </xf>
    <xf borderId="0" fillId="0" fontId="8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0" xfId="0" applyAlignment="1" applyFont="1">
      <alignment horizontal="left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2" fontId="8" numFmtId="0" xfId="0" applyAlignment="1" applyFont="1">
      <alignment readingOrder="0" shrinkToFit="0" vertical="center" wrapText="0"/>
    </xf>
    <xf borderId="0" fillId="2" fontId="8" numFmtId="0" xfId="0" applyAlignment="1" applyFont="1">
      <alignment horizontal="left" readingOrder="0" shrinkToFit="0" vertical="center" wrapText="0"/>
    </xf>
    <xf borderId="0" fillId="2" fontId="8" numFmtId="0" xfId="0" applyAlignment="1" applyFont="1">
      <alignment shrinkToFit="0" vertical="center" wrapText="0"/>
    </xf>
    <xf borderId="0" fillId="2" fontId="8" numFmtId="0" xfId="0" applyAlignment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12" numFmtId="0" xfId="0" applyAlignment="1" applyFont="1">
      <alignment readingOrder="0"/>
    </xf>
    <xf borderId="0" fillId="0" fontId="12" numFmtId="0" xfId="0" applyFont="1"/>
    <xf borderId="0" fillId="0" fontId="8" numFmtId="0" xfId="0" applyAlignment="1" applyFont="1">
      <alignment horizontal="center" readingOrder="0"/>
    </xf>
    <xf borderId="0" fillId="0" fontId="8" numFmtId="166" xfId="0" applyAlignment="1" applyFont="1" applyNumberFormat="1">
      <alignment horizontal="center" readingOrder="0"/>
    </xf>
    <xf borderId="0" fillId="0" fontId="8" numFmtId="166" xfId="0" applyAlignment="1" applyFont="1" applyNumberFormat="1">
      <alignment horizontal="center"/>
    </xf>
    <xf borderId="0" fillId="0" fontId="8" numFmtId="170" xfId="0" applyAlignment="1" applyFont="1" applyNumberFormat="1">
      <alignment horizontal="center" readingOrder="0"/>
    </xf>
    <xf borderId="0" fillId="0" fontId="8" numFmtId="179" xfId="0" applyAlignment="1" applyFont="1" applyNumberFormat="1">
      <alignment horizontal="center" readingOrder="0"/>
    </xf>
    <xf borderId="1" fillId="0" fontId="13" numFmtId="0" xfId="0" applyAlignment="1" applyBorder="1" applyFont="1">
      <alignment horizontal="center" vertical="bottom"/>
    </xf>
    <xf borderId="1" fillId="0" fontId="13" numFmtId="0" xfId="0" applyAlignment="1" applyBorder="1" applyFont="1">
      <alignment horizontal="center" shrinkToFit="0" vertical="bottom" wrapText="1"/>
    </xf>
    <xf borderId="1" fillId="0" fontId="13" numFmtId="0" xfId="0" applyAlignment="1" applyBorder="1" applyFont="1">
      <alignment horizontal="center" readingOrder="0" shrinkToFit="0" vertical="bottom" wrapText="1"/>
    </xf>
    <xf borderId="1" fillId="0" fontId="6" numFmtId="0" xfId="0" applyAlignment="1" applyBorder="1" applyFont="1">
      <alignment vertical="bottom"/>
    </xf>
    <xf borderId="2" fillId="0" fontId="6" numFmtId="0" xfId="0" applyAlignment="1" applyBorder="1" applyFont="1">
      <alignment vertical="bottom"/>
    </xf>
    <xf borderId="0" fillId="3" fontId="6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9" fontId="6" numFmtId="0" xfId="0" applyAlignment="1" applyFill="1" applyFont="1">
      <alignment vertical="bottom"/>
    </xf>
    <xf borderId="0" fillId="2" fontId="6" numFmtId="0" xfId="0" applyAlignment="1" applyFont="1">
      <alignment readingOrder="0" vertical="bottom"/>
    </xf>
    <xf borderId="0" fillId="8" fontId="6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3" fontId="6" numFmtId="177" xfId="0" applyAlignment="1" applyFont="1" applyNumberFormat="1">
      <alignment horizontal="right" vertical="bottom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/>
    </xf>
    <xf borderId="0" fillId="3" fontId="6" numFmtId="177" xfId="0" applyAlignment="1" applyFont="1" applyNumberFormat="1">
      <alignment readingOrder="0" vertical="bottom"/>
    </xf>
    <xf borderId="0" fillId="3" fontId="8" numFmtId="177" xfId="0" applyAlignment="1" applyFont="1" applyNumberFormat="1">
      <alignment readingOrder="0"/>
    </xf>
    <xf borderId="0" fillId="3" fontId="8" numFmtId="0" xfId="0" applyAlignment="1" applyFont="1">
      <alignment readingOrder="0"/>
    </xf>
    <xf borderId="0" fillId="3" fontId="8" numFmtId="0" xfId="0" applyFont="1"/>
    <xf borderId="0" fillId="3" fontId="6" numFmtId="176" xfId="0" applyAlignment="1" applyFont="1" applyNumberFormat="1">
      <alignment readingOrder="0" vertical="bottom"/>
    </xf>
    <xf borderId="0" fillId="0" fontId="6" numFmtId="176" xfId="0" applyAlignment="1" applyFont="1" applyNumberFormat="1">
      <alignment horizontal="right" vertical="bottom"/>
    </xf>
    <xf borderId="0" fillId="9" fontId="8" numFmtId="0" xfId="0" applyFont="1"/>
    <xf borderId="0" fillId="0" fontId="6" numFmtId="177" xfId="0" applyAlignment="1" applyFont="1" applyNumberFormat="1">
      <alignment horizontal="right" vertical="bottom"/>
    </xf>
    <xf borderId="0" fillId="0" fontId="6" numFmtId="177" xfId="0" applyAlignment="1" applyFont="1" applyNumberFormat="1">
      <alignment readingOrder="0" vertical="bottom"/>
    </xf>
    <xf borderId="0" fillId="0" fontId="6" numFmtId="169" xfId="0" applyAlignment="1" applyFont="1" applyNumberFormat="1">
      <alignment readingOrder="0" vertical="bottom"/>
    </xf>
    <xf borderId="0" fillId="0" fontId="11" numFmtId="49" xfId="0" applyAlignment="1" applyFont="1" applyNumberFormat="1">
      <alignment horizontal="center" readingOrder="0"/>
    </xf>
    <xf borderId="0" fillId="0" fontId="8" numFmtId="49" xfId="0" applyAlignment="1" applyFont="1" applyNumberFormat="1">
      <alignment horizontal="center"/>
    </xf>
    <xf borderId="0" fillId="0" fontId="8" numFmtId="49" xfId="0" applyAlignment="1" applyFont="1" applyNumberForma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DGARS CAP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</xdr:row>
      <xdr:rowOff>19050</xdr:rowOff>
    </xdr:from>
    <xdr:ext cx="657225" cy="657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</xdr:row>
      <xdr:rowOff>19050</xdr:rowOff>
    </xdr:from>
    <xdr:ext cx="657225" cy="657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</xdr:row>
      <xdr:rowOff>19050</xdr:rowOff>
    </xdr:from>
    <xdr:ext cx="657225" cy="657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H24" displayName="Table1" name="Table1" id="1">
  <tableColumns count="8">
    <tableColumn name="ORDER NO" id="1"/>
    <tableColumn name="STYLE" id="2"/>
    <tableColumn name="COLOUR" id="3"/>
    <tableColumn name="QTY" id="4"/>
    <tableColumn name="DELIVERED to edgars" id="5"/>
    <tableColumn name="GOT" id="6"/>
    <tableColumn name="Column 1" id="7"/>
    <tableColumn name="MISSING" id="8"/>
  </tableColumns>
  <tableStyleInfo name="EDGARS CAP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75"/>
  <cols>
    <col customWidth="1" min="1" max="1" width="2.5"/>
    <col customWidth="1" min="2" max="2" width="11.38"/>
    <col customWidth="1" min="3" max="3" width="14.25"/>
    <col customWidth="1" min="4" max="4" width="23.13"/>
    <col customWidth="1" min="5" max="5" width="19.25"/>
    <col customWidth="1" min="6" max="6" width="12.63"/>
    <col customWidth="1" min="7" max="7" width="14.63"/>
    <col customWidth="1" min="8" max="8" width="11.13"/>
    <col customWidth="1" min="9" max="9" width="39.25"/>
    <col customWidth="1" min="10" max="10" width="36.38"/>
    <col customWidth="1" min="11" max="11" width="10.25"/>
    <col customWidth="1" min="12" max="12" width="9.63"/>
    <col customWidth="1" min="13" max="13" width="12.25"/>
    <col customWidth="1" min="14" max="14" width="11.0"/>
    <col customWidth="1" min="15" max="15" width="9.13"/>
    <col customWidth="1" min="16" max="16" width="10.25"/>
    <col customWidth="1" min="17" max="17" width="98.63"/>
    <col customWidth="1" min="18" max="18" width="52.63"/>
  </cols>
  <sheetData>
    <row r="1" ht="9.75" customHeight="1">
      <c r="A1" s="1"/>
      <c r="B1" s="2"/>
      <c r="C1" s="3"/>
      <c r="D1" s="4"/>
      <c r="E1" s="5"/>
      <c r="F1" s="5"/>
      <c r="G1" s="2"/>
      <c r="H1" s="6"/>
      <c r="I1" s="7"/>
      <c r="J1" s="2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60.75" customHeight="1">
      <c r="A2" s="5"/>
      <c r="B2" s="8"/>
      <c r="C2" s="8"/>
      <c r="D2" s="9" t="s">
        <v>0</v>
      </c>
      <c r="E2" s="10" t="s">
        <v>1</v>
      </c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11"/>
      <c r="C3" s="12"/>
      <c r="D3" s="13"/>
      <c r="E3" s="14" t="s">
        <v>2</v>
      </c>
      <c r="F3" s="1"/>
      <c r="G3" s="11"/>
      <c r="H3" s="15"/>
      <c r="I3" s="16"/>
      <c r="J3" s="11"/>
      <c r="K3" s="1"/>
      <c r="L3" s="1"/>
      <c r="M3" s="5"/>
      <c r="N3" s="5">
        <f>14+13+11+11+2</f>
        <v>51</v>
      </c>
      <c r="O3" s="5"/>
      <c r="P3" s="5"/>
      <c r="Q3" s="14" t="s">
        <v>3</v>
      </c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11"/>
      <c r="C4" s="12"/>
      <c r="D4" s="13"/>
      <c r="E4" s="1"/>
      <c r="F4" s="1"/>
      <c r="G4" s="11"/>
      <c r="H4" s="15"/>
      <c r="I4" s="16"/>
      <c r="J4" s="11"/>
      <c r="K4" s="11" t="s">
        <v>4</v>
      </c>
      <c r="Q4" s="1" t="s">
        <v>5</v>
      </c>
      <c r="R4" s="5"/>
      <c r="S4" s="5"/>
      <c r="T4" s="5"/>
      <c r="U4" s="5"/>
      <c r="V4" s="5"/>
      <c r="W4" s="5"/>
      <c r="X4" s="5"/>
      <c r="Y4" s="5"/>
      <c r="Z4" s="5"/>
    </row>
    <row r="5">
      <c r="A5" s="17"/>
      <c r="B5" s="18" t="s">
        <v>6</v>
      </c>
      <c r="C5" s="19" t="s">
        <v>7</v>
      </c>
      <c r="D5" s="20" t="s">
        <v>8</v>
      </c>
      <c r="E5" s="21" t="s">
        <v>9</v>
      </c>
      <c r="F5" s="21" t="s">
        <v>10</v>
      </c>
      <c r="G5" s="18" t="s">
        <v>11</v>
      </c>
      <c r="H5" s="22" t="s">
        <v>12</v>
      </c>
      <c r="I5" s="23" t="s">
        <v>13</v>
      </c>
      <c r="J5" s="18" t="s">
        <v>14</v>
      </c>
      <c r="K5" s="24" t="s">
        <v>15</v>
      </c>
      <c r="L5" s="24" t="s">
        <v>16</v>
      </c>
      <c r="M5" s="25" t="s">
        <v>17</v>
      </c>
      <c r="N5" s="24" t="s">
        <v>18</v>
      </c>
      <c r="O5" s="24" t="s">
        <v>19</v>
      </c>
      <c r="P5" s="24" t="s">
        <v>20</v>
      </c>
      <c r="Q5" s="17"/>
      <c r="R5" s="17"/>
      <c r="S5" s="17"/>
      <c r="T5" s="17"/>
      <c r="U5" s="17"/>
      <c r="V5" s="17"/>
      <c r="W5" s="17"/>
      <c r="X5" s="17"/>
      <c r="Y5" s="17"/>
      <c r="Z5" s="17"/>
    </row>
    <row r="6" hidden="1">
      <c r="A6" s="5"/>
      <c r="B6" s="2"/>
      <c r="C6" s="26">
        <v>45505.0</v>
      </c>
      <c r="D6" s="13" t="s">
        <v>21</v>
      </c>
      <c r="E6" s="1" t="s">
        <v>22</v>
      </c>
      <c r="F6" s="1"/>
      <c r="G6" s="11" t="s">
        <v>23</v>
      </c>
      <c r="H6" s="26">
        <v>45535.0</v>
      </c>
      <c r="I6" s="16" t="s">
        <v>24</v>
      </c>
      <c r="J6" s="11" t="s">
        <v>25</v>
      </c>
      <c r="K6" s="1" t="b">
        <v>1</v>
      </c>
      <c r="L6" s="1" t="b">
        <v>1</v>
      </c>
      <c r="M6" s="1" t="b">
        <v>1</v>
      </c>
      <c r="N6" s="1" t="b">
        <v>1</v>
      </c>
      <c r="O6" s="1" t="b">
        <v>0</v>
      </c>
      <c r="P6" s="1" t="b">
        <v>0</v>
      </c>
      <c r="Q6" s="5"/>
      <c r="R6" s="5"/>
      <c r="S6" s="5"/>
      <c r="T6" s="5"/>
      <c r="U6" s="5"/>
      <c r="V6" s="5"/>
      <c r="W6" s="5"/>
      <c r="X6" s="5"/>
      <c r="Y6" s="5"/>
      <c r="Z6" s="5"/>
    </row>
    <row r="7" hidden="1">
      <c r="A7" s="5"/>
      <c r="B7" s="2"/>
      <c r="C7" s="26">
        <v>45506.0</v>
      </c>
      <c r="D7" s="13" t="s">
        <v>26</v>
      </c>
      <c r="E7" s="1" t="s">
        <v>27</v>
      </c>
      <c r="F7" s="1"/>
      <c r="G7" s="11" t="s">
        <v>28</v>
      </c>
      <c r="H7" s="26">
        <v>45536.0</v>
      </c>
      <c r="I7" s="16" t="s">
        <v>29</v>
      </c>
      <c r="J7" s="11" t="s">
        <v>25</v>
      </c>
      <c r="K7" s="1" t="b">
        <v>1</v>
      </c>
      <c r="L7" s="1" t="b">
        <v>1</v>
      </c>
      <c r="M7" s="1" t="b">
        <v>0</v>
      </c>
      <c r="N7" s="1" t="b">
        <v>0</v>
      </c>
      <c r="O7" s="5" t="b">
        <v>0</v>
      </c>
      <c r="P7" s="5" t="b">
        <v>0</v>
      </c>
      <c r="Q7" s="1" t="s">
        <v>30</v>
      </c>
      <c r="R7" s="5"/>
      <c r="S7" s="5"/>
      <c r="T7" s="5"/>
      <c r="U7" s="5"/>
      <c r="V7" s="5"/>
      <c r="W7" s="5"/>
      <c r="X7" s="5"/>
      <c r="Y7" s="5"/>
      <c r="Z7" s="5"/>
    </row>
    <row r="8" hidden="1">
      <c r="A8" s="5"/>
      <c r="B8" s="2"/>
      <c r="C8" s="26" t="s">
        <v>31</v>
      </c>
      <c r="D8" s="13" t="s">
        <v>32</v>
      </c>
      <c r="E8" s="1" t="s">
        <v>33</v>
      </c>
      <c r="F8" s="1"/>
      <c r="G8" s="11" t="s">
        <v>23</v>
      </c>
      <c r="H8" s="26">
        <v>45538.0</v>
      </c>
      <c r="I8" s="16" t="s">
        <v>34</v>
      </c>
      <c r="J8" s="11" t="s">
        <v>25</v>
      </c>
      <c r="K8" s="1" t="b">
        <v>1</v>
      </c>
      <c r="L8" s="5" t="b">
        <v>0</v>
      </c>
      <c r="M8" s="5" t="b">
        <v>0</v>
      </c>
      <c r="N8" s="1" t="b">
        <v>1</v>
      </c>
      <c r="O8" s="5" t="b">
        <v>0</v>
      </c>
      <c r="P8" s="1" t="b">
        <v>1</v>
      </c>
      <c r="Q8" s="1" t="s">
        <v>35</v>
      </c>
      <c r="R8" s="5"/>
      <c r="S8" s="5"/>
      <c r="T8" s="5"/>
      <c r="U8" s="5"/>
      <c r="V8" s="5"/>
      <c r="W8" s="5"/>
      <c r="X8" s="5"/>
      <c r="Y8" s="5"/>
      <c r="Z8" s="5"/>
    </row>
    <row r="9" hidden="1">
      <c r="A9" s="5"/>
      <c r="B9" s="2"/>
      <c r="C9" s="26">
        <v>45505.0</v>
      </c>
      <c r="D9" s="13" t="s">
        <v>36</v>
      </c>
      <c r="E9" s="1" t="s">
        <v>37</v>
      </c>
      <c r="F9" s="1"/>
      <c r="G9" s="11" t="s">
        <v>23</v>
      </c>
      <c r="H9" s="27">
        <v>45540.0</v>
      </c>
      <c r="I9" s="16" t="s">
        <v>38</v>
      </c>
      <c r="J9" s="11" t="s">
        <v>25</v>
      </c>
      <c r="K9" s="1" t="b">
        <v>1</v>
      </c>
      <c r="L9" s="5" t="b">
        <v>0</v>
      </c>
      <c r="M9" s="1" t="b">
        <v>0</v>
      </c>
      <c r="N9" s="5" t="b">
        <v>0</v>
      </c>
      <c r="O9" s="5" t="b">
        <v>0</v>
      </c>
      <c r="P9" s="5" t="b">
        <v>0</v>
      </c>
      <c r="Q9" s="1" t="s">
        <v>35</v>
      </c>
      <c r="R9" s="5"/>
      <c r="S9" s="5"/>
      <c r="T9" s="5"/>
      <c r="U9" s="5"/>
      <c r="V9" s="5"/>
      <c r="W9" s="5"/>
      <c r="X9" s="5"/>
      <c r="Y9" s="5"/>
      <c r="Z9" s="5"/>
    </row>
    <row r="10" hidden="1">
      <c r="A10" s="5"/>
      <c r="B10" s="2"/>
      <c r="C10" s="26">
        <v>45474.0</v>
      </c>
      <c r="D10" s="13" t="s">
        <v>39</v>
      </c>
      <c r="E10" s="1" t="s">
        <v>40</v>
      </c>
      <c r="F10" s="1"/>
      <c r="G10" s="11" t="s">
        <v>28</v>
      </c>
      <c r="H10" s="27">
        <v>45541.0</v>
      </c>
      <c r="I10" s="16" t="s">
        <v>41</v>
      </c>
      <c r="J10" s="11" t="s">
        <v>25</v>
      </c>
      <c r="K10" s="1" t="b">
        <v>1</v>
      </c>
      <c r="L10" s="1" t="b">
        <v>1</v>
      </c>
      <c r="M10" s="5" t="b">
        <v>0</v>
      </c>
      <c r="N10" s="5" t="b">
        <v>0</v>
      </c>
      <c r="O10" s="5" t="b">
        <v>0</v>
      </c>
      <c r="P10" s="5" t="b">
        <v>0</v>
      </c>
      <c r="Q10" s="1" t="s">
        <v>42</v>
      </c>
      <c r="R10" s="5"/>
      <c r="S10" s="5"/>
      <c r="T10" s="5"/>
      <c r="U10" s="5"/>
      <c r="V10" s="5"/>
      <c r="W10" s="5"/>
      <c r="X10" s="5"/>
      <c r="Y10" s="5"/>
      <c r="Z10" s="5"/>
    </row>
    <row r="11" hidden="1">
      <c r="A11" s="5"/>
      <c r="B11" s="2"/>
      <c r="C11" s="26">
        <v>45506.0</v>
      </c>
      <c r="D11" s="13" t="s">
        <v>43</v>
      </c>
      <c r="E11" s="1" t="s">
        <v>44</v>
      </c>
      <c r="F11" s="1"/>
      <c r="G11" s="11" t="s">
        <v>45</v>
      </c>
      <c r="H11" s="28">
        <v>45541.0</v>
      </c>
      <c r="I11" s="16" t="s">
        <v>46</v>
      </c>
      <c r="J11" s="11" t="s">
        <v>25</v>
      </c>
      <c r="K11" s="1" t="b">
        <v>1</v>
      </c>
      <c r="L11" s="5" t="b">
        <v>0</v>
      </c>
      <c r="M11" s="5" t="b">
        <v>0</v>
      </c>
      <c r="N11" s="1" t="b">
        <v>1</v>
      </c>
      <c r="O11" s="5" t="b">
        <v>0</v>
      </c>
      <c r="P11" s="5" t="b">
        <v>0</v>
      </c>
      <c r="Q11" s="1"/>
      <c r="R11" s="5"/>
      <c r="S11" s="5"/>
      <c r="T11" s="5"/>
      <c r="U11" s="5"/>
      <c r="V11" s="5"/>
      <c r="W11" s="5"/>
      <c r="X11" s="5"/>
      <c r="Y11" s="5"/>
      <c r="Z11" s="5"/>
    </row>
    <row r="12" hidden="1">
      <c r="A12" s="5"/>
      <c r="B12" s="2"/>
      <c r="C12" s="26">
        <v>45538.0</v>
      </c>
      <c r="D12" s="13" t="s">
        <v>47</v>
      </c>
      <c r="E12" s="1"/>
      <c r="F12" s="1"/>
      <c r="G12" s="11" t="s">
        <v>23</v>
      </c>
      <c r="H12" s="27">
        <v>45541.0</v>
      </c>
      <c r="I12" s="16" t="s">
        <v>48</v>
      </c>
      <c r="J12" s="11" t="s">
        <v>25</v>
      </c>
      <c r="K12" s="1" t="b">
        <v>1</v>
      </c>
      <c r="L12" s="5" t="b">
        <v>0</v>
      </c>
      <c r="M12" s="1" t="b">
        <v>1</v>
      </c>
      <c r="N12" s="5" t="b">
        <v>0</v>
      </c>
      <c r="O12" s="5" t="b">
        <v>0</v>
      </c>
      <c r="P12" s="1" t="b">
        <v>1</v>
      </c>
      <c r="Q12" s="1" t="s">
        <v>49</v>
      </c>
      <c r="R12" s="5"/>
      <c r="S12" s="5"/>
      <c r="T12" s="5"/>
      <c r="U12" s="5"/>
      <c r="V12" s="5"/>
      <c r="W12" s="5"/>
      <c r="X12" s="5"/>
      <c r="Y12" s="5"/>
      <c r="Z12" s="5"/>
    </row>
    <row r="13" hidden="1">
      <c r="A13" s="5"/>
      <c r="B13" s="2"/>
      <c r="C13" s="26">
        <v>45505.0</v>
      </c>
      <c r="D13" s="13" t="s">
        <v>50</v>
      </c>
      <c r="E13" s="1" t="s">
        <v>51</v>
      </c>
      <c r="F13" s="1"/>
      <c r="G13" s="11" t="s">
        <v>28</v>
      </c>
      <c r="H13" s="26">
        <v>45547.0</v>
      </c>
      <c r="I13" s="7"/>
      <c r="J13" s="11" t="s">
        <v>25</v>
      </c>
      <c r="K13" s="1" t="b">
        <v>1</v>
      </c>
      <c r="L13" s="1" t="b">
        <v>1</v>
      </c>
      <c r="M13" s="1" t="b">
        <v>1</v>
      </c>
      <c r="N13" s="5" t="b">
        <v>0</v>
      </c>
      <c r="O13" s="5" t="b">
        <v>0</v>
      </c>
      <c r="P13" s="1" t="b">
        <v>1</v>
      </c>
      <c r="Q13" s="1" t="s">
        <v>52</v>
      </c>
      <c r="R13" s="5"/>
      <c r="S13" s="5"/>
      <c r="T13" s="5"/>
      <c r="U13" s="5"/>
      <c r="V13" s="5"/>
      <c r="W13" s="5"/>
      <c r="X13" s="5"/>
      <c r="Y13" s="5"/>
      <c r="Z13" s="5"/>
    </row>
    <row r="14" hidden="1">
      <c r="A14" s="5"/>
      <c r="B14" s="2"/>
      <c r="C14" s="26">
        <v>45536.0</v>
      </c>
      <c r="D14" s="13" t="s">
        <v>53</v>
      </c>
      <c r="E14" s="1" t="s">
        <v>54</v>
      </c>
      <c r="F14" s="1"/>
      <c r="G14" s="11" t="s">
        <v>23</v>
      </c>
      <c r="H14" s="26">
        <v>45548.0</v>
      </c>
      <c r="I14" s="16" t="s">
        <v>55</v>
      </c>
      <c r="J14" s="11" t="s">
        <v>25</v>
      </c>
      <c r="K14" s="1" t="b">
        <v>1</v>
      </c>
      <c r="L14" s="5" t="b">
        <v>0</v>
      </c>
      <c r="M14" s="1" t="b">
        <v>1</v>
      </c>
      <c r="N14" s="1" t="b">
        <v>0</v>
      </c>
      <c r="O14" s="5" t="b">
        <v>0</v>
      </c>
      <c r="P14" s="5" t="b">
        <v>0</v>
      </c>
      <c r="Q14" s="1" t="s">
        <v>56</v>
      </c>
      <c r="R14" s="5"/>
      <c r="S14" s="5"/>
      <c r="T14" s="5"/>
      <c r="U14" s="5"/>
      <c r="V14" s="5"/>
      <c r="W14" s="5"/>
      <c r="X14" s="5"/>
      <c r="Y14" s="5"/>
      <c r="Z14" s="5"/>
    </row>
    <row r="15" hidden="1">
      <c r="A15" s="5"/>
      <c r="B15" s="2"/>
      <c r="C15" s="26">
        <v>45505.0</v>
      </c>
      <c r="D15" s="13" t="s">
        <v>57</v>
      </c>
      <c r="E15" s="1" t="s">
        <v>58</v>
      </c>
      <c r="F15" s="1"/>
      <c r="G15" s="11" t="s">
        <v>28</v>
      </c>
      <c r="H15" s="26">
        <v>45548.0</v>
      </c>
      <c r="I15" s="16" t="s">
        <v>59</v>
      </c>
      <c r="J15" s="11" t="s">
        <v>25</v>
      </c>
      <c r="K15" s="1" t="b">
        <v>1</v>
      </c>
      <c r="L15" s="1" t="b">
        <v>1</v>
      </c>
      <c r="M15" s="1" t="b">
        <v>1</v>
      </c>
      <c r="N15" s="1" t="b">
        <v>0</v>
      </c>
      <c r="O15" s="5" t="b">
        <v>0</v>
      </c>
      <c r="P15" s="5" t="b">
        <v>0</v>
      </c>
      <c r="Q15" s="1" t="s">
        <v>60</v>
      </c>
      <c r="R15" s="5"/>
      <c r="S15" s="5"/>
      <c r="T15" s="5"/>
      <c r="U15" s="5"/>
      <c r="V15" s="5"/>
      <c r="W15" s="5"/>
      <c r="X15" s="5"/>
      <c r="Y15" s="5"/>
      <c r="Z15" s="5"/>
    </row>
    <row r="16" hidden="1">
      <c r="A16" s="5"/>
      <c r="B16" s="2"/>
      <c r="C16" s="26">
        <v>45539.0</v>
      </c>
      <c r="D16" s="13" t="s">
        <v>61</v>
      </c>
      <c r="E16" s="5"/>
      <c r="F16" s="5"/>
      <c r="G16" s="11" t="s">
        <v>23</v>
      </c>
      <c r="H16" s="28">
        <v>45548.0</v>
      </c>
      <c r="I16" s="16" t="s">
        <v>62</v>
      </c>
      <c r="J16" s="11" t="s">
        <v>25</v>
      </c>
      <c r="K16" s="1" t="b">
        <v>1</v>
      </c>
      <c r="L16" s="1" t="b">
        <v>1</v>
      </c>
      <c r="M16" s="1" t="b">
        <v>1</v>
      </c>
      <c r="N16" s="5" t="b">
        <v>0</v>
      </c>
      <c r="O16" s="5" t="b">
        <v>0</v>
      </c>
      <c r="P16" s="5" t="b">
        <v>0</v>
      </c>
      <c r="Q16" s="1" t="s">
        <v>63</v>
      </c>
      <c r="R16" s="5"/>
      <c r="S16" s="5"/>
      <c r="T16" s="5"/>
      <c r="U16" s="5"/>
      <c r="V16" s="5"/>
      <c r="W16" s="5"/>
      <c r="X16" s="5"/>
      <c r="Y16" s="5"/>
      <c r="Z16" s="5"/>
    </row>
    <row r="17" hidden="1">
      <c r="A17" s="5"/>
      <c r="B17" s="2"/>
      <c r="C17" s="26">
        <v>45505.0</v>
      </c>
      <c r="D17" s="13" t="s">
        <v>64</v>
      </c>
      <c r="E17" s="1" t="s">
        <v>65</v>
      </c>
      <c r="F17" s="1"/>
      <c r="G17" s="11" t="s">
        <v>28</v>
      </c>
      <c r="H17" s="26">
        <v>45552.0</v>
      </c>
      <c r="I17" s="16" t="s">
        <v>66</v>
      </c>
      <c r="J17" s="11" t="s">
        <v>25</v>
      </c>
      <c r="K17" s="1" t="b">
        <v>1</v>
      </c>
      <c r="L17" s="1" t="b">
        <v>1</v>
      </c>
      <c r="M17" s="1" t="b">
        <v>1</v>
      </c>
      <c r="N17" s="5" t="b">
        <v>0</v>
      </c>
      <c r="O17" s="5" t="b">
        <v>0</v>
      </c>
      <c r="P17" s="1" t="b">
        <v>1</v>
      </c>
      <c r="Q17" s="1" t="s">
        <v>67</v>
      </c>
      <c r="R17" s="5"/>
      <c r="S17" s="5"/>
      <c r="T17" s="5"/>
      <c r="U17" s="5"/>
      <c r="V17" s="5"/>
      <c r="W17" s="5"/>
      <c r="X17" s="5"/>
      <c r="Y17" s="5"/>
      <c r="Z17" s="5"/>
    </row>
    <row r="18" hidden="1">
      <c r="A18" s="5"/>
      <c r="B18" s="2"/>
      <c r="C18" s="26">
        <v>45505.0</v>
      </c>
      <c r="D18" s="13" t="s">
        <v>68</v>
      </c>
      <c r="E18" s="1" t="s">
        <v>69</v>
      </c>
      <c r="F18" s="1"/>
      <c r="G18" s="11" t="s">
        <v>23</v>
      </c>
      <c r="H18" s="26">
        <v>45552.0</v>
      </c>
      <c r="I18" s="16" t="s">
        <v>70</v>
      </c>
      <c r="J18" s="11" t="s">
        <v>25</v>
      </c>
      <c r="K18" s="1" t="b">
        <v>1</v>
      </c>
      <c r="L18" s="1" t="b">
        <v>1</v>
      </c>
      <c r="M18" s="1" t="b">
        <v>1</v>
      </c>
      <c r="N18" s="1" t="b">
        <v>1</v>
      </c>
      <c r="O18" s="5" t="b">
        <v>0</v>
      </c>
      <c r="P18" s="1" t="b">
        <v>1</v>
      </c>
      <c r="Q18" s="1" t="s">
        <v>71</v>
      </c>
      <c r="R18" s="5"/>
      <c r="S18" s="5"/>
      <c r="T18" s="5"/>
      <c r="U18" s="5"/>
      <c r="V18" s="5"/>
      <c r="W18" s="5"/>
      <c r="X18" s="5"/>
      <c r="Y18" s="5"/>
      <c r="Z18" s="5"/>
    </row>
    <row r="19" hidden="1">
      <c r="A19" s="5"/>
      <c r="B19" s="2"/>
      <c r="C19" s="26">
        <v>45506.0</v>
      </c>
      <c r="D19" s="13" t="s">
        <v>72</v>
      </c>
      <c r="E19" s="1" t="s">
        <v>73</v>
      </c>
      <c r="F19" s="1"/>
      <c r="G19" s="11" t="s">
        <v>45</v>
      </c>
      <c r="H19" s="28">
        <v>45574.0</v>
      </c>
      <c r="I19" s="16" t="s">
        <v>74</v>
      </c>
      <c r="J19" s="11" t="s">
        <v>25</v>
      </c>
      <c r="K19" s="1" t="b">
        <v>1</v>
      </c>
      <c r="L19" s="1" t="b">
        <v>1</v>
      </c>
      <c r="M19" s="1" t="b">
        <v>1</v>
      </c>
      <c r="N19" s="1" t="b">
        <v>1</v>
      </c>
      <c r="O19" s="1" t="b">
        <v>1</v>
      </c>
      <c r="P19" s="1" t="b">
        <v>1</v>
      </c>
      <c r="Q19" s="1" t="s">
        <v>75</v>
      </c>
      <c r="R19" s="5"/>
      <c r="S19" s="5"/>
      <c r="T19" s="5"/>
      <c r="U19" s="5"/>
      <c r="V19" s="5"/>
      <c r="W19" s="5"/>
      <c r="X19" s="5"/>
      <c r="Y19" s="5"/>
      <c r="Z19" s="5"/>
    </row>
    <row r="20" hidden="1">
      <c r="A20" s="5"/>
      <c r="B20" s="2"/>
      <c r="C20" s="26">
        <v>45536.0</v>
      </c>
      <c r="D20" s="13" t="s">
        <v>76</v>
      </c>
      <c r="E20" s="1" t="s">
        <v>77</v>
      </c>
      <c r="F20" s="1"/>
      <c r="G20" s="11" t="s">
        <v>45</v>
      </c>
      <c r="H20" s="26">
        <v>45560.0</v>
      </c>
      <c r="I20" s="16" t="s">
        <v>78</v>
      </c>
      <c r="J20" s="11" t="s">
        <v>25</v>
      </c>
      <c r="K20" s="1" t="b">
        <v>1</v>
      </c>
      <c r="L20" s="1" t="b">
        <v>1</v>
      </c>
      <c r="M20" s="1" t="b">
        <v>1</v>
      </c>
      <c r="N20" s="5" t="b">
        <v>0</v>
      </c>
      <c r="O20" s="5" t="b">
        <v>0</v>
      </c>
      <c r="P20" s="5" t="b">
        <v>0</v>
      </c>
      <c r="Q20" s="1"/>
      <c r="R20" s="5"/>
      <c r="S20" s="5"/>
      <c r="T20" s="5"/>
      <c r="U20" s="5"/>
      <c r="V20" s="5"/>
      <c r="W20" s="5"/>
      <c r="X20" s="5"/>
      <c r="Y20" s="5"/>
      <c r="Z20" s="5"/>
    </row>
    <row r="21" hidden="1">
      <c r="A21" s="29"/>
      <c r="B21" s="30"/>
      <c r="C21" s="31">
        <v>45537.0</v>
      </c>
      <c r="D21" s="32" t="s">
        <v>79</v>
      </c>
      <c r="E21" s="33" t="s">
        <v>80</v>
      </c>
      <c r="F21" s="33"/>
      <c r="G21" s="34" t="s">
        <v>28</v>
      </c>
      <c r="H21" s="35">
        <v>45580.0</v>
      </c>
      <c r="I21" s="36" t="s">
        <v>59</v>
      </c>
      <c r="J21" s="37" t="s">
        <v>25</v>
      </c>
      <c r="K21" s="38" t="b">
        <v>1</v>
      </c>
      <c r="L21" s="38" t="b">
        <v>1</v>
      </c>
      <c r="M21" s="39" t="b">
        <v>0</v>
      </c>
      <c r="N21" s="39" t="b">
        <v>0</v>
      </c>
      <c r="O21" s="38" t="b">
        <v>1</v>
      </c>
      <c r="P21" s="38" t="b">
        <v>1</v>
      </c>
      <c r="Q21" s="40" t="s">
        <v>81</v>
      </c>
      <c r="R21" s="29"/>
      <c r="S21" s="29"/>
      <c r="T21" s="29"/>
      <c r="U21" s="29"/>
      <c r="V21" s="29"/>
      <c r="W21" s="29"/>
      <c r="X21" s="29"/>
      <c r="Y21" s="29"/>
      <c r="Z21" s="29"/>
    </row>
    <row r="22" hidden="1">
      <c r="A22" s="29"/>
      <c r="B22" s="30"/>
      <c r="C22" s="31">
        <v>45536.0</v>
      </c>
      <c r="D22" s="32" t="s">
        <v>82</v>
      </c>
      <c r="E22" s="40" t="s">
        <v>83</v>
      </c>
      <c r="F22" s="40"/>
      <c r="G22" s="37" t="s">
        <v>23</v>
      </c>
      <c r="H22" s="41">
        <v>45555.0</v>
      </c>
      <c r="I22" s="36" t="s">
        <v>24</v>
      </c>
      <c r="J22" s="37" t="s">
        <v>25</v>
      </c>
      <c r="K22" s="38" t="b">
        <v>1</v>
      </c>
      <c r="L22" s="38" t="b">
        <v>1</v>
      </c>
      <c r="M22" s="39" t="b">
        <v>0</v>
      </c>
      <c r="N22" s="39" t="b">
        <v>0</v>
      </c>
      <c r="O22" s="39" t="b">
        <v>0</v>
      </c>
      <c r="P22" s="38" t="b">
        <v>1</v>
      </c>
      <c r="Q22" s="40" t="s">
        <v>84</v>
      </c>
      <c r="R22" s="29"/>
      <c r="S22" s="29"/>
      <c r="T22" s="29"/>
      <c r="U22" s="29"/>
      <c r="V22" s="29"/>
      <c r="W22" s="29"/>
      <c r="X22" s="29"/>
      <c r="Y22" s="29"/>
      <c r="Z22" s="29"/>
    </row>
    <row r="23" hidden="1">
      <c r="A23" s="5"/>
      <c r="B23" s="2"/>
      <c r="C23" s="26">
        <v>45383.0</v>
      </c>
      <c r="D23" s="13" t="s">
        <v>85</v>
      </c>
      <c r="E23" s="1" t="s">
        <v>86</v>
      </c>
      <c r="F23" s="1"/>
      <c r="G23" s="11" t="s">
        <v>28</v>
      </c>
      <c r="H23" s="26">
        <v>45560.0</v>
      </c>
      <c r="I23" s="16" t="s">
        <v>87</v>
      </c>
      <c r="J23" s="11" t="s">
        <v>25</v>
      </c>
      <c r="K23" s="1" t="b">
        <v>1</v>
      </c>
      <c r="L23" s="1" t="b">
        <v>1</v>
      </c>
      <c r="M23" s="1" t="b">
        <v>0</v>
      </c>
      <c r="N23" s="1" t="b">
        <v>0</v>
      </c>
      <c r="O23" s="5" t="b">
        <v>0</v>
      </c>
      <c r="P23" s="5" t="b">
        <v>0</v>
      </c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idden="1">
      <c r="A24" s="42"/>
      <c r="B24" s="2"/>
      <c r="C24" s="26">
        <v>45474.0</v>
      </c>
      <c r="D24" s="13" t="s">
        <v>88</v>
      </c>
      <c r="E24" s="1" t="s">
        <v>89</v>
      </c>
      <c r="F24" s="1"/>
      <c r="G24" s="11" t="s">
        <v>28</v>
      </c>
      <c r="H24" s="26">
        <v>45560.0</v>
      </c>
      <c r="I24" s="16" t="s">
        <v>90</v>
      </c>
      <c r="J24" s="11" t="s">
        <v>25</v>
      </c>
      <c r="K24" s="1" t="b">
        <v>1</v>
      </c>
      <c r="L24" s="5" t="b">
        <v>0</v>
      </c>
      <c r="M24" s="5" t="b">
        <v>0</v>
      </c>
      <c r="N24" s="5" t="b">
        <v>0</v>
      </c>
      <c r="O24" s="5" t="b">
        <v>0</v>
      </c>
      <c r="P24" s="5" t="b">
        <v>0</v>
      </c>
      <c r="Q24" s="1" t="s">
        <v>91</v>
      </c>
      <c r="R24" s="42"/>
      <c r="S24" s="42"/>
      <c r="T24" s="42"/>
      <c r="U24" s="42"/>
      <c r="V24" s="42"/>
      <c r="W24" s="42"/>
      <c r="X24" s="42"/>
      <c r="Y24" s="42"/>
      <c r="Z24" s="42"/>
    </row>
    <row r="25" hidden="1">
      <c r="A25" s="42"/>
      <c r="B25" s="2"/>
      <c r="C25" s="26">
        <v>45506.0</v>
      </c>
      <c r="D25" s="13" t="s">
        <v>68</v>
      </c>
      <c r="E25" s="1" t="s">
        <v>69</v>
      </c>
      <c r="F25" s="1"/>
      <c r="G25" s="11" t="s">
        <v>28</v>
      </c>
      <c r="H25" s="43"/>
      <c r="I25" s="16" t="s">
        <v>92</v>
      </c>
      <c r="J25" s="11" t="s">
        <v>25</v>
      </c>
      <c r="K25" s="1" t="b">
        <v>1</v>
      </c>
      <c r="L25" s="1" t="b">
        <v>1</v>
      </c>
      <c r="M25" s="5" t="b">
        <v>0</v>
      </c>
      <c r="N25" s="5" t="b">
        <v>0</v>
      </c>
      <c r="O25" s="5" t="b">
        <v>0</v>
      </c>
      <c r="P25" s="5" t="b">
        <v>0</v>
      </c>
      <c r="Q25" s="1"/>
      <c r="R25" s="42"/>
      <c r="S25" s="42"/>
      <c r="T25" s="42"/>
      <c r="U25" s="42"/>
      <c r="V25" s="42"/>
      <c r="W25" s="42"/>
      <c r="X25" s="42"/>
      <c r="Y25" s="42"/>
      <c r="Z25" s="42"/>
    </row>
    <row r="26" hidden="1">
      <c r="A26" s="5"/>
      <c r="B26" s="2"/>
      <c r="C26" s="26">
        <v>45538.0</v>
      </c>
      <c r="D26" s="13" t="s">
        <v>93</v>
      </c>
      <c r="E26" s="1" t="s">
        <v>94</v>
      </c>
      <c r="F26" s="1"/>
      <c r="G26" s="11" t="s">
        <v>28</v>
      </c>
      <c r="H26" s="43"/>
      <c r="I26" s="16" t="s">
        <v>95</v>
      </c>
      <c r="J26" s="11" t="s">
        <v>25</v>
      </c>
      <c r="K26" s="1" t="b">
        <v>1</v>
      </c>
      <c r="L26" s="5" t="b">
        <v>0</v>
      </c>
      <c r="M26" s="5" t="b">
        <v>0</v>
      </c>
      <c r="N26" s="5" t="b">
        <v>0</v>
      </c>
      <c r="O26" s="5" t="b">
        <v>0</v>
      </c>
      <c r="P26" s="5" t="b">
        <v>0</v>
      </c>
      <c r="Q26" s="1" t="s">
        <v>96</v>
      </c>
      <c r="R26" s="5"/>
      <c r="S26" s="5"/>
      <c r="T26" s="5"/>
      <c r="U26" s="5"/>
      <c r="V26" s="5"/>
      <c r="W26" s="5"/>
      <c r="X26" s="5"/>
      <c r="Y26" s="5"/>
      <c r="Z26" s="5"/>
    </row>
    <row r="27" hidden="1">
      <c r="A27" s="5"/>
      <c r="B27" s="2"/>
      <c r="C27" s="26">
        <v>45538.0</v>
      </c>
      <c r="D27" s="13" t="s">
        <v>97</v>
      </c>
      <c r="E27" s="1" t="s">
        <v>98</v>
      </c>
      <c r="F27" s="1"/>
      <c r="G27" s="11" t="s">
        <v>28</v>
      </c>
      <c r="H27" s="43"/>
      <c r="I27" s="16" t="s">
        <v>99</v>
      </c>
      <c r="J27" s="11" t="s">
        <v>25</v>
      </c>
      <c r="K27" s="1" t="b">
        <v>1</v>
      </c>
      <c r="L27" s="5"/>
      <c r="M27" s="5"/>
      <c r="N27" s="5" t="b">
        <v>0</v>
      </c>
      <c r="O27" s="1" t="b">
        <v>1</v>
      </c>
      <c r="P27" s="1" t="b">
        <v>1</v>
      </c>
      <c r="Q27" s="1" t="s">
        <v>100</v>
      </c>
      <c r="R27" s="5"/>
      <c r="S27" s="5"/>
      <c r="T27" s="5"/>
      <c r="U27" s="5"/>
      <c r="V27" s="5"/>
      <c r="W27" s="5"/>
      <c r="X27" s="5"/>
      <c r="Y27" s="5"/>
      <c r="Z27" s="5"/>
    </row>
    <row r="28" hidden="1">
      <c r="A28" s="5"/>
      <c r="B28" s="2"/>
      <c r="C28" s="11" t="s">
        <v>101</v>
      </c>
      <c r="D28" s="13" t="s">
        <v>102</v>
      </c>
      <c r="E28" s="1"/>
      <c r="F28" s="1"/>
      <c r="G28" s="11" t="s">
        <v>45</v>
      </c>
      <c r="H28" s="43"/>
      <c r="I28" s="16" t="s">
        <v>103</v>
      </c>
      <c r="J28" s="11" t="s">
        <v>25</v>
      </c>
      <c r="K28" s="5" t="b">
        <v>0</v>
      </c>
      <c r="L28" s="5" t="b">
        <v>0</v>
      </c>
      <c r="M28" s="5" t="b">
        <v>0</v>
      </c>
      <c r="N28" s="5" t="b">
        <v>0</v>
      </c>
      <c r="O28" s="5" t="b">
        <v>0</v>
      </c>
      <c r="P28" s="1" t="b">
        <v>0</v>
      </c>
      <c r="Q28" s="1" t="s">
        <v>104</v>
      </c>
      <c r="R28" s="5"/>
      <c r="S28" s="5"/>
      <c r="T28" s="5"/>
      <c r="U28" s="5"/>
      <c r="V28" s="5"/>
      <c r="W28" s="5"/>
      <c r="X28" s="5"/>
      <c r="Y28" s="5"/>
      <c r="Z28" s="5"/>
    </row>
    <row r="29" hidden="1">
      <c r="A29" s="5"/>
      <c r="B29" s="2"/>
      <c r="C29" s="11" t="s">
        <v>105</v>
      </c>
      <c r="D29" s="13" t="s">
        <v>106</v>
      </c>
      <c r="E29" s="1" t="s">
        <v>107</v>
      </c>
      <c r="F29" s="1"/>
      <c r="G29" s="11" t="s">
        <v>28</v>
      </c>
      <c r="H29" s="43"/>
      <c r="I29" s="16" t="s">
        <v>108</v>
      </c>
      <c r="J29" s="11" t="s">
        <v>25</v>
      </c>
      <c r="K29" s="1" t="b">
        <v>1</v>
      </c>
      <c r="L29" s="5" t="b">
        <v>0</v>
      </c>
      <c r="M29" s="5" t="b">
        <v>0</v>
      </c>
      <c r="N29" s="5" t="b">
        <v>0</v>
      </c>
      <c r="O29" s="5" t="b">
        <v>0</v>
      </c>
      <c r="P29" s="1" t="b">
        <v>1</v>
      </c>
      <c r="Q29" s="1" t="s">
        <v>109</v>
      </c>
      <c r="R29" s="5"/>
      <c r="S29" s="5"/>
      <c r="T29" s="5"/>
      <c r="U29" s="5"/>
      <c r="V29" s="5"/>
      <c r="W29" s="5"/>
      <c r="X29" s="5"/>
      <c r="Y29" s="5"/>
      <c r="Z29" s="5"/>
    </row>
    <row r="30" hidden="1">
      <c r="A30" s="5"/>
      <c r="B30" s="2"/>
      <c r="C30" s="11" t="s">
        <v>101</v>
      </c>
      <c r="D30" s="13" t="s">
        <v>110</v>
      </c>
      <c r="E30" s="1" t="s">
        <v>111</v>
      </c>
      <c r="F30" s="1"/>
      <c r="G30" s="11" t="s">
        <v>23</v>
      </c>
      <c r="H30" s="43"/>
      <c r="I30" s="16"/>
      <c r="J30" s="11" t="s">
        <v>25</v>
      </c>
      <c r="K30" s="5" t="b">
        <v>0</v>
      </c>
      <c r="L30" s="5" t="b">
        <v>0</v>
      </c>
      <c r="M30" s="5" t="b">
        <v>0</v>
      </c>
      <c r="N30" s="5" t="b">
        <v>0</v>
      </c>
      <c r="O30" s="5" t="b">
        <v>0</v>
      </c>
      <c r="P30" s="1" t="b">
        <v>0</v>
      </c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idden="1">
      <c r="A31" s="5"/>
      <c r="B31" s="2"/>
      <c r="C31" s="26">
        <v>45536.0</v>
      </c>
      <c r="D31" s="13" t="s">
        <v>112</v>
      </c>
      <c r="E31" s="1" t="s">
        <v>113</v>
      </c>
      <c r="F31" s="1"/>
      <c r="G31" s="11" t="s">
        <v>28</v>
      </c>
      <c r="H31" s="43"/>
      <c r="I31" s="16" t="s">
        <v>108</v>
      </c>
      <c r="J31" s="11" t="s">
        <v>25</v>
      </c>
      <c r="K31" s="5" t="b">
        <v>0</v>
      </c>
      <c r="L31" s="5" t="b">
        <v>0</v>
      </c>
      <c r="M31" s="5" t="b">
        <v>0</v>
      </c>
      <c r="N31" s="5" t="b">
        <v>0</v>
      </c>
      <c r="O31" s="5" t="b">
        <v>0</v>
      </c>
      <c r="P31" s="1" t="b">
        <v>1</v>
      </c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idden="1">
      <c r="A32" s="5"/>
      <c r="B32" s="2"/>
      <c r="C32" s="11" t="s">
        <v>114</v>
      </c>
      <c r="D32" s="13" t="s">
        <v>115</v>
      </c>
      <c r="E32" s="1"/>
      <c r="F32" s="1"/>
      <c r="G32" s="11" t="s">
        <v>28</v>
      </c>
      <c r="H32" s="43"/>
      <c r="I32" s="16" t="s">
        <v>116</v>
      </c>
      <c r="J32" s="11" t="s">
        <v>25</v>
      </c>
      <c r="K32" s="1" t="b">
        <v>0</v>
      </c>
      <c r="L32" s="1" t="b">
        <v>0</v>
      </c>
      <c r="M32" s="5" t="b">
        <v>0</v>
      </c>
      <c r="N32" s="5" t="b">
        <v>0</v>
      </c>
      <c r="O32" s="5" t="b">
        <v>0</v>
      </c>
      <c r="P32" s="1" t="b">
        <v>0</v>
      </c>
      <c r="Q32" s="1" t="s">
        <v>117</v>
      </c>
      <c r="R32" s="5"/>
      <c r="S32" s="5"/>
      <c r="T32" s="5"/>
      <c r="U32" s="5"/>
      <c r="V32" s="5"/>
      <c r="W32" s="5"/>
      <c r="X32" s="5"/>
      <c r="Y32" s="5"/>
      <c r="Z32" s="5"/>
    </row>
    <row r="33" hidden="1">
      <c r="A33" s="5"/>
      <c r="B33" s="2"/>
      <c r="C33" s="11" t="s">
        <v>118</v>
      </c>
      <c r="D33" s="13" t="s">
        <v>119</v>
      </c>
      <c r="E33" s="1" t="s">
        <v>28</v>
      </c>
      <c r="F33" s="1"/>
      <c r="G33" s="11" t="s">
        <v>28</v>
      </c>
      <c r="H33" s="43"/>
      <c r="I33" s="16" t="s">
        <v>120</v>
      </c>
      <c r="J33" s="11" t="s">
        <v>25</v>
      </c>
      <c r="K33" s="1" t="b">
        <v>0</v>
      </c>
      <c r="L33" s="1" t="b">
        <v>0</v>
      </c>
      <c r="M33" s="5" t="b">
        <v>0</v>
      </c>
      <c r="N33" s="5" t="b">
        <v>0</v>
      </c>
      <c r="O33" s="5" t="b">
        <v>0</v>
      </c>
      <c r="P33" s="1" t="b">
        <v>0</v>
      </c>
      <c r="Q33" s="1"/>
      <c r="R33" s="5"/>
      <c r="S33" s="5"/>
      <c r="T33" s="5"/>
      <c r="U33" s="5"/>
      <c r="V33" s="5"/>
      <c r="W33" s="5"/>
      <c r="X33" s="5"/>
      <c r="Y33" s="5"/>
      <c r="Z33" s="5"/>
    </row>
    <row r="34" hidden="1">
      <c r="A34" s="5"/>
      <c r="B34" s="2"/>
      <c r="C34" s="11" t="s">
        <v>121</v>
      </c>
      <c r="D34" s="13" t="s">
        <v>122</v>
      </c>
      <c r="E34" s="1" t="s">
        <v>123</v>
      </c>
      <c r="F34" s="1"/>
      <c r="G34" s="11" t="s">
        <v>28</v>
      </c>
      <c r="H34" s="26">
        <v>45576.0</v>
      </c>
      <c r="I34" s="16" t="s">
        <v>124</v>
      </c>
      <c r="J34" s="11" t="s">
        <v>25</v>
      </c>
      <c r="K34" s="1" t="b">
        <v>1</v>
      </c>
      <c r="L34" s="1" t="b">
        <v>1</v>
      </c>
      <c r="M34" s="1" t="b">
        <v>1</v>
      </c>
      <c r="N34" s="5" t="b">
        <v>0</v>
      </c>
      <c r="O34" s="5" t="b">
        <v>0</v>
      </c>
      <c r="P34" s="1" t="b">
        <v>0</v>
      </c>
      <c r="Q34" s="1" t="s">
        <v>125</v>
      </c>
      <c r="R34" s="5"/>
      <c r="S34" s="5"/>
      <c r="T34" s="5"/>
      <c r="U34" s="5"/>
      <c r="V34" s="5"/>
      <c r="W34" s="5"/>
      <c r="X34" s="5"/>
      <c r="Y34" s="5"/>
      <c r="Z34" s="5"/>
    </row>
    <row r="35" hidden="1">
      <c r="A35" s="5"/>
      <c r="B35" s="2"/>
      <c r="C35" s="11" t="s">
        <v>126</v>
      </c>
      <c r="D35" s="13" t="s">
        <v>127</v>
      </c>
      <c r="E35" s="1" t="s">
        <v>28</v>
      </c>
      <c r="F35" s="1"/>
      <c r="G35" s="11" t="s">
        <v>28</v>
      </c>
      <c r="H35" s="43"/>
      <c r="I35" s="16"/>
      <c r="J35" s="11" t="s">
        <v>25</v>
      </c>
      <c r="K35" s="1" t="b">
        <v>1</v>
      </c>
      <c r="L35" s="1" t="b">
        <v>1</v>
      </c>
      <c r="M35" s="1" t="b">
        <v>1</v>
      </c>
      <c r="N35" s="5" t="b">
        <v>0</v>
      </c>
      <c r="O35" s="1" t="b">
        <v>1</v>
      </c>
      <c r="P35" s="1" t="b">
        <v>0</v>
      </c>
      <c r="Q35" s="1" t="s">
        <v>128</v>
      </c>
      <c r="R35" s="5"/>
      <c r="S35" s="5"/>
      <c r="T35" s="5"/>
      <c r="U35" s="5"/>
      <c r="V35" s="5"/>
      <c r="W35" s="5"/>
      <c r="X35" s="5"/>
      <c r="Y35" s="5"/>
      <c r="Z35" s="5"/>
    </row>
    <row r="36" hidden="1">
      <c r="A36" s="5"/>
      <c r="B36" s="2"/>
      <c r="C36" s="26"/>
      <c r="D36" s="13" t="s">
        <v>129</v>
      </c>
      <c r="E36" s="1" t="s">
        <v>130</v>
      </c>
      <c r="F36" s="1"/>
      <c r="G36" s="11" t="s">
        <v>28</v>
      </c>
      <c r="H36" s="26">
        <v>45580.0</v>
      </c>
      <c r="I36" s="16" t="s">
        <v>131</v>
      </c>
      <c r="J36" s="11" t="s">
        <v>25</v>
      </c>
      <c r="K36" s="1" t="b">
        <v>1</v>
      </c>
      <c r="L36" s="1" t="b">
        <v>0</v>
      </c>
      <c r="M36" s="5" t="b">
        <v>0</v>
      </c>
      <c r="N36" s="1" t="b">
        <v>1</v>
      </c>
      <c r="O36" s="5" t="b">
        <v>0</v>
      </c>
      <c r="P36" s="1" t="b">
        <v>0</v>
      </c>
      <c r="Q36" s="1" t="s">
        <v>132</v>
      </c>
      <c r="R36" s="5"/>
      <c r="S36" s="5"/>
      <c r="T36" s="5"/>
      <c r="U36" s="5"/>
      <c r="V36" s="5"/>
      <c r="W36" s="5"/>
      <c r="X36" s="5"/>
      <c r="Y36" s="5"/>
      <c r="Z36" s="5"/>
    </row>
    <row r="37" hidden="1">
      <c r="A37" s="5"/>
      <c r="B37" s="2"/>
      <c r="C37" s="11" t="s">
        <v>133</v>
      </c>
      <c r="D37" s="13" t="s">
        <v>134</v>
      </c>
      <c r="E37" s="1"/>
      <c r="F37" s="1"/>
      <c r="G37" s="11" t="s">
        <v>45</v>
      </c>
      <c r="H37" s="11" t="s">
        <v>135</v>
      </c>
      <c r="I37" s="16"/>
      <c r="J37" s="11" t="s">
        <v>25</v>
      </c>
      <c r="K37" s="1" t="b">
        <v>0</v>
      </c>
      <c r="L37" s="1" t="b">
        <v>0</v>
      </c>
      <c r="M37" s="5" t="b">
        <v>0</v>
      </c>
      <c r="N37" s="5" t="b">
        <v>0</v>
      </c>
      <c r="O37" s="5" t="b">
        <v>0</v>
      </c>
      <c r="P37" s="1" t="b">
        <v>0</v>
      </c>
      <c r="Q37" s="1"/>
      <c r="R37" s="5"/>
      <c r="S37" s="5"/>
      <c r="T37" s="5"/>
      <c r="U37" s="5"/>
      <c r="V37" s="5"/>
      <c r="W37" s="5"/>
      <c r="X37" s="5"/>
      <c r="Y37" s="5"/>
      <c r="Z37" s="5"/>
    </row>
    <row r="38" hidden="1">
      <c r="A38" s="5"/>
      <c r="B38" s="2"/>
      <c r="C38" s="26">
        <v>45558.0</v>
      </c>
      <c r="D38" s="13" t="s">
        <v>136</v>
      </c>
      <c r="E38" s="1"/>
      <c r="F38" s="1"/>
      <c r="G38" s="11" t="s">
        <v>45</v>
      </c>
      <c r="H38" s="11" t="s">
        <v>135</v>
      </c>
      <c r="I38" s="16" t="s">
        <v>137</v>
      </c>
      <c r="J38" s="11" t="s">
        <v>25</v>
      </c>
      <c r="K38" s="1" t="b">
        <v>0</v>
      </c>
      <c r="L38" s="1" t="b">
        <v>0</v>
      </c>
      <c r="M38" s="5" t="b">
        <v>0</v>
      </c>
      <c r="N38" s="5" t="b">
        <v>0</v>
      </c>
      <c r="O38" s="5" t="b">
        <v>0</v>
      </c>
      <c r="P38" s="1" t="b">
        <v>0</v>
      </c>
      <c r="Q38" s="1"/>
      <c r="R38" s="5"/>
      <c r="S38" s="5"/>
      <c r="T38" s="5"/>
      <c r="U38" s="5"/>
      <c r="V38" s="5"/>
      <c r="W38" s="5"/>
      <c r="X38" s="5"/>
      <c r="Y38" s="5"/>
      <c r="Z38" s="5"/>
    </row>
    <row r="39" hidden="1">
      <c r="A39" s="5"/>
      <c r="B39" s="2"/>
      <c r="C39" s="11"/>
      <c r="D39" s="13" t="s">
        <v>138</v>
      </c>
      <c r="E39" s="1"/>
      <c r="F39" s="1"/>
      <c r="G39" s="11" t="s">
        <v>28</v>
      </c>
      <c r="H39" s="43"/>
      <c r="I39" s="16" t="s">
        <v>139</v>
      </c>
      <c r="J39" s="11" t="s">
        <v>25</v>
      </c>
      <c r="K39" s="1" t="b">
        <v>0</v>
      </c>
      <c r="L39" s="1" t="b">
        <v>0</v>
      </c>
      <c r="M39" s="5" t="b">
        <v>0</v>
      </c>
      <c r="N39" s="5" t="b">
        <v>0</v>
      </c>
      <c r="O39" s="5" t="b">
        <v>0</v>
      </c>
      <c r="P39" s="1" t="b">
        <v>0</v>
      </c>
      <c r="Q39" s="1"/>
      <c r="R39" s="5"/>
      <c r="S39" s="5"/>
      <c r="T39" s="5"/>
      <c r="U39" s="5"/>
      <c r="V39" s="5"/>
      <c r="W39" s="5"/>
      <c r="X39" s="5"/>
      <c r="Y39" s="5"/>
      <c r="Z39" s="5"/>
    </row>
    <row r="40" hidden="1">
      <c r="A40" s="5"/>
      <c r="B40" s="2"/>
      <c r="C40" s="44">
        <v>45594.0</v>
      </c>
      <c r="D40" s="13" t="s">
        <v>140</v>
      </c>
      <c r="E40" s="1" t="s">
        <v>141</v>
      </c>
      <c r="F40" s="1"/>
      <c r="G40" s="11" t="s">
        <v>45</v>
      </c>
      <c r="H40" s="26">
        <v>45596.0</v>
      </c>
      <c r="I40" s="16" t="s">
        <v>142</v>
      </c>
      <c r="J40" s="11" t="s">
        <v>25</v>
      </c>
      <c r="K40" s="1" t="b">
        <v>0</v>
      </c>
      <c r="L40" s="1" t="b">
        <v>0</v>
      </c>
      <c r="M40" s="1" t="b">
        <v>0</v>
      </c>
      <c r="N40" s="5" t="b">
        <v>0</v>
      </c>
      <c r="O40" s="5" t="b">
        <v>0</v>
      </c>
      <c r="P40" s="1" t="b">
        <v>0</v>
      </c>
      <c r="Q40" s="1"/>
      <c r="R40" s="5"/>
      <c r="S40" s="5"/>
      <c r="T40" s="5"/>
      <c r="U40" s="5"/>
      <c r="V40" s="5"/>
      <c r="W40" s="5"/>
      <c r="X40" s="5"/>
      <c r="Y40" s="5"/>
      <c r="Z40" s="5"/>
    </row>
    <row r="41" hidden="1">
      <c r="A41" s="5"/>
      <c r="B41" s="2"/>
      <c r="C41" s="11" t="s">
        <v>133</v>
      </c>
      <c r="D41" s="13" t="s">
        <v>143</v>
      </c>
      <c r="E41" s="1" t="s">
        <v>141</v>
      </c>
      <c r="F41" s="1"/>
      <c r="G41" s="11" t="s">
        <v>45</v>
      </c>
      <c r="H41" s="26">
        <v>45590.0</v>
      </c>
      <c r="I41" s="16" t="s">
        <v>144</v>
      </c>
      <c r="J41" s="11" t="s">
        <v>25</v>
      </c>
      <c r="K41" s="1" t="b">
        <v>1</v>
      </c>
      <c r="L41" s="1" t="b">
        <v>1</v>
      </c>
      <c r="M41" s="1" t="b">
        <v>1</v>
      </c>
      <c r="N41" s="5" t="b">
        <v>0</v>
      </c>
      <c r="O41" s="5" t="b">
        <v>0</v>
      </c>
      <c r="P41" s="1" t="b">
        <v>0</v>
      </c>
      <c r="Q41" s="1" t="s">
        <v>132</v>
      </c>
      <c r="R41" s="5"/>
      <c r="S41" s="5"/>
      <c r="T41" s="5"/>
      <c r="U41" s="5"/>
      <c r="V41" s="5"/>
      <c r="W41" s="5"/>
      <c r="X41" s="5"/>
      <c r="Y41" s="5"/>
      <c r="Z41" s="5"/>
    </row>
    <row r="42" hidden="1">
      <c r="A42" s="5"/>
      <c r="B42" s="2"/>
      <c r="C42" s="28">
        <v>45580.0</v>
      </c>
      <c r="D42" s="13" t="s">
        <v>145</v>
      </c>
      <c r="E42" s="1" t="s">
        <v>141</v>
      </c>
      <c r="F42" s="1"/>
      <c r="G42" s="11" t="s">
        <v>45</v>
      </c>
      <c r="H42" s="26">
        <v>45596.0</v>
      </c>
      <c r="I42" s="16" t="s">
        <v>146</v>
      </c>
      <c r="J42" s="11" t="s">
        <v>25</v>
      </c>
      <c r="K42" s="1" t="b">
        <v>1</v>
      </c>
      <c r="L42" s="1" t="b">
        <v>0</v>
      </c>
      <c r="M42" s="1" t="b">
        <v>0</v>
      </c>
      <c r="N42" s="5" t="b">
        <v>0</v>
      </c>
      <c r="O42" s="5" t="b">
        <v>0</v>
      </c>
      <c r="P42" s="1" t="b">
        <v>1</v>
      </c>
      <c r="Q42" s="1"/>
      <c r="R42" s="5"/>
      <c r="S42" s="5"/>
      <c r="T42" s="5"/>
      <c r="U42" s="5"/>
      <c r="V42" s="5"/>
      <c r="W42" s="5"/>
      <c r="X42" s="5"/>
      <c r="Y42" s="5"/>
      <c r="Z42" s="5"/>
    </row>
    <row r="43" hidden="1">
      <c r="A43" s="5"/>
      <c r="B43" s="2"/>
      <c r="C43" s="26">
        <v>45565.0</v>
      </c>
      <c r="D43" s="13" t="s">
        <v>147</v>
      </c>
      <c r="E43" s="1" t="s">
        <v>148</v>
      </c>
      <c r="F43" s="1"/>
      <c r="G43" s="11" t="s">
        <v>23</v>
      </c>
      <c r="H43" s="43"/>
      <c r="I43" s="16" t="s">
        <v>149</v>
      </c>
      <c r="J43" s="11" t="s">
        <v>25</v>
      </c>
      <c r="K43" s="1" t="b">
        <v>0</v>
      </c>
      <c r="L43" s="1" t="b">
        <v>0</v>
      </c>
      <c r="M43" s="5" t="b">
        <v>0</v>
      </c>
      <c r="N43" s="5" t="b">
        <v>0</v>
      </c>
      <c r="O43" s="5" t="b">
        <v>0</v>
      </c>
      <c r="P43" s="1" t="b">
        <v>0</v>
      </c>
      <c r="Q43" s="1" t="s">
        <v>150</v>
      </c>
      <c r="R43" s="5"/>
      <c r="S43" s="5"/>
      <c r="T43" s="5"/>
      <c r="U43" s="5"/>
      <c r="V43" s="5"/>
      <c r="W43" s="5"/>
      <c r="X43" s="5"/>
      <c r="Y43" s="5"/>
      <c r="Z43" s="5"/>
    </row>
    <row r="44" hidden="1">
      <c r="A44" s="5"/>
      <c r="B44" s="2"/>
      <c r="C44" s="45">
        <v>45565.0</v>
      </c>
      <c r="D44" s="13" t="s">
        <v>151</v>
      </c>
      <c r="E44" s="1"/>
      <c r="F44" s="1"/>
      <c r="G44" s="11" t="s">
        <v>28</v>
      </c>
      <c r="H44" s="26">
        <v>45574.0</v>
      </c>
      <c r="I44" s="16" t="s">
        <v>152</v>
      </c>
      <c r="J44" s="11" t="s">
        <v>25</v>
      </c>
      <c r="K44" s="1" t="b">
        <v>1</v>
      </c>
      <c r="L44" s="1" t="b">
        <v>1</v>
      </c>
      <c r="M44" s="1" t="b">
        <v>1</v>
      </c>
      <c r="N44" s="1" t="b">
        <v>1</v>
      </c>
      <c r="O44" s="1" t="b">
        <v>1</v>
      </c>
      <c r="P44" s="1" t="b">
        <v>1</v>
      </c>
      <c r="Q44" s="1" t="s">
        <v>132</v>
      </c>
      <c r="R44" s="5"/>
      <c r="S44" s="5"/>
      <c r="T44" s="5"/>
      <c r="U44" s="5"/>
      <c r="V44" s="5"/>
      <c r="W44" s="5"/>
      <c r="X44" s="5"/>
      <c r="Y44" s="5"/>
      <c r="Z44" s="5"/>
    </row>
    <row r="45" hidden="1">
      <c r="A45" s="5"/>
      <c r="B45" s="2"/>
      <c r="C45" s="26"/>
      <c r="D45" s="13" t="s">
        <v>153</v>
      </c>
      <c r="E45" s="1" t="s">
        <v>154</v>
      </c>
      <c r="F45" s="1"/>
      <c r="G45" s="11" t="s">
        <v>28</v>
      </c>
      <c r="H45" s="26">
        <v>45572.0</v>
      </c>
      <c r="I45" s="16" t="s">
        <v>155</v>
      </c>
      <c r="J45" s="11" t="s">
        <v>25</v>
      </c>
      <c r="K45" s="1" t="b">
        <v>0</v>
      </c>
      <c r="L45" s="1" t="b">
        <v>0</v>
      </c>
      <c r="M45" s="5" t="b">
        <v>0</v>
      </c>
      <c r="N45" s="5" t="b">
        <v>0</v>
      </c>
      <c r="O45" s="5" t="b">
        <v>0</v>
      </c>
      <c r="P45" s="1" t="b">
        <v>0</v>
      </c>
      <c r="Q45" s="1"/>
      <c r="R45" s="5"/>
      <c r="S45" s="5"/>
      <c r="T45" s="5"/>
      <c r="U45" s="5"/>
      <c r="V45" s="5"/>
      <c r="W45" s="5"/>
      <c r="X45" s="5"/>
      <c r="Y45" s="5"/>
      <c r="Z45" s="5"/>
    </row>
    <row r="46" hidden="1">
      <c r="A46" s="5"/>
      <c r="B46" s="2"/>
      <c r="C46" s="26">
        <v>45566.0</v>
      </c>
      <c r="D46" s="13" t="s">
        <v>156</v>
      </c>
      <c r="E46" s="1" t="s">
        <v>157</v>
      </c>
      <c r="F46" s="1"/>
      <c r="G46" s="11" t="s">
        <v>45</v>
      </c>
      <c r="H46" s="26">
        <v>45576.0</v>
      </c>
      <c r="I46" s="16" t="s">
        <v>158</v>
      </c>
      <c r="J46" s="11" t="s">
        <v>25</v>
      </c>
      <c r="K46" s="1" t="b">
        <v>1</v>
      </c>
      <c r="L46" s="1" t="b">
        <v>1</v>
      </c>
      <c r="M46" s="1" t="b">
        <v>1</v>
      </c>
      <c r="N46" s="1" t="b">
        <v>1</v>
      </c>
      <c r="O46" s="5" t="b">
        <v>0</v>
      </c>
      <c r="P46" s="1" t="b">
        <v>0</v>
      </c>
      <c r="Q46" s="1"/>
      <c r="R46" s="5"/>
      <c r="S46" s="5"/>
      <c r="T46" s="5"/>
      <c r="U46" s="5"/>
      <c r="V46" s="5"/>
      <c r="W46" s="5"/>
      <c r="X46" s="5"/>
      <c r="Y46" s="5"/>
      <c r="Z46" s="5"/>
    </row>
    <row r="47" hidden="1">
      <c r="A47" s="5"/>
      <c r="B47" s="2"/>
      <c r="C47" s="26">
        <v>45570.0</v>
      </c>
      <c r="D47" s="13" t="s">
        <v>159</v>
      </c>
      <c r="E47" s="1" t="s">
        <v>160</v>
      </c>
      <c r="F47" s="1"/>
      <c r="G47" s="11" t="s">
        <v>28</v>
      </c>
      <c r="H47" s="26">
        <v>45583.0</v>
      </c>
      <c r="I47" s="16" t="s">
        <v>161</v>
      </c>
      <c r="J47" s="11" t="s">
        <v>25</v>
      </c>
      <c r="K47" s="1" t="b">
        <v>1</v>
      </c>
      <c r="L47" s="1" t="b">
        <v>0</v>
      </c>
      <c r="M47" s="5" t="b">
        <v>0</v>
      </c>
      <c r="N47" s="5" t="b">
        <v>0</v>
      </c>
      <c r="O47" s="5" t="b">
        <v>0</v>
      </c>
      <c r="P47" s="1" t="b">
        <v>1</v>
      </c>
      <c r="Q47" s="1"/>
      <c r="R47" s="5"/>
      <c r="S47" s="5"/>
      <c r="T47" s="5"/>
      <c r="U47" s="5"/>
      <c r="V47" s="5"/>
      <c r="W47" s="5"/>
      <c r="X47" s="5"/>
      <c r="Y47" s="5"/>
      <c r="Z47" s="5"/>
    </row>
    <row r="48" hidden="1">
      <c r="A48" s="5"/>
      <c r="B48" s="2"/>
      <c r="C48" s="26">
        <v>45572.0</v>
      </c>
      <c r="D48" s="13" t="s">
        <v>162</v>
      </c>
      <c r="E48" s="1" t="s">
        <v>163</v>
      </c>
      <c r="F48" s="1"/>
      <c r="G48" s="11" t="s">
        <v>45</v>
      </c>
      <c r="H48" s="26">
        <v>45573.0</v>
      </c>
      <c r="I48" s="16" t="s">
        <v>164</v>
      </c>
      <c r="J48" s="11" t="s">
        <v>25</v>
      </c>
      <c r="K48" s="1" t="b">
        <v>0</v>
      </c>
      <c r="L48" s="1" t="b">
        <v>0</v>
      </c>
      <c r="M48" s="5" t="b">
        <v>0</v>
      </c>
      <c r="N48" s="5" t="b">
        <v>0</v>
      </c>
      <c r="O48" s="5" t="b">
        <v>0</v>
      </c>
      <c r="P48" s="1" t="b">
        <v>0</v>
      </c>
      <c r="Q48" s="1"/>
      <c r="R48" s="5"/>
      <c r="S48" s="5"/>
      <c r="T48" s="5"/>
      <c r="U48" s="5"/>
      <c r="V48" s="5"/>
      <c r="W48" s="5"/>
      <c r="X48" s="5"/>
      <c r="Y48" s="5"/>
      <c r="Z48" s="5"/>
    </row>
    <row r="49" hidden="1">
      <c r="A49" s="5"/>
      <c r="B49" s="2"/>
      <c r="C49" s="26">
        <v>45573.0</v>
      </c>
      <c r="D49" s="13" t="s">
        <v>165</v>
      </c>
      <c r="E49" s="1" t="s">
        <v>166</v>
      </c>
      <c r="F49" s="1"/>
      <c r="G49" s="11" t="s">
        <v>45</v>
      </c>
      <c r="H49" s="26">
        <v>45596.0</v>
      </c>
      <c r="I49" s="16" t="s">
        <v>167</v>
      </c>
      <c r="J49" s="11" t="s">
        <v>25</v>
      </c>
      <c r="K49" s="1" t="b">
        <v>1</v>
      </c>
      <c r="L49" s="1" t="b">
        <v>0</v>
      </c>
      <c r="M49" s="5" t="b">
        <v>0</v>
      </c>
      <c r="N49" s="5" t="b">
        <v>0</v>
      </c>
      <c r="O49" s="5" t="b">
        <v>0</v>
      </c>
      <c r="P49" s="1" t="b">
        <v>0</v>
      </c>
      <c r="Q49" s="1"/>
      <c r="R49" s="5"/>
      <c r="S49" s="5"/>
      <c r="T49" s="5"/>
      <c r="U49" s="5"/>
      <c r="V49" s="5"/>
      <c r="W49" s="5"/>
      <c r="X49" s="5"/>
      <c r="Y49" s="5"/>
      <c r="Z49" s="5"/>
    </row>
    <row r="50" hidden="1">
      <c r="A50" s="5"/>
      <c r="B50" s="2"/>
      <c r="C50" s="26">
        <v>45573.0</v>
      </c>
      <c r="D50" s="13" t="s">
        <v>168</v>
      </c>
      <c r="E50" s="1"/>
      <c r="F50" s="1"/>
      <c r="G50" s="11" t="s">
        <v>28</v>
      </c>
      <c r="H50" s="26">
        <v>45576.0</v>
      </c>
      <c r="I50" s="16" t="s">
        <v>169</v>
      </c>
      <c r="J50" s="11" t="s">
        <v>25</v>
      </c>
      <c r="K50" s="1" t="b">
        <v>1</v>
      </c>
      <c r="L50" s="1" t="b">
        <v>0</v>
      </c>
      <c r="M50" s="5" t="b">
        <v>0</v>
      </c>
      <c r="N50" s="5" t="b">
        <v>0</v>
      </c>
      <c r="O50" s="5" t="b">
        <v>0</v>
      </c>
      <c r="P50" s="1" t="b">
        <v>0</v>
      </c>
      <c r="Q50" s="1"/>
      <c r="R50" s="5"/>
      <c r="S50" s="5"/>
      <c r="T50" s="5"/>
      <c r="U50" s="5"/>
      <c r="V50" s="5"/>
      <c r="W50" s="5"/>
      <c r="X50" s="5"/>
      <c r="Y50" s="5"/>
      <c r="Z50" s="5"/>
    </row>
    <row r="51" hidden="1">
      <c r="A51" s="5"/>
      <c r="B51" s="2"/>
      <c r="C51" s="26">
        <v>45573.0</v>
      </c>
      <c r="D51" s="13" t="s">
        <v>170</v>
      </c>
      <c r="E51" s="1"/>
      <c r="F51" s="1"/>
      <c r="G51" s="11" t="s">
        <v>28</v>
      </c>
      <c r="H51" s="26">
        <v>45575.0</v>
      </c>
      <c r="I51" s="16"/>
      <c r="J51" s="11" t="s">
        <v>25</v>
      </c>
      <c r="K51" s="1" t="b">
        <v>1</v>
      </c>
      <c r="L51" s="1" t="b">
        <v>0</v>
      </c>
      <c r="M51" s="5" t="b">
        <v>0</v>
      </c>
      <c r="N51" s="5" t="b">
        <v>0</v>
      </c>
      <c r="O51" s="5" t="b">
        <v>0</v>
      </c>
      <c r="P51" s="1" t="b">
        <v>1</v>
      </c>
      <c r="Q51" s="1"/>
      <c r="R51" s="5"/>
      <c r="S51" s="5"/>
      <c r="T51" s="5"/>
      <c r="U51" s="5"/>
      <c r="V51" s="5"/>
      <c r="W51" s="5"/>
      <c r="X51" s="5"/>
      <c r="Y51" s="5"/>
      <c r="Z51" s="5"/>
    </row>
    <row r="52" hidden="1">
      <c r="A52" s="5"/>
      <c r="B52" s="2"/>
      <c r="C52" s="26">
        <v>45573.0</v>
      </c>
      <c r="D52" s="13" t="s">
        <v>171</v>
      </c>
      <c r="E52" s="1"/>
      <c r="F52" s="1"/>
      <c r="G52" s="11" t="s">
        <v>45</v>
      </c>
      <c r="H52" s="26">
        <v>45576.0</v>
      </c>
      <c r="I52" s="16" t="s">
        <v>172</v>
      </c>
      <c r="J52" s="11" t="s">
        <v>173</v>
      </c>
      <c r="K52" s="1" t="b">
        <v>1</v>
      </c>
      <c r="L52" s="1" t="b">
        <v>0</v>
      </c>
      <c r="M52" s="5" t="b">
        <v>0</v>
      </c>
      <c r="N52" s="5" t="b">
        <v>0</v>
      </c>
      <c r="O52" s="5" t="b">
        <v>0</v>
      </c>
      <c r="P52" s="1" t="b">
        <v>0</v>
      </c>
      <c r="Q52" s="1"/>
      <c r="R52" s="5"/>
      <c r="S52" s="5"/>
      <c r="T52" s="5"/>
      <c r="U52" s="5"/>
      <c r="V52" s="5"/>
      <c r="W52" s="5"/>
      <c r="X52" s="5"/>
      <c r="Y52" s="5"/>
      <c r="Z52" s="5"/>
    </row>
    <row r="53" hidden="1">
      <c r="A53" s="5"/>
      <c r="B53" s="2"/>
      <c r="C53" s="26">
        <v>45573.0</v>
      </c>
      <c r="D53" s="13" t="s">
        <v>174</v>
      </c>
      <c r="E53" s="1"/>
      <c r="F53" s="1"/>
      <c r="G53" s="11" t="s">
        <v>28</v>
      </c>
      <c r="H53" s="26"/>
      <c r="I53" s="16" t="s">
        <v>175</v>
      </c>
      <c r="J53" s="11" t="s">
        <v>25</v>
      </c>
      <c r="K53" s="1" t="b">
        <v>1</v>
      </c>
      <c r="L53" s="1" t="b">
        <v>1</v>
      </c>
      <c r="M53" s="1" t="b">
        <v>1</v>
      </c>
      <c r="N53" s="1" t="b">
        <v>1</v>
      </c>
      <c r="O53" s="5" t="b">
        <v>0</v>
      </c>
      <c r="P53" s="1" t="b">
        <v>0</v>
      </c>
      <c r="Q53" s="1"/>
      <c r="R53" s="5"/>
      <c r="S53" s="5"/>
      <c r="T53" s="5"/>
      <c r="U53" s="5"/>
      <c r="V53" s="5"/>
      <c r="W53" s="5"/>
      <c r="X53" s="5"/>
      <c r="Y53" s="5"/>
      <c r="Z53" s="5"/>
    </row>
    <row r="54" hidden="1">
      <c r="A54" s="5"/>
      <c r="B54" s="2"/>
      <c r="C54" s="26"/>
      <c r="D54" s="13" t="s">
        <v>176</v>
      </c>
      <c r="E54" s="1" t="s">
        <v>177</v>
      </c>
      <c r="F54" s="1"/>
      <c r="G54" s="11" t="s">
        <v>45</v>
      </c>
      <c r="H54" s="26">
        <v>45574.0</v>
      </c>
      <c r="I54" s="16" t="s">
        <v>178</v>
      </c>
      <c r="J54" s="11" t="s">
        <v>25</v>
      </c>
      <c r="K54" s="1" t="b">
        <v>0</v>
      </c>
      <c r="L54" s="1" t="b">
        <v>0</v>
      </c>
      <c r="M54" s="5" t="b">
        <v>0</v>
      </c>
      <c r="N54" s="5" t="b">
        <v>0</v>
      </c>
      <c r="O54" s="5" t="b">
        <v>0</v>
      </c>
      <c r="P54" s="1" t="b">
        <v>0</v>
      </c>
      <c r="Q54" s="1"/>
      <c r="R54" s="5"/>
      <c r="S54" s="5"/>
      <c r="T54" s="5"/>
      <c r="U54" s="5"/>
      <c r="V54" s="5"/>
      <c r="W54" s="5"/>
      <c r="X54" s="5"/>
      <c r="Y54" s="5"/>
      <c r="Z54" s="5"/>
    </row>
    <row r="55" hidden="1">
      <c r="A55" s="5"/>
      <c r="B55" s="2"/>
      <c r="C55" s="26">
        <v>45586.0</v>
      </c>
      <c r="D55" s="13" t="s">
        <v>179</v>
      </c>
      <c r="E55" s="1"/>
      <c r="F55" s="1"/>
      <c r="G55" s="11" t="s">
        <v>23</v>
      </c>
      <c r="H55" s="26">
        <v>45577.0</v>
      </c>
      <c r="I55" s="16"/>
      <c r="J55" s="11" t="s">
        <v>173</v>
      </c>
      <c r="K55" s="1" t="b">
        <v>1</v>
      </c>
      <c r="L55" s="1" t="b">
        <v>0</v>
      </c>
      <c r="M55" s="5" t="b">
        <v>0</v>
      </c>
      <c r="N55" s="5" t="b">
        <v>0</v>
      </c>
      <c r="O55" s="5" t="b">
        <v>0</v>
      </c>
      <c r="P55" s="1" t="b">
        <v>0</v>
      </c>
      <c r="Q55" s="1"/>
      <c r="R55" s="5"/>
      <c r="S55" s="5"/>
      <c r="T55" s="5"/>
      <c r="U55" s="5"/>
      <c r="V55" s="5"/>
      <c r="W55" s="5"/>
      <c r="X55" s="5"/>
      <c r="Y55" s="5"/>
      <c r="Z55" s="5"/>
    </row>
    <row r="56" hidden="1">
      <c r="A56" s="5"/>
      <c r="B56" s="2"/>
      <c r="C56" s="26">
        <v>45586.0</v>
      </c>
      <c r="D56" s="13" t="s">
        <v>180</v>
      </c>
      <c r="E56" s="1" t="s">
        <v>181</v>
      </c>
      <c r="F56" s="1"/>
      <c r="G56" s="11" t="s">
        <v>28</v>
      </c>
      <c r="H56" s="26">
        <v>45578.0</v>
      </c>
      <c r="I56" s="16" t="s">
        <v>182</v>
      </c>
      <c r="J56" s="11" t="s">
        <v>25</v>
      </c>
      <c r="K56" s="1" t="b">
        <v>1</v>
      </c>
      <c r="L56" s="1" t="b">
        <v>0</v>
      </c>
      <c r="M56" s="5" t="b">
        <v>0</v>
      </c>
      <c r="N56" s="5" t="b">
        <v>0</v>
      </c>
      <c r="O56" s="5" t="b">
        <v>0</v>
      </c>
      <c r="P56" s="1" t="b">
        <v>0</v>
      </c>
      <c r="Q56" s="1"/>
      <c r="R56" s="5"/>
      <c r="S56" s="5"/>
      <c r="T56" s="5"/>
      <c r="U56" s="5"/>
      <c r="V56" s="5"/>
      <c r="W56" s="5"/>
      <c r="X56" s="5"/>
      <c r="Y56" s="5"/>
      <c r="Z56" s="5"/>
    </row>
    <row r="57" hidden="1">
      <c r="A57" s="5"/>
      <c r="B57" s="2"/>
      <c r="C57" s="26">
        <v>45587.0</v>
      </c>
      <c r="D57" s="13" t="s">
        <v>183</v>
      </c>
      <c r="E57" s="1" t="s">
        <v>184</v>
      </c>
      <c r="F57" s="1"/>
      <c r="G57" s="11" t="s">
        <v>45</v>
      </c>
      <c r="H57" s="26">
        <v>45611.0</v>
      </c>
      <c r="I57" s="16" t="s">
        <v>185</v>
      </c>
      <c r="J57" s="11" t="s">
        <v>25</v>
      </c>
      <c r="K57" s="1" t="b">
        <v>1</v>
      </c>
      <c r="L57" s="1" t="b">
        <v>0</v>
      </c>
      <c r="M57" s="5" t="b">
        <v>0</v>
      </c>
      <c r="N57" s="5" t="b">
        <v>0</v>
      </c>
      <c r="O57" s="1" t="b">
        <v>1</v>
      </c>
      <c r="P57" s="1" t="b">
        <v>1</v>
      </c>
      <c r="Q57" s="1"/>
      <c r="R57" s="5"/>
      <c r="S57" s="5"/>
      <c r="T57" s="5"/>
      <c r="U57" s="5"/>
      <c r="V57" s="5"/>
      <c r="W57" s="5"/>
      <c r="X57" s="5"/>
      <c r="Y57" s="5"/>
      <c r="Z57" s="5"/>
    </row>
    <row r="58" hidden="1">
      <c r="A58" s="5"/>
      <c r="B58" s="2"/>
      <c r="C58" s="26">
        <v>45588.0</v>
      </c>
      <c r="D58" s="13" t="s">
        <v>186</v>
      </c>
      <c r="E58" s="1" t="s">
        <v>187</v>
      </c>
      <c r="F58" s="1"/>
      <c r="G58" s="11" t="s">
        <v>28</v>
      </c>
      <c r="H58" s="26">
        <v>45604.0</v>
      </c>
      <c r="I58" s="16"/>
      <c r="J58" s="11" t="s">
        <v>25</v>
      </c>
      <c r="K58" s="1" t="b">
        <v>1</v>
      </c>
      <c r="L58" s="1" t="b">
        <v>0</v>
      </c>
      <c r="M58" s="5" t="b">
        <v>0</v>
      </c>
      <c r="N58" s="5" t="b">
        <v>0</v>
      </c>
      <c r="O58" s="5" t="b">
        <v>0</v>
      </c>
      <c r="P58" s="1" t="b">
        <v>1</v>
      </c>
      <c r="Q58" s="1"/>
      <c r="R58" s="5"/>
      <c r="S58" s="5"/>
      <c r="T58" s="5"/>
      <c r="U58" s="5"/>
      <c r="V58" s="5"/>
      <c r="W58" s="5"/>
      <c r="X58" s="5"/>
      <c r="Y58" s="5"/>
      <c r="Z58" s="5"/>
    </row>
    <row r="59" hidden="1">
      <c r="A59" s="5"/>
      <c r="B59" s="2"/>
      <c r="C59" s="26"/>
      <c r="D59" s="13" t="s">
        <v>188</v>
      </c>
      <c r="E59" s="1"/>
      <c r="F59" s="1"/>
      <c r="G59" s="11" t="s">
        <v>28</v>
      </c>
      <c r="H59" s="26"/>
      <c r="I59" s="16"/>
      <c r="J59" s="11" t="s">
        <v>25</v>
      </c>
      <c r="K59" s="1" t="b">
        <v>0</v>
      </c>
      <c r="L59" s="1" t="b">
        <v>0</v>
      </c>
      <c r="M59" s="5" t="b">
        <v>0</v>
      </c>
      <c r="N59" s="5" t="b">
        <v>0</v>
      </c>
      <c r="O59" s="5" t="b">
        <v>0</v>
      </c>
      <c r="P59" s="1" t="b">
        <v>0</v>
      </c>
      <c r="Q59" s="1"/>
      <c r="R59" s="5"/>
      <c r="S59" s="5"/>
      <c r="T59" s="5"/>
      <c r="U59" s="5"/>
      <c r="V59" s="5"/>
      <c r="W59" s="5"/>
      <c r="X59" s="5"/>
      <c r="Y59" s="5"/>
      <c r="Z59" s="5"/>
    </row>
    <row r="60" hidden="1">
      <c r="A60" s="5"/>
      <c r="B60" s="2"/>
      <c r="C60" s="26">
        <v>45588.0</v>
      </c>
      <c r="D60" s="13" t="s">
        <v>189</v>
      </c>
      <c r="E60" s="1"/>
      <c r="F60" s="1"/>
      <c r="G60" s="11" t="s">
        <v>28</v>
      </c>
      <c r="H60" s="26">
        <v>45582.0</v>
      </c>
      <c r="I60" s="16" t="s">
        <v>190</v>
      </c>
      <c r="J60" s="11" t="s">
        <v>25</v>
      </c>
      <c r="K60" s="1" t="b">
        <v>1</v>
      </c>
      <c r="L60" s="1" t="b">
        <v>0</v>
      </c>
      <c r="M60" s="5" t="b">
        <v>0</v>
      </c>
      <c r="N60" s="5" t="b">
        <v>0</v>
      </c>
      <c r="O60" s="5" t="b">
        <v>0</v>
      </c>
      <c r="P60" s="1" t="b">
        <v>0</v>
      </c>
      <c r="Q60" s="1"/>
      <c r="R60" s="5"/>
      <c r="S60" s="5"/>
      <c r="T60" s="5"/>
      <c r="U60" s="5"/>
      <c r="V60" s="5"/>
      <c r="W60" s="5"/>
      <c r="X60" s="5"/>
      <c r="Y60" s="5"/>
      <c r="Z60" s="5"/>
    </row>
    <row r="61" hidden="1">
      <c r="A61" s="5"/>
      <c r="B61" s="2"/>
      <c r="C61" s="26">
        <v>45596.0</v>
      </c>
      <c r="D61" s="13" t="s">
        <v>191</v>
      </c>
      <c r="E61" s="1"/>
      <c r="F61" s="1"/>
      <c r="G61" s="11" t="s">
        <v>23</v>
      </c>
      <c r="H61" s="26"/>
      <c r="I61" s="16" t="s">
        <v>192</v>
      </c>
      <c r="J61" s="11" t="s">
        <v>25</v>
      </c>
      <c r="K61" s="1" t="b">
        <v>1</v>
      </c>
      <c r="L61" s="1" t="b">
        <v>0</v>
      </c>
      <c r="M61" s="5" t="b">
        <v>0</v>
      </c>
      <c r="N61" s="5" t="b">
        <v>0</v>
      </c>
      <c r="O61" s="5" t="b">
        <v>0</v>
      </c>
      <c r="P61" s="1" t="b">
        <v>1</v>
      </c>
      <c r="Q61" s="1"/>
      <c r="R61" s="5"/>
      <c r="S61" s="5"/>
      <c r="T61" s="5"/>
      <c r="U61" s="5"/>
      <c r="V61" s="5"/>
      <c r="W61" s="5"/>
      <c r="X61" s="5"/>
      <c r="Y61" s="5"/>
      <c r="Z61" s="5"/>
    </row>
    <row r="62" hidden="1">
      <c r="A62" s="5"/>
      <c r="B62" s="2"/>
      <c r="C62" s="26"/>
      <c r="D62" s="13" t="s">
        <v>193</v>
      </c>
      <c r="E62" s="1"/>
      <c r="F62" s="1"/>
      <c r="G62" s="11" t="s">
        <v>23</v>
      </c>
      <c r="H62" s="26">
        <v>45597.0</v>
      </c>
      <c r="I62" s="16" t="s">
        <v>194</v>
      </c>
      <c r="J62" s="11" t="s">
        <v>25</v>
      </c>
      <c r="K62" s="1" t="b">
        <v>1</v>
      </c>
      <c r="L62" s="1" t="b">
        <v>1</v>
      </c>
      <c r="M62" s="1" t="b">
        <v>1</v>
      </c>
      <c r="N62" s="1" t="b">
        <v>1</v>
      </c>
      <c r="O62" s="5" t="b">
        <v>0</v>
      </c>
      <c r="P62" s="1" t="b">
        <v>0</v>
      </c>
      <c r="Q62" s="1"/>
      <c r="R62" s="5"/>
      <c r="S62" s="5"/>
      <c r="T62" s="5"/>
      <c r="U62" s="5"/>
      <c r="V62" s="5"/>
      <c r="W62" s="5"/>
      <c r="X62" s="5"/>
      <c r="Y62" s="5"/>
      <c r="Z62" s="5"/>
    </row>
    <row r="63" hidden="1">
      <c r="A63" s="5"/>
      <c r="B63" s="2"/>
      <c r="C63" s="26">
        <v>45574.0</v>
      </c>
      <c r="D63" s="13" t="s">
        <v>195</v>
      </c>
      <c r="E63" s="1"/>
      <c r="F63" s="1"/>
      <c r="G63" s="11" t="s">
        <v>28</v>
      </c>
      <c r="H63" s="26">
        <v>45582.0</v>
      </c>
      <c r="I63" s="16" t="s">
        <v>196</v>
      </c>
      <c r="J63" s="11" t="s">
        <v>25</v>
      </c>
      <c r="K63" s="1" t="b">
        <v>1</v>
      </c>
      <c r="L63" s="1" t="b">
        <v>0</v>
      </c>
      <c r="M63" s="5" t="b">
        <v>0</v>
      </c>
      <c r="N63" s="5" t="b">
        <v>0</v>
      </c>
      <c r="O63" s="5" t="b">
        <v>0</v>
      </c>
      <c r="P63" s="1" t="b">
        <v>1</v>
      </c>
      <c r="Q63" s="1"/>
      <c r="R63" s="5"/>
      <c r="S63" s="5"/>
      <c r="T63" s="5"/>
      <c r="U63" s="5"/>
      <c r="V63" s="5"/>
      <c r="W63" s="5"/>
      <c r="X63" s="5"/>
      <c r="Y63" s="5"/>
      <c r="Z63" s="5"/>
    </row>
    <row r="64" hidden="1">
      <c r="A64" s="5"/>
      <c r="B64" s="2"/>
      <c r="C64" s="26">
        <v>45574.0</v>
      </c>
      <c r="D64" s="13" t="s">
        <v>197</v>
      </c>
      <c r="E64" s="1" t="s">
        <v>198</v>
      </c>
      <c r="F64" s="1"/>
      <c r="G64" s="11" t="s">
        <v>45</v>
      </c>
      <c r="H64" s="26"/>
      <c r="I64" s="16" t="s">
        <v>199</v>
      </c>
      <c r="J64" s="11" t="s">
        <v>25</v>
      </c>
      <c r="K64" s="1" t="b">
        <v>1</v>
      </c>
      <c r="L64" s="1" t="b">
        <v>0</v>
      </c>
      <c r="M64" s="5" t="b">
        <v>0</v>
      </c>
      <c r="N64" s="5" t="b">
        <v>0</v>
      </c>
      <c r="O64" s="1" t="b">
        <v>1</v>
      </c>
      <c r="P64" s="1" t="b">
        <v>1</v>
      </c>
      <c r="Q64" s="1"/>
      <c r="R64" s="5"/>
      <c r="S64" s="5"/>
      <c r="T64" s="5"/>
      <c r="U64" s="5"/>
      <c r="V64" s="5"/>
      <c r="W64" s="5"/>
      <c r="X64" s="5"/>
      <c r="Y64" s="5"/>
      <c r="Z64" s="5"/>
    </row>
    <row r="65" hidden="1">
      <c r="A65" s="5"/>
      <c r="B65" s="2"/>
      <c r="C65" s="26">
        <v>45597.0</v>
      </c>
      <c r="D65" s="13" t="s">
        <v>200</v>
      </c>
      <c r="E65" s="1" t="s">
        <v>113</v>
      </c>
      <c r="F65" s="1"/>
      <c r="G65" s="11" t="s">
        <v>28</v>
      </c>
      <c r="H65" s="26">
        <v>45625.0</v>
      </c>
      <c r="I65" s="16" t="s">
        <v>201</v>
      </c>
      <c r="J65" s="11" t="s">
        <v>25</v>
      </c>
      <c r="K65" s="1" t="b">
        <v>1</v>
      </c>
      <c r="L65" s="1" t="b">
        <v>0</v>
      </c>
      <c r="M65" s="5" t="b">
        <v>0</v>
      </c>
      <c r="N65" s="5" t="b">
        <v>0</v>
      </c>
      <c r="O65" s="1" t="b">
        <v>1</v>
      </c>
      <c r="P65" s="1" t="b">
        <v>1</v>
      </c>
      <c r="Q65" s="1"/>
      <c r="R65" s="5"/>
      <c r="S65" s="5"/>
      <c r="T65" s="5"/>
      <c r="U65" s="5"/>
      <c r="V65" s="5"/>
      <c r="W65" s="5"/>
      <c r="X65" s="5"/>
      <c r="Y65" s="5"/>
      <c r="Z65" s="5"/>
    </row>
    <row r="66" hidden="1">
      <c r="A66" s="5"/>
      <c r="B66" s="2"/>
      <c r="C66" s="26">
        <v>45597.0</v>
      </c>
      <c r="D66" s="13" t="s">
        <v>202</v>
      </c>
      <c r="E66" s="1" t="s">
        <v>113</v>
      </c>
      <c r="F66" s="1"/>
      <c r="G66" s="11" t="s">
        <v>28</v>
      </c>
      <c r="H66" s="26">
        <v>45625.0</v>
      </c>
      <c r="I66" s="16"/>
      <c r="J66" s="11" t="s">
        <v>25</v>
      </c>
      <c r="K66" s="1" t="b">
        <v>1</v>
      </c>
      <c r="L66" s="1" t="b">
        <v>0</v>
      </c>
      <c r="M66" s="5" t="b">
        <v>0</v>
      </c>
      <c r="N66" s="5" t="b">
        <v>0</v>
      </c>
      <c r="O66" s="1" t="b">
        <v>1</v>
      </c>
      <c r="P66" s="1" t="b">
        <v>1</v>
      </c>
      <c r="Q66" s="1"/>
      <c r="R66" s="5"/>
      <c r="S66" s="5"/>
      <c r="T66" s="5"/>
      <c r="U66" s="5"/>
      <c r="V66" s="5"/>
      <c r="W66" s="5"/>
      <c r="X66" s="5"/>
      <c r="Y66" s="5"/>
      <c r="Z66" s="5"/>
    </row>
    <row r="67" hidden="1">
      <c r="A67" s="5"/>
      <c r="B67" s="2"/>
      <c r="C67" s="26">
        <v>45597.0</v>
      </c>
      <c r="D67" s="13" t="s">
        <v>203</v>
      </c>
      <c r="E67" s="1" t="s">
        <v>113</v>
      </c>
      <c r="F67" s="1"/>
      <c r="G67" s="11" t="s">
        <v>28</v>
      </c>
      <c r="H67" s="26">
        <v>45625.0</v>
      </c>
      <c r="I67" s="16" t="s">
        <v>204</v>
      </c>
      <c r="J67" s="11" t="s">
        <v>25</v>
      </c>
      <c r="K67" s="1" t="b">
        <v>1</v>
      </c>
      <c r="L67" s="1" t="b">
        <v>0</v>
      </c>
      <c r="M67" s="5" t="b">
        <v>0</v>
      </c>
      <c r="N67" s="5" t="b">
        <v>0</v>
      </c>
      <c r="O67" s="1" t="b">
        <v>1</v>
      </c>
      <c r="P67" s="1" t="b">
        <v>1</v>
      </c>
      <c r="Q67" s="1"/>
      <c r="R67" s="5"/>
      <c r="S67" s="5"/>
      <c r="T67" s="5"/>
      <c r="U67" s="5"/>
      <c r="V67" s="5"/>
      <c r="W67" s="5"/>
      <c r="X67" s="5"/>
      <c r="Y67" s="5"/>
      <c r="Z67" s="5"/>
    </row>
    <row r="68" hidden="1">
      <c r="A68" s="5"/>
      <c r="B68" s="2"/>
      <c r="C68" s="26">
        <v>45597.0</v>
      </c>
      <c r="D68" s="13" t="s">
        <v>205</v>
      </c>
      <c r="E68" s="1" t="s">
        <v>113</v>
      </c>
      <c r="F68" s="1"/>
      <c r="G68" s="11" t="s">
        <v>28</v>
      </c>
      <c r="H68" s="26">
        <v>45625.0</v>
      </c>
      <c r="I68" s="16"/>
      <c r="J68" s="11" t="s">
        <v>25</v>
      </c>
      <c r="K68" s="1" t="b">
        <v>1</v>
      </c>
      <c r="L68" s="1" t="b">
        <v>0</v>
      </c>
      <c r="M68" s="5" t="b">
        <v>0</v>
      </c>
      <c r="N68" s="5" t="b">
        <v>0</v>
      </c>
      <c r="O68" s="1" t="b">
        <v>1</v>
      </c>
      <c r="P68" s="1" t="b">
        <v>1</v>
      </c>
      <c r="Q68" s="1"/>
      <c r="R68" s="5"/>
      <c r="S68" s="5"/>
      <c r="T68" s="5"/>
      <c r="U68" s="5"/>
      <c r="V68" s="5"/>
      <c r="W68" s="5"/>
      <c r="X68" s="5"/>
      <c r="Y68" s="5"/>
      <c r="Z68" s="5"/>
    </row>
    <row r="69" hidden="1">
      <c r="A69" s="5"/>
      <c r="B69" s="2"/>
      <c r="C69" s="26">
        <v>45604.0</v>
      </c>
      <c r="D69" s="13" t="s">
        <v>206</v>
      </c>
      <c r="E69" s="1" t="s">
        <v>207</v>
      </c>
      <c r="F69" s="1"/>
      <c r="G69" s="11" t="s">
        <v>28</v>
      </c>
      <c r="H69" s="26">
        <v>45626.0</v>
      </c>
      <c r="I69" s="16" t="s">
        <v>208</v>
      </c>
      <c r="J69" s="11" t="s">
        <v>25</v>
      </c>
      <c r="K69" s="1" t="b">
        <v>0</v>
      </c>
      <c r="L69" s="1" t="b">
        <v>0</v>
      </c>
      <c r="M69" s="5" t="b">
        <v>0</v>
      </c>
      <c r="N69" s="5" t="b">
        <v>0</v>
      </c>
      <c r="O69" s="5" t="b">
        <v>0</v>
      </c>
      <c r="P69" s="1" t="b">
        <v>0</v>
      </c>
      <c r="Q69" s="1"/>
      <c r="R69" s="5"/>
      <c r="S69" s="5"/>
      <c r="T69" s="5"/>
      <c r="U69" s="5"/>
      <c r="V69" s="5"/>
      <c r="W69" s="5"/>
      <c r="X69" s="5"/>
      <c r="Y69" s="5"/>
      <c r="Z69" s="5"/>
    </row>
    <row r="70" hidden="1">
      <c r="A70" s="5"/>
      <c r="B70" s="2"/>
      <c r="C70" s="26">
        <v>45609.0</v>
      </c>
      <c r="D70" s="13" t="s">
        <v>209</v>
      </c>
      <c r="E70" s="1" t="s">
        <v>210</v>
      </c>
      <c r="F70" s="1"/>
      <c r="G70" s="11" t="s">
        <v>23</v>
      </c>
      <c r="H70" s="46">
        <v>45702.0</v>
      </c>
      <c r="I70" s="16" t="s">
        <v>211</v>
      </c>
      <c r="J70" s="11" t="s">
        <v>25</v>
      </c>
      <c r="K70" s="1" t="b">
        <v>1</v>
      </c>
      <c r="L70" s="1" t="b">
        <v>1</v>
      </c>
      <c r="M70" s="1" t="b">
        <v>1</v>
      </c>
      <c r="N70" s="5" t="b">
        <v>0</v>
      </c>
      <c r="O70" s="1" t="b">
        <v>1</v>
      </c>
      <c r="P70" s="1" t="b">
        <v>1</v>
      </c>
      <c r="Q70" s="1" t="s">
        <v>212</v>
      </c>
      <c r="R70" s="5"/>
      <c r="S70" s="5"/>
      <c r="T70" s="5"/>
      <c r="U70" s="5"/>
      <c r="V70" s="5"/>
      <c r="W70" s="5"/>
      <c r="X70" s="5"/>
      <c r="Y70" s="5"/>
      <c r="Z70" s="5"/>
    </row>
    <row r="71" hidden="1">
      <c r="A71" s="5"/>
      <c r="B71" s="2"/>
      <c r="C71" s="26">
        <v>45992.0</v>
      </c>
      <c r="D71" s="13" t="s">
        <v>213</v>
      </c>
      <c r="E71" s="1"/>
      <c r="F71" s="1"/>
      <c r="G71" s="11" t="s">
        <v>23</v>
      </c>
      <c r="H71" s="46">
        <v>45702.0</v>
      </c>
      <c r="I71" s="16" t="s">
        <v>214</v>
      </c>
      <c r="J71" s="11" t="s">
        <v>25</v>
      </c>
      <c r="K71" s="1" t="b">
        <v>1</v>
      </c>
      <c r="L71" s="1" t="b">
        <v>1</v>
      </c>
      <c r="M71" s="5" t="b">
        <v>0</v>
      </c>
      <c r="N71" s="5" t="b">
        <v>0</v>
      </c>
      <c r="O71" s="1" t="b">
        <v>1</v>
      </c>
      <c r="P71" s="1" t="b">
        <v>1</v>
      </c>
      <c r="Q71" s="1" t="s">
        <v>215</v>
      </c>
      <c r="R71" s="5"/>
      <c r="S71" s="5"/>
      <c r="T71" s="5"/>
      <c r="U71" s="5"/>
      <c r="V71" s="5"/>
      <c r="W71" s="5"/>
      <c r="X71" s="5"/>
      <c r="Y71" s="5"/>
      <c r="Z71" s="5"/>
    </row>
    <row r="72" hidden="1">
      <c r="A72" s="5"/>
      <c r="B72" s="2"/>
      <c r="C72" s="26">
        <v>45992.0</v>
      </c>
      <c r="D72" s="13" t="s">
        <v>216</v>
      </c>
      <c r="E72" s="1" t="s">
        <v>184</v>
      </c>
      <c r="F72" s="1"/>
      <c r="G72" s="11" t="s">
        <v>23</v>
      </c>
      <c r="H72" s="46">
        <v>45679.0</v>
      </c>
      <c r="I72" s="16" t="s">
        <v>90</v>
      </c>
      <c r="J72" s="11" t="s">
        <v>25</v>
      </c>
      <c r="K72" s="1" t="b">
        <v>1</v>
      </c>
      <c r="L72" s="1" t="b">
        <v>0</v>
      </c>
      <c r="M72" s="5" t="b">
        <v>0</v>
      </c>
      <c r="N72" s="1" t="b">
        <v>1</v>
      </c>
      <c r="O72" s="1" t="b">
        <v>1</v>
      </c>
      <c r="P72" s="1" t="b">
        <v>1</v>
      </c>
      <c r="Q72" s="1"/>
      <c r="R72" s="5"/>
      <c r="S72" s="5"/>
      <c r="T72" s="5"/>
      <c r="U72" s="5"/>
      <c r="V72" s="5"/>
      <c r="W72" s="5"/>
      <c r="X72" s="5"/>
      <c r="Y72" s="5"/>
      <c r="Z72" s="5"/>
    </row>
    <row r="73" hidden="1">
      <c r="A73" s="5"/>
      <c r="B73" s="2"/>
      <c r="C73" s="26">
        <v>45663.0</v>
      </c>
      <c r="D73" s="13" t="s">
        <v>217</v>
      </c>
      <c r="E73" s="1" t="s">
        <v>218</v>
      </c>
      <c r="F73" s="1"/>
      <c r="G73" s="11" t="s">
        <v>23</v>
      </c>
      <c r="H73" s="46">
        <v>45687.0</v>
      </c>
      <c r="I73" s="16" t="s">
        <v>219</v>
      </c>
      <c r="J73" s="11" t="s">
        <v>25</v>
      </c>
      <c r="K73" s="1" t="b">
        <v>1</v>
      </c>
      <c r="L73" s="1" t="b">
        <v>0</v>
      </c>
      <c r="M73" s="5" t="b">
        <v>0</v>
      </c>
      <c r="N73" s="5" t="b">
        <v>0</v>
      </c>
      <c r="O73" s="5" t="b">
        <v>0</v>
      </c>
      <c r="P73" s="1" t="b">
        <v>0</v>
      </c>
      <c r="Q73" s="1"/>
      <c r="R73" s="5"/>
      <c r="S73" s="5"/>
      <c r="T73" s="5"/>
      <c r="U73" s="5"/>
      <c r="V73" s="5"/>
      <c r="W73" s="5"/>
      <c r="X73" s="5"/>
      <c r="Y73" s="5"/>
      <c r="Z73" s="5"/>
    </row>
    <row r="74" hidden="1">
      <c r="A74" s="5"/>
      <c r="B74" s="2"/>
      <c r="C74" s="26">
        <v>45663.0</v>
      </c>
      <c r="D74" s="13" t="s">
        <v>220</v>
      </c>
      <c r="E74" s="1"/>
      <c r="F74" s="1"/>
      <c r="G74" s="11" t="s">
        <v>23</v>
      </c>
      <c r="H74" s="47">
        <v>45728.0</v>
      </c>
      <c r="I74" s="16" t="s">
        <v>221</v>
      </c>
      <c r="J74" s="11" t="s">
        <v>25</v>
      </c>
      <c r="K74" s="1" t="b">
        <v>1</v>
      </c>
      <c r="L74" s="1" t="b">
        <v>1</v>
      </c>
      <c r="M74" s="1" t="b">
        <v>1</v>
      </c>
      <c r="N74" s="1" t="b">
        <v>1</v>
      </c>
      <c r="O74" s="1" t="b">
        <v>1</v>
      </c>
      <c r="P74" s="1" t="b">
        <v>1</v>
      </c>
      <c r="Q74" s="1" t="s">
        <v>222</v>
      </c>
      <c r="R74" s="5"/>
      <c r="S74" s="1" t="s">
        <v>223</v>
      </c>
      <c r="T74" s="5"/>
      <c r="U74" s="5"/>
      <c r="V74" s="5"/>
      <c r="W74" s="5"/>
      <c r="X74" s="5"/>
      <c r="Y74" s="5"/>
      <c r="Z74" s="5"/>
    </row>
    <row r="75" hidden="1">
      <c r="A75" s="5"/>
      <c r="B75" s="2"/>
      <c r="C75" s="26">
        <v>45663.0</v>
      </c>
      <c r="D75" s="13" t="s">
        <v>224</v>
      </c>
      <c r="E75" s="1" t="s">
        <v>225</v>
      </c>
      <c r="F75" s="1"/>
      <c r="G75" s="11" t="s">
        <v>23</v>
      </c>
      <c r="H75" s="46">
        <v>45674.0</v>
      </c>
      <c r="I75" s="16" t="s">
        <v>226</v>
      </c>
      <c r="J75" s="11" t="s">
        <v>25</v>
      </c>
      <c r="K75" s="1" t="b">
        <v>1</v>
      </c>
      <c r="L75" s="1" t="b">
        <v>1</v>
      </c>
      <c r="M75" s="1" t="b">
        <v>1</v>
      </c>
      <c r="N75" s="1" t="b">
        <v>1</v>
      </c>
      <c r="O75" s="5" t="b">
        <v>0</v>
      </c>
      <c r="P75" s="1" t="b">
        <v>1</v>
      </c>
      <c r="Q75" s="1"/>
      <c r="R75" s="5"/>
      <c r="S75" s="5"/>
      <c r="T75" s="5"/>
      <c r="U75" s="5"/>
      <c r="V75" s="5"/>
      <c r="W75" s="5"/>
      <c r="X75" s="5"/>
      <c r="Y75" s="5"/>
      <c r="Z75" s="5"/>
    </row>
    <row r="76" hidden="1">
      <c r="A76" s="5"/>
      <c r="B76" s="2"/>
      <c r="C76" s="26">
        <v>45663.0</v>
      </c>
      <c r="D76" s="13" t="s">
        <v>227</v>
      </c>
      <c r="E76" s="1" t="s">
        <v>228</v>
      </c>
      <c r="F76" s="1"/>
      <c r="G76" s="11" t="s">
        <v>23</v>
      </c>
      <c r="H76" s="46">
        <v>45695.0</v>
      </c>
      <c r="I76" s="16" t="s">
        <v>229</v>
      </c>
      <c r="J76" s="11" t="s">
        <v>25</v>
      </c>
      <c r="K76" s="1" t="b">
        <v>1</v>
      </c>
      <c r="L76" s="1" t="b">
        <v>0</v>
      </c>
      <c r="M76" s="5" t="b">
        <v>0</v>
      </c>
      <c r="N76" s="5" t="b">
        <v>0</v>
      </c>
      <c r="O76" s="1" t="b">
        <v>1</v>
      </c>
      <c r="P76" s="1" t="b">
        <v>1</v>
      </c>
      <c r="Q76" s="1"/>
      <c r="R76" s="5"/>
      <c r="S76" s="5"/>
      <c r="T76" s="5"/>
      <c r="U76" s="5"/>
      <c r="V76" s="5"/>
      <c r="W76" s="5"/>
      <c r="X76" s="5"/>
      <c r="Y76" s="5"/>
      <c r="Z76" s="5"/>
    </row>
    <row r="77" hidden="1">
      <c r="A77" s="5"/>
      <c r="B77" s="2"/>
      <c r="C77" s="26">
        <v>45664.0</v>
      </c>
      <c r="D77" s="13" t="s">
        <v>230</v>
      </c>
      <c r="E77" s="1"/>
      <c r="F77" s="1"/>
      <c r="G77" s="11" t="s">
        <v>45</v>
      </c>
      <c r="H77" s="1" t="s">
        <v>231</v>
      </c>
      <c r="I77" s="16" t="s">
        <v>232</v>
      </c>
      <c r="J77" s="11" t="s">
        <v>233</v>
      </c>
      <c r="K77" s="1" t="b">
        <v>1</v>
      </c>
      <c r="L77" s="1" t="b">
        <v>0</v>
      </c>
      <c r="M77" s="5" t="b">
        <v>0</v>
      </c>
      <c r="N77" s="5" t="b">
        <v>0</v>
      </c>
      <c r="O77" s="5" t="b">
        <v>0</v>
      </c>
      <c r="P77" s="1" t="b">
        <v>0</v>
      </c>
      <c r="Q77" s="1"/>
      <c r="R77" s="5"/>
      <c r="S77" s="5"/>
      <c r="T77" s="5"/>
      <c r="U77" s="5"/>
      <c r="V77" s="5"/>
      <c r="W77" s="5"/>
      <c r="X77" s="5"/>
      <c r="Y77" s="5"/>
      <c r="Z77" s="5"/>
    </row>
    <row r="78" hidden="1">
      <c r="A78" s="5"/>
      <c r="B78" s="2"/>
      <c r="C78" s="48">
        <v>45665.0</v>
      </c>
      <c r="D78" s="49" t="s">
        <v>68</v>
      </c>
      <c r="E78" s="50"/>
      <c r="F78" s="50"/>
      <c r="G78" s="51" t="s">
        <v>23</v>
      </c>
      <c r="H78" s="50" t="s">
        <v>234</v>
      </c>
      <c r="I78" s="52" t="s">
        <v>235</v>
      </c>
      <c r="J78" s="51" t="s">
        <v>25</v>
      </c>
      <c r="K78" s="50" t="b">
        <v>1</v>
      </c>
      <c r="L78" s="50" t="b">
        <v>1</v>
      </c>
      <c r="M78" s="50" t="b">
        <v>1</v>
      </c>
      <c r="N78" s="50" t="b">
        <v>1</v>
      </c>
      <c r="O78" s="53" t="b">
        <v>0</v>
      </c>
      <c r="P78" s="50" t="b">
        <v>0</v>
      </c>
      <c r="Q78" s="50" t="s">
        <v>236</v>
      </c>
      <c r="R78" s="5"/>
      <c r="S78" s="5"/>
      <c r="T78" s="5"/>
      <c r="U78" s="5"/>
      <c r="V78" s="5"/>
      <c r="W78" s="5"/>
      <c r="X78" s="5"/>
      <c r="Y78" s="5"/>
      <c r="Z78" s="5"/>
    </row>
    <row r="79" hidden="1">
      <c r="A79" s="5"/>
      <c r="B79" s="2"/>
      <c r="C79" s="26">
        <v>45665.0</v>
      </c>
      <c r="D79" s="13" t="s">
        <v>237</v>
      </c>
      <c r="E79" s="1" t="s">
        <v>238</v>
      </c>
      <c r="F79" s="1"/>
      <c r="G79" s="11" t="s">
        <v>23</v>
      </c>
      <c r="H79" s="46">
        <v>45681.0</v>
      </c>
      <c r="I79" s="16" t="s">
        <v>239</v>
      </c>
      <c r="J79" s="11" t="s">
        <v>25</v>
      </c>
      <c r="K79" s="1" t="b">
        <v>1</v>
      </c>
      <c r="L79" s="1" t="b">
        <v>0</v>
      </c>
      <c r="M79" s="5" t="b">
        <v>0</v>
      </c>
      <c r="N79" s="5" t="b">
        <v>0</v>
      </c>
      <c r="O79" s="5" t="b">
        <v>0</v>
      </c>
      <c r="P79" s="1" t="b">
        <v>0</v>
      </c>
      <c r="Q79" s="1" t="s">
        <v>240</v>
      </c>
      <c r="R79" s="5"/>
      <c r="S79" s="5"/>
      <c r="T79" s="5"/>
      <c r="U79" s="5"/>
      <c r="V79" s="5"/>
      <c r="W79" s="5"/>
      <c r="X79" s="5"/>
      <c r="Y79" s="5"/>
      <c r="Z79" s="5"/>
    </row>
    <row r="80" hidden="1">
      <c r="A80" s="5"/>
      <c r="B80" s="2"/>
      <c r="C80" s="26">
        <v>45666.0</v>
      </c>
      <c r="D80" s="13" t="s">
        <v>237</v>
      </c>
      <c r="E80" s="1" t="s">
        <v>238</v>
      </c>
      <c r="F80" s="1"/>
      <c r="G80" s="11" t="s">
        <v>23</v>
      </c>
      <c r="H80" s="1" t="s">
        <v>241</v>
      </c>
      <c r="I80" s="16" t="s">
        <v>242</v>
      </c>
      <c r="J80" s="11" t="s">
        <v>25</v>
      </c>
      <c r="K80" s="1" t="b">
        <v>1</v>
      </c>
      <c r="L80" s="1" t="b">
        <v>1</v>
      </c>
      <c r="M80" s="1" t="b">
        <v>0</v>
      </c>
      <c r="N80" s="5" t="b">
        <v>0</v>
      </c>
      <c r="O80" s="5" t="b">
        <v>0</v>
      </c>
      <c r="P80" s="1" t="b">
        <v>0</v>
      </c>
      <c r="Q80" s="1"/>
      <c r="R80" s="5"/>
      <c r="S80" s="5"/>
      <c r="T80" s="5"/>
      <c r="U80" s="5"/>
      <c r="V80" s="5"/>
      <c r="W80" s="5"/>
      <c r="X80" s="5"/>
      <c r="Y80" s="5"/>
      <c r="Z80" s="5"/>
    </row>
    <row r="81" hidden="1">
      <c r="A81" s="5"/>
      <c r="B81" s="2"/>
      <c r="C81" s="26">
        <v>45627.0</v>
      </c>
      <c r="D81" s="13" t="s">
        <v>243</v>
      </c>
      <c r="E81" s="1"/>
      <c r="F81" s="1"/>
      <c r="G81" s="11" t="s">
        <v>23</v>
      </c>
      <c r="H81" s="46">
        <v>45678.0</v>
      </c>
      <c r="I81" s="16" t="s">
        <v>244</v>
      </c>
      <c r="J81" s="11" t="s">
        <v>25</v>
      </c>
      <c r="K81" s="1" t="b">
        <v>1</v>
      </c>
      <c r="L81" s="1" t="b">
        <v>0</v>
      </c>
      <c r="M81" s="5" t="b">
        <v>0</v>
      </c>
      <c r="N81" s="5" t="b">
        <v>0</v>
      </c>
      <c r="O81" s="5" t="b">
        <v>0</v>
      </c>
      <c r="P81" s="1" t="b">
        <v>0</v>
      </c>
      <c r="Q81" s="1" t="s">
        <v>245</v>
      </c>
      <c r="R81" s="5"/>
      <c r="S81" s="5"/>
      <c r="T81" s="5"/>
      <c r="U81" s="5"/>
      <c r="V81" s="5"/>
      <c r="W81" s="5"/>
      <c r="X81" s="5"/>
      <c r="Y81" s="5"/>
      <c r="Z81" s="5"/>
    </row>
    <row r="82" hidden="1">
      <c r="A82" s="5"/>
      <c r="B82" s="54"/>
      <c r="C82" s="26">
        <v>45627.0</v>
      </c>
      <c r="D82" s="13" t="s">
        <v>246</v>
      </c>
      <c r="E82" s="1" t="s">
        <v>247</v>
      </c>
      <c r="F82" s="1"/>
      <c r="G82" s="11" t="s">
        <v>23</v>
      </c>
      <c r="H82" s="1" t="s">
        <v>248</v>
      </c>
      <c r="I82" s="16" t="s">
        <v>249</v>
      </c>
      <c r="J82" s="11" t="s">
        <v>25</v>
      </c>
      <c r="K82" s="1" t="b">
        <v>1</v>
      </c>
      <c r="L82" s="1" t="b">
        <v>1</v>
      </c>
      <c r="M82" s="1" t="b">
        <v>1</v>
      </c>
      <c r="N82" s="5" t="b">
        <v>0</v>
      </c>
      <c r="O82" s="5" t="b">
        <v>0</v>
      </c>
      <c r="P82" s="1" t="b">
        <v>1</v>
      </c>
      <c r="Q82" s="1"/>
      <c r="R82" s="5"/>
      <c r="S82" s="5"/>
      <c r="T82" s="5"/>
      <c r="U82" s="5"/>
      <c r="V82" s="5"/>
      <c r="W82" s="5"/>
      <c r="X82" s="5"/>
      <c r="Y82" s="5"/>
      <c r="Z82" s="5"/>
    </row>
    <row r="83" hidden="1">
      <c r="A83" s="5"/>
      <c r="B83" s="2"/>
      <c r="C83" s="26">
        <v>45666.0</v>
      </c>
      <c r="D83" s="13" t="s">
        <v>250</v>
      </c>
      <c r="E83" s="1" t="s">
        <v>251</v>
      </c>
      <c r="F83" s="1"/>
      <c r="G83" s="11" t="s">
        <v>23</v>
      </c>
      <c r="H83" s="1" t="s">
        <v>241</v>
      </c>
      <c r="I83" s="16" t="s">
        <v>252</v>
      </c>
      <c r="J83" s="11" t="s">
        <v>25</v>
      </c>
      <c r="K83" s="1" t="b">
        <v>0</v>
      </c>
      <c r="L83" s="1" t="b">
        <v>0</v>
      </c>
      <c r="M83" s="5" t="b">
        <v>0</v>
      </c>
      <c r="N83" s="5" t="b">
        <v>0</v>
      </c>
      <c r="O83" s="5" t="b">
        <v>0</v>
      </c>
      <c r="P83" s="1" t="b">
        <v>1</v>
      </c>
      <c r="Q83" s="1" t="s">
        <v>253</v>
      </c>
      <c r="R83" s="5"/>
      <c r="S83" s="5"/>
      <c r="T83" s="5"/>
      <c r="U83" s="5"/>
      <c r="V83" s="5"/>
      <c r="W83" s="5"/>
      <c r="X83" s="5"/>
      <c r="Y83" s="5"/>
      <c r="Z83" s="5"/>
    </row>
    <row r="84" hidden="1">
      <c r="A84" s="5"/>
      <c r="B84" s="2"/>
      <c r="C84" s="26">
        <v>45667.0</v>
      </c>
      <c r="D84" s="13" t="s">
        <v>68</v>
      </c>
      <c r="E84" s="1"/>
      <c r="F84" s="1"/>
      <c r="G84" s="11" t="s">
        <v>28</v>
      </c>
      <c r="H84" s="46">
        <v>45715.0</v>
      </c>
      <c r="I84" s="16" t="s">
        <v>254</v>
      </c>
      <c r="J84" s="11" t="s">
        <v>25</v>
      </c>
      <c r="K84" s="1" t="b">
        <v>1</v>
      </c>
      <c r="L84" s="1" t="b">
        <v>0</v>
      </c>
      <c r="M84" s="5" t="b">
        <v>0</v>
      </c>
      <c r="N84" s="5" t="b">
        <v>0</v>
      </c>
      <c r="O84" s="5" t="b">
        <v>0</v>
      </c>
      <c r="P84" s="1" t="b">
        <v>0</v>
      </c>
      <c r="Q84" s="1" t="s">
        <v>255</v>
      </c>
      <c r="R84" s="5"/>
      <c r="S84" s="5"/>
      <c r="T84" s="5"/>
      <c r="U84" s="5"/>
      <c r="V84" s="5"/>
      <c r="W84" s="5"/>
      <c r="X84" s="5"/>
      <c r="Y84" s="5"/>
      <c r="Z84" s="5"/>
    </row>
    <row r="85" hidden="1">
      <c r="A85" s="5"/>
      <c r="B85" s="2"/>
      <c r="C85" s="26">
        <v>45672.0</v>
      </c>
      <c r="D85" s="13" t="s">
        <v>256</v>
      </c>
      <c r="E85" s="1" t="s">
        <v>257</v>
      </c>
      <c r="F85" s="1"/>
      <c r="G85" s="11" t="s">
        <v>45</v>
      </c>
      <c r="H85" s="1"/>
      <c r="I85" s="16" t="s">
        <v>258</v>
      </c>
      <c r="J85" s="11" t="s">
        <v>25</v>
      </c>
      <c r="K85" s="1" t="b">
        <v>1</v>
      </c>
      <c r="L85" s="1" t="b">
        <v>1</v>
      </c>
      <c r="M85" s="1" t="b">
        <v>0</v>
      </c>
      <c r="N85" s="5" t="b">
        <v>0</v>
      </c>
      <c r="O85" s="1" t="b">
        <v>1</v>
      </c>
      <c r="P85" s="1" t="b">
        <v>1</v>
      </c>
      <c r="Q85" s="1" t="s">
        <v>259</v>
      </c>
      <c r="R85" s="5"/>
      <c r="S85" s="5"/>
      <c r="T85" s="5"/>
      <c r="U85" s="5"/>
      <c r="V85" s="5"/>
      <c r="W85" s="5"/>
      <c r="X85" s="5"/>
      <c r="Y85" s="5"/>
      <c r="Z85" s="5"/>
    </row>
    <row r="86" hidden="1">
      <c r="A86" s="5"/>
      <c r="B86" s="2"/>
      <c r="C86" s="26">
        <v>45672.0</v>
      </c>
      <c r="D86" s="13" t="s">
        <v>260</v>
      </c>
      <c r="E86" s="1"/>
      <c r="F86" s="1"/>
      <c r="G86" s="11" t="s">
        <v>23</v>
      </c>
      <c r="H86" s="46"/>
      <c r="I86" s="16" t="s">
        <v>90</v>
      </c>
      <c r="J86" s="11" t="s">
        <v>173</v>
      </c>
      <c r="K86" s="1" t="b">
        <v>0</v>
      </c>
      <c r="L86" s="1" t="b">
        <v>0</v>
      </c>
      <c r="M86" s="5" t="b">
        <v>0</v>
      </c>
      <c r="N86" s="5" t="b">
        <v>0</v>
      </c>
      <c r="O86" s="5" t="b">
        <v>0</v>
      </c>
      <c r="P86" s="1" t="b">
        <v>0</v>
      </c>
      <c r="Q86" s="1"/>
      <c r="R86" s="5"/>
      <c r="S86" s="5"/>
      <c r="T86" s="5"/>
      <c r="U86" s="5"/>
      <c r="V86" s="5"/>
      <c r="W86" s="5"/>
      <c r="X86" s="5"/>
      <c r="Y86" s="5"/>
      <c r="Z86" s="5"/>
    </row>
    <row r="87" hidden="1">
      <c r="A87" s="5"/>
      <c r="B87" s="2"/>
      <c r="C87" s="26">
        <v>45672.0</v>
      </c>
      <c r="D87" s="13" t="s">
        <v>261</v>
      </c>
      <c r="E87" s="1" t="s">
        <v>262</v>
      </c>
      <c r="F87" s="1"/>
      <c r="G87" s="11" t="s">
        <v>23</v>
      </c>
      <c r="H87" s="46">
        <v>45688.0</v>
      </c>
      <c r="I87" s="16" t="s">
        <v>263</v>
      </c>
      <c r="J87" s="11" t="s">
        <v>25</v>
      </c>
      <c r="K87" s="1" t="b">
        <v>1</v>
      </c>
      <c r="L87" s="1" t="b">
        <v>1</v>
      </c>
      <c r="M87" s="5" t="b">
        <v>0</v>
      </c>
      <c r="N87" s="5" t="b">
        <v>0</v>
      </c>
      <c r="O87" s="1" t="b">
        <v>1</v>
      </c>
      <c r="P87" s="1" t="b">
        <v>1</v>
      </c>
      <c r="Q87" s="1" t="s">
        <v>264</v>
      </c>
      <c r="R87" s="5"/>
      <c r="S87" s="5"/>
      <c r="T87" s="5"/>
      <c r="U87" s="5"/>
      <c r="V87" s="5"/>
      <c r="W87" s="5"/>
      <c r="X87" s="5"/>
      <c r="Y87" s="5"/>
      <c r="Z87" s="5"/>
    </row>
    <row r="88" hidden="1">
      <c r="A88" s="5"/>
      <c r="B88" s="2"/>
      <c r="C88" s="26">
        <v>45673.0</v>
      </c>
      <c r="D88" s="13" t="s">
        <v>265</v>
      </c>
      <c r="E88" s="1"/>
      <c r="F88" s="1"/>
      <c r="G88" s="11" t="s">
        <v>23</v>
      </c>
      <c r="H88" s="1" t="s">
        <v>241</v>
      </c>
      <c r="I88" s="16" t="s">
        <v>266</v>
      </c>
      <c r="J88" s="11" t="s">
        <v>233</v>
      </c>
      <c r="K88" s="1" t="b">
        <v>1</v>
      </c>
      <c r="L88" s="1" t="b">
        <v>0</v>
      </c>
      <c r="M88" s="5" t="b">
        <v>0</v>
      </c>
      <c r="N88" s="5" t="b">
        <v>0</v>
      </c>
      <c r="O88" s="5" t="b">
        <v>0</v>
      </c>
      <c r="P88" s="1" t="b">
        <v>0</v>
      </c>
      <c r="Q88" s="16"/>
      <c r="R88" s="5"/>
      <c r="S88" s="5"/>
      <c r="T88" s="5"/>
      <c r="U88" s="5"/>
      <c r="V88" s="5"/>
      <c r="W88" s="5"/>
      <c r="X88" s="5"/>
      <c r="Y88" s="5"/>
      <c r="Z88" s="5"/>
    </row>
    <row r="89" hidden="1">
      <c r="A89" s="5"/>
      <c r="B89" s="2"/>
      <c r="C89" s="26">
        <v>45674.0</v>
      </c>
      <c r="D89" s="13" t="s">
        <v>267</v>
      </c>
      <c r="E89" s="1" t="s">
        <v>268</v>
      </c>
      <c r="F89" s="1"/>
      <c r="G89" s="11" t="s">
        <v>23</v>
      </c>
      <c r="H89" s="1" t="s">
        <v>269</v>
      </c>
      <c r="I89" s="16" t="s">
        <v>270</v>
      </c>
      <c r="J89" s="11" t="s">
        <v>271</v>
      </c>
      <c r="K89" s="1" t="b">
        <v>1</v>
      </c>
      <c r="L89" s="1" t="b">
        <v>0</v>
      </c>
      <c r="M89" s="5" t="b">
        <v>0</v>
      </c>
      <c r="N89" s="5" t="b">
        <v>0</v>
      </c>
      <c r="O89" s="5" t="b">
        <v>0</v>
      </c>
      <c r="P89" s="1" t="b">
        <v>0</v>
      </c>
      <c r="Q89" s="1"/>
      <c r="R89" s="5"/>
      <c r="S89" s="5"/>
      <c r="T89" s="5"/>
      <c r="U89" s="5"/>
      <c r="V89" s="5"/>
      <c r="W89" s="5"/>
      <c r="X89" s="5"/>
      <c r="Y89" s="5"/>
      <c r="Z89" s="5"/>
    </row>
    <row r="90" ht="49.5" hidden="1" customHeight="1">
      <c r="A90" s="5"/>
      <c r="B90" s="2"/>
      <c r="C90" s="26">
        <v>45673.0</v>
      </c>
      <c r="D90" s="13" t="s">
        <v>272</v>
      </c>
      <c r="E90" s="1" t="s">
        <v>273</v>
      </c>
      <c r="F90" s="1"/>
      <c r="G90" s="11" t="s">
        <v>23</v>
      </c>
      <c r="H90" s="46">
        <v>45687.0</v>
      </c>
      <c r="I90" s="16" t="s">
        <v>274</v>
      </c>
      <c r="J90" s="11" t="s">
        <v>25</v>
      </c>
      <c r="K90" s="1" t="b">
        <v>1</v>
      </c>
      <c r="L90" s="1" t="b">
        <v>1</v>
      </c>
      <c r="M90" s="1" t="b">
        <v>1</v>
      </c>
      <c r="N90" s="5" t="b">
        <v>0</v>
      </c>
      <c r="O90" s="5" t="b">
        <v>0</v>
      </c>
      <c r="P90" s="1" t="b">
        <v>1</v>
      </c>
      <c r="Q90" s="16" t="s">
        <v>275</v>
      </c>
      <c r="R90" s="1" t="s">
        <v>276</v>
      </c>
      <c r="S90" s="5"/>
      <c r="T90" s="5"/>
      <c r="U90" s="5"/>
      <c r="V90" s="5"/>
      <c r="W90" s="5"/>
      <c r="X90" s="5"/>
      <c r="Y90" s="5"/>
      <c r="Z90" s="5"/>
    </row>
    <row r="91" hidden="1">
      <c r="A91" s="5"/>
      <c r="B91" s="2"/>
      <c r="C91" s="26">
        <v>45673.0</v>
      </c>
      <c r="D91" s="13" t="s">
        <v>277</v>
      </c>
      <c r="E91" s="1" t="s">
        <v>278</v>
      </c>
      <c r="F91" s="1"/>
      <c r="G91" s="11" t="s">
        <v>45</v>
      </c>
      <c r="H91" s="46"/>
      <c r="I91" s="16" t="s">
        <v>279</v>
      </c>
      <c r="J91" s="11" t="s">
        <v>25</v>
      </c>
      <c r="K91" s="1" t="b">
        <v>1</v>
      </c>
      <c r="L91" s="1" t="b">
        <v>1</v>
      </c>
      <c r="M91" s="1" t="b">
        <v>1</v>
      </c>
      <c r="N91" s="5" t="b">
        <v>0</v>
      </c>
      <c r="O91" s="5" t="b">
        <v>0</v>
      </c>
      <c r="P91" s="1" t="b">
        <v>1</v>
      </c>
      <c r="Q91" s="16"/>
      <c r="R91" s="5"/>
      <c r="S91" s="5"/>
      <c r="T91" s="5"/>
      <c r="U91" s="5"/>
      <c r="V91" s="5"/>
      <c r="W91" s="5"/>
      <c r="X91" s="5"/>
      <c r="Y91" s="5"/>
      <c r="Z91" s="5"/>
    </row>
    <row r="92" hidden="1">
      <c r="A92" s="5"/>
      <c r="B92" s="2"/>
      <c r="C92" s="26">
        <v>45674.0</v>
      </c>
      <c r="D92" s="13" t="s">
        <v>280</v>
      </c>
      <c r="E92" s="55" t="s">
        <v>281</v>
      </c>
      <c r="F92" s="55"/>
      <c r="G92" s="11"/>
      <c r="H92" s="46">
        <v>45688.0</v>
      </c>
      <c r="I92" s="16" t="s">
        <v>282</v>
      </c>
      <c r="J92" s="11" t="s">
        <v>25</v>
      </c>
      <c r="K92" s="1" t="b">
        <v>0</v>
      </c>
      <c r="L92" s="1" t="b">
        <v>0</v>
      </c>
      <c r="M92" s="5" t="b">
        <v>0</v>
      </c>
      <c r="N92" s="5" t="b">
        <v>0</v>
      </c>
      <c r="O92" s="5" t="b">
        <v>0</v>
      </c>
      <c r="P92" s="1" t="b">
        <v>0</v>
      </c>
      <c r="Q92" s="1"/>
      <c r="R92" s="5"/>
      <c r="S92" s="5"/>
      <c r="T92" s="5"/>
      <c r="U92" s="5"/>
      <c r="V92" s="5"/>
      <c r="W92" s="5"/>
      <c r="X92" s="5"/>
      <c r="Y92" s="5"/>
      <c r="Z92" s="5"/>
    </row>
    <row r="93" hidden="1">
      <c r="A93" s="5"/>
      <c r="B93" s="2"/>
      <c r="C93" s="26">
        <v>45674.0</v>
      </c>
      <c r="D93" s="13" t="s">
        <v>283</v>
      </c>
      <c r="E93" s="1" t="s">
        <v>284</v>
      </c>
      <c r="F93" s="1"/>
      <c r="G93" s="11" t="s">
        <v>28</v>
      </c>
      <c r="H93" s="46">
        <v>45688.0</v>
      </c>
      <c r="I93" s="16" t="s">
        <v>285</v>
      </c>
      <c r="J93" s="11" t="s">
        <v>25</v>
      </c>
      <c r="K93" s="1" t="b">
        <v>1</v>
      </c>
      <c r="L93" s="1" t="b">
        <v>0</v>
      </c>
      <c r="M93" s="5" t="b">
        <v>0</v>
      </c>
      <c r="N93" s="5" t="b">
        <v>0</v>
      </c>
      <c r="O93" s="1" t="b">
        <v>1</v>
      </c>
      <c r="P93" s="1" t="b">
        <v>0</v>
      </c>
      <c r="Q93" s="1"/>
      <c r="R93" s="5"/>
      <c r="S93" s="5"/>
      <c r="T93" s="5"/>
      <c r="U93" s="5"/>
      <c r="V93" s="5"/>
      <c r="W93" s="5"/>
      <c r="X93" s="5"/>
      <c r="Y93" s="5"/>
      <c r="Z93" s="5"/>
    </row>
    <row r="94" hidden="1">
      <c r="A94" s="5"/>
      <c r="B94" s="2"/>
      <c r="C94" s="26">
        <v>45677.0</v>
      </c>
      <c r="D94" s="13" t="s">
        <v>286</v>
      </c>
      <c r="E94" s="1" t="s">
        <v>287</v>
      </c>
      <c r="F94" s="1"/>
      <c r="G94" s="11" t="s">
        <v>23</v>
      </c>
      <c r="H94" s="5"/>
      <c r="I94" s="16" t="s">
        <v>288</v>
      </c>
      <c r="J94" s="11" t="s">
        <v>233</v>
      </c>
      <c r="K94" s="1" t="b">
        <v>0</v>
      </c>
      <c r="L94" s="1" t="b">
        <v>0</v>
      </c>
      <c r="M94" s="5" t="b">
        <v>0</v>
      </c>
      <c r="N94" s="5" t="b">
        <v>0</v>
      </c>
      <c r="O94" s="5" t="b">
        <v>0</v>
      </c>
      <c r="P94" s="1" t="b">
        <v>0</v>
      </c>
      <c r="Q94" s="1" t="s">
        <v>289</v>
      </c>
      <c r="R94" s="5"/>
      <c r="S94" s="5"/>
      <c r="T94" s="5"/>
      <c r="U94" s="5"/>
      <c r="V94" s="5"/>
      <c r="W94" s="5"/>
      <c r="X94" s="5"/>
      <c r="Y94" s="5"/>
      <c r="Z94" s="5"/>
    </row>
    <row r="95" hidden="1">
      <c r="A95" s="5"/>
      <c r="B95" s="2"/>
      <c r="C95" s="26">
        <v>45677.0</v>
      </c>
      <c r="D95" s="13" t="s">
        <v>290</v>
      </c>
      <c r="E95" s="1" t="s">
        <v>291</v>
      </c>
      <c r="F95" s="1"/>
      <c r="G95" s="11" t="s">
        <v>23</v>
      </c>
      <c r="H95" s="46">
        <v>45688.0</v>
      </c>
      <c r="I95" s="16" t="s">
        <v>292</v>
      </c>
      <c r="J95" s="11" t="s">
        <v>25</v>
      </c>
      <c r="K95" s="1" t="b">
        <v>1</v>
      </c>
      <c r="L95" s="1" t="b">
        <v>1</v>
      </c>
      <c r="M95" s="1" t="b">
        <v>1</v>
      </c>
      <c r="N95" s="1" t="b">
        <v>1</v>
      </c>
      <c r="O95" s="1" t="b">
        <v>1</v>
      </c>
      <c r="P95" s="1" t="b">
        <v>1</v>
      </c>
      <c r="Q95" s="1"/>
      <c r="R95" s="5"/>
      <c r="S95" s="5"/>
      <c r="T95" s="5"/>
      <c r="U95" s="5"/>
      <c r="V95" s="5"/>
      <c r="W95" s="5"/>
      <c r="X95" s="5"/>
      <c r="Y95" s="5"/>
      <c r="Z95" s="5"/>
    </row>
    <row r="96" hidden="1">
      <c r="A96" s="5"/>
      <c r="B96" s="2"/>
      <c r="C96" s="26">
        <v>45678.0</v>
      </c>
      <c r="D96" s="13" t="s">
        <v>293</v>
      </c>
      <c r="E96" s="1" t="s">
        <v>294</v>
      </c>
      <c r="F96" s="1"/>
      <c r="G96" s="11" t="s">
        <v>23</v>
      </c>
      <c r="H96" s="5"/>
      <c r="I96" s="16" t="s">
        <v>295</v>
      </c>
      <c r="J96" s="11" t="s">
        <v>233</v>
      </c>
      <c r="K96" s="1" t="b">
        <v>1</v>
      </c>
      <c r="L96" s="1" t="b">
        <v>0</v>
      </c>
      <c r="M96" s="5" t="b">
        <v>0</v>
      </c>
      <c r="N96" s="5" t="b">
        <v>0</v>
      </c>
      <c r="O96" s="5" t="b">
        <v>0</v>
      </c>
      <c r="P96" s="1" t="b">
        <v>0</v>
      </c>
      <c r="Q96" s="1"/>
      <c r="R96" s="5"/>
      <c r="S96" s="5"/>
      <c r="T96" s="5"/>
      <c r="U96" s="5"/>
      <c r="V96" s="5"/>
      <c r="W96" s="5"/>
      <c r="X96" s="5"/>
      <c r="Y96" s="5"/>
      <c r="Z96" s="5"/>
    </row>
    <row r="97" hidden="1">
      <c r="A97" s="5"/>
      <c r="B97" s="2"/>
      <c r="C97" s="26">
        <v>45679.0</v>
      </c>
      <c r="D97" s="13" t="s">
        <v>296</v>
      </c>
      <c r="E97" s="1" t="s">
        <v>297</v>
      </c>
      <c r="F97" s="1"/>
      <c r="G97" s="11" t="s">
        <v>23</v>
      </c>
      <c r="H97" s="5"/>
      <c r="I97" s="16" t="s">
        <v>298</v>
      </c>
      <c r="J97" s="11" t="s">
        <v>233</v>
      </c>
      <c r="K97" s="1" t="b">
        <v>0</v>
      </c>
      <c r="L97" s="1" t="b">
        <v>0</v>
      </c>
      <c r="M97" s="5" t="b">
        <v>0</v>
      </c>
      <c r="N97" s="5" t="b">
        <v>0</v>
      </c>
      <c r="O97" s="5" t="b">
        <v>0</v>
      </c>
      <c r="P97" s="1" t="b">
        <v>0</v>
      </c>
      <c r="Q97" s="1"/>
      <c r="R97" s="5"/>
      <c r="S97" s="5"/>
      <c r="T97" s="5"/>
      <c r="U97" s="5"/>
      <c r="V97" s="5"/>
      <c r="W97" s="5"/>
      <c r="X97" s="5"/>
      <c r="Y97" s="5"/>
      <c r="Z97" s="5"/>
    </row>
    <row r="98" hidden="1">
      <c r="A98" s="5"/>
      <c r="B98" s="2"/>
      <c r="C98" s="26">
        <v>45680.0</v>
      </c>
      <c r="D98" s="13" t="s">
        <v>299</v>
      </c>
      <c r="E98" s="1" t="s">
        <v>300</v>
      </c>
      <c r="F98" s="1"/>
      <c r="G98" s="11" t="s">
        <v>23</v>
      </c>
      <c r="H98" s="5"/>
      <c r="I98" s="16" t="s">
        <v>301</v>
      </c>
      <c r="J98" s="11" t="s">
        <v>25</v>
      </c>
      <c r="K98" s="1" t="b">
        <v>1</v>
      </c>
      <c r="L98" s="1" t="b">
        <v>0</v>
      </c>
      <c r="M98" s="5" t="b">
        <v>0</v>
      </c>
      <c r="N98" s="5" t="b">
        <v>0</v>
      </c>
      <c r="O98" s="5" t="b">
        <v>0</v>
      </c>
      <c r="P98" s="1" t="b">
        <v>1</v>
      </c>
      <c r="Q98" s="1"/>
      <c r="R98" s="5"/>
      <c r="S98" s="5"/>
      <c r="T98" s="5"/>
      <c r="U98" s="5"/>
      <c r="V98" s="5"/>
      <c r="W98" s="5"/>
      <c r="X98" s="5"/>
      <c r="Y98" s="5"/>
      <c r="Z98" s="5"/>
    </row>
    <row r="99" hidden="1">
      <c r="A99" s="5"/>
      <c r="B99" s="2"/>
      <c r="C99" s="26">
        <v>45681.0</v>
      </c>
      <c r="D99" s="13" t="s">
        <v>183</v>
      </c>
      <c r="E99" s="1" t="s">
        <v>184</v>
      </c>
      <c r="F99" s="1"/>
      <c r="G99" s="11" t="s">
        <v>45</v>
      </c>
      <c r="H99" s="5"/>
      <c r="I99" s="16" t="s">
        <v>302</v>
      </c>
      <c r="J99" s="11" t="s">
        <v>25</v>
      </c>
      <c r="K99" s="1" t="b">
        <v>1</v>
      </c>
      <c r="L99" s="1" t="b">
        <v>1</v>
      </c>
      <c r="M99" s="5" t="b">
        <v>0</v>
      </c>
      <c r="N99" s="5" t="b">
        <v>0</v>
      </c>
      <c r="O99" s="1" t="b">
        <v>1</v>
      </c>
      <c r="P99" s="1" t="b">
        <v>1</v>
      </c>
      <c r="Q99" s="1" t="s">
        <v>303</v>
      </c>
      <c r="R99" s="1" t="s">
        <v>304</v>
      </c>
      <c r="S99" s="1" t="s">
        <v>305</v>
      </c>
      <c r="T99" s="5"/>
      <c r="U99" s="5"/>
      <c r="V99" s="5"/>
      <c r="W99" s="5"/>
      <c r="X99" s="5"/>
      <c r="Y99" s="5"/>
      <c r="Z99" s="5"/>
    </row>
    <row r="100" hidden="1">
      <c r="A100" s="5"/>
      <c r="B100" s="2"/>
      <c r="C100" s="26">
        <v>45682.0</v>
      </c>
      <c r="D100" s="13" t="s">
        <v>306</v>
      </c>
      <c r="E100" s="1"/>
      <c r="F100" s="1"/>
      <c r="G100" s="11" t="s">
        <v>23</v>
      </c>
      <c r="H100" s="5"/>
      <c r="I100" s="16" t="s">
        <v>307</v>
      </c>
      <c r="J100" s="11" t="s">
        <v>25</v>
      </c>
      <c r="K100" s="1" t="b">
        <v>1</v>
      </c>
      <c r="L100" s="1" t="b">
        <v>0</v>
      </c>
      <c r="M100" s="5" t="b">
        <v>0</v>
      </c>
      <c r="N100" s="5" t="b">
        <v>0</v>
      </c>
      <c r="O100" s="5" t="b">
        <v>0</v>
      </c>
      <c r="P100" s="1" t="b">
        <v>0</v>
      </c>
      <c r="Q100" s="1" t="s">
        <v>308</v>
      </c>
      <c r="R100" s="5"/>
      <c r="S100" s="1" t="s">
        <v>309</v>
      </c>
      <c r="T100" s="5"/>
      <c r="U100" s="5"/>
      <c r="V100" s="5"/>
      <c r="W100" s="5"/>
      <c r="X100" s="5"/>
      <c r="Y100" s="5"/>
      <c r="Z100" s="5"/>
    </row>
    <row r="101" hidden="1">
      <c r="A101" s="5"/>
      <c r="B101" s="2"/>
      <c r="C101" s="26">
        <v>45683.0</v>
      </c>
      <c r="D101" s="13" t="s">
        <v>310</v>
      </c>
      <c r="E101" s="1"/>
      <c r="F101" s="1"/>
      <c r="G101" s="11" t="s">
        <v>23</v>
      </c>
      <c r="H101" s="5"/>
      <c r="I101" s="16" t="s">
        <v>311</v>
      </c>
      <c r="J101" s="11" t="s">
        <v>25</v>
      </c>
      <c r="K101" s="1" t="b">
        <v>1</v>
      </c>
      <c r="L101" s="1" t="b">
        <v>0</v>
      </c>
      <c r="M101" s="5" t="b">
        <v>0</v>
      </c>
      <c r="N101" s="5" t="b">
        <v>0</v>
      </c>
      <c r="O101" s="5" t="b">
        <v>0</v>
      </c>
      <c r="P101" s="1" t="b">
        <v>1</v>
      </c>
      <c r="Q101" s="1" t="s">
        <v>312</v>
      </c>
      <c r="R101" s="5"/>
      <c r="S101" s="5"/>
      <c r="T101" s="5"/>
      <c r="U101" s="5"/>
      <c r="V101" s="5"/>
      <c r="W101" s="5"/>
      <c r="X101" s="5"/>
      <c r="Y101" s="5"/>
      <c r="Z101" s="5"/>
    </row>
    <row r="102" hidden="1">
      <c r="A102" s="5"/>
      <c r="B102" s="2"/>
      <c r="C102" s="26">
        <v>45691.0</v>
      </c>
      <c r="D102" s="13" t="s">
        <v>209</v>
      </c>
      <c r="E102" s="1" t="s">
        <v>210</v>
      </c>
      <c r="F102" s="1"/>
      <c r="G102" s="11" t="s">
        <v>23</v>
      </c>
      <c r="H102" s="5"/>
      <c r="I102" s="16" t="s">
        <v>313</v>
      </c>
      <c r="J102" s="11" t="s">
        <v>25</v>
      </c>
      <c r="K102" s="1" t="b">
        <v>1</v>
      </c>
      <c r="L102" s="1" t="b">
        <v>1</v>
      </c>
      <c r="M102" s="5" t="b">
        <v>0</v>
      </c>
      <c r="N102" s="5" t="b">
        <v>0</v>
      </c>
      <c r="O102" s="5" t="b">
        <v>0</v>
      </c>
      <c r="P102" s="1" t="b">
        <v>1</v>
      </c>
      <c r="Q102" s="1"/>
      <c r="R102" s="5"/>
      <c r="S102" s="5"/>
      <c r="T102" s="5"/>
      <c r="U102" s="5"/>
      <c r="V102" s="5"/>
      <c r="W102" s="5"/>
      <c r="X102" s="5"/>
      <c r="Y102" s="5"/>
      <c r="Z102" s="5"/>
    </row>
    <row r="103" hidden="1">
      <c r="A103" s="5"/>
      <c r="B103" s="2"/>
      <c r="C103" s="26">
        <v>45692.0</v>
      </c>
      <c r="D103" s="13" t="s">
        <v>314</v>
      </c>
      <c r="E103" s="1"/>
      <c r="F103" s="1"/>
      <c r="G103" s="11" t="s">
        <v>23</v>
      </c>
      <c r="H103" s="5"/>
      <c r="I103" s="16" t="s">
        <v>315</v>
      </c>
      <c r="J103" s="11" t="s">
        <v>233</v>
      </c>
      <c r="K103" s="1" t="b">
        <v>1</v>
      </c>
      <c r="L103" s="1" t="b">
        <v>0</v>
      </c>
      <c r="M103" s="5" t="b">
        <v>0</v>
      </c>
      <c r="N103" s="5" t="b">
        <v>0</v>
      </c>
      <c r="O103" s="5" t="b">
        <v>0</v>
      </c>
      <c r="P103" s="1" t="b">
        <v>0</v>
      </c>
      <c r="Q103" s="1"/>
      <c r="R103" s="5"/>
      <c r="S103" s="5"/>
      <c r="T103" s="5"/>
      <c r="U103" s="5"/>
      <c r="V103" s="5"/>
      <c r="W103" s="5"/>
      <c r="X103" s="5"/>
      <c r="Y103" s="5"/>
      <c r="Z103" s="5"/>
    </row>
    <row r="104" hidden="1">
      <c r="A104" s="5"/>
      <c r="B104" s="2"/>
      <c r="C104" s="26">
        <v>45693.0</v>
      </c>
      <c r="D104" s="13" t="s">
        <v>316</v>
      </c>
      <c r="E104" s="1" t="s">
        <v>317</v>
      </c>
      <c r="F104" s="1"/>
      <c r="G104" s="11" t="s">
        <v>23</v>
      </c>
      <c r="H104" s="5"/>
      <c r="I104" s="16" t="s">
        <v>318</v>
      </c>
      <c r="J104" s="11" t="s">
        <v>25</v>
      </c>
      <c r="K104" s="1" t="b">
        <v>1</v>
      </c>
      <c r="L104" s="1" t="b">
        <v>1</v>
      </c>
      <c r="M104" s="5" t="b">
        <v>0</v>
      </c>
      <c r="N104" s="5" t="b">
        <v>0</v>
      </c>
      <c r="O104" s="5" t="b">
        <v>0</v>
      </c>
      <c r="P104" s="1" t="b">
        <v>1</v>
      </c>
      <c r="Q104" s="1" t="s">
        <v>319</v>
      </c>
      <c r="R104" s="5"/>
      <c r="S104" s="5"/>
      <c r="T104" s="5"/>
      <c r="U104" s="5"/>
      <c r="V104" s="5"/>
      <c r="W104" s="5"/>
      <c r="X104" s="5"/>
      <c r="Y104" s="5"/>
      <c r="Z104" s="5"/>
    </row>
    <row r="105" hidden="1">
      <c r="A105" s="5"/>
      <c r="B105" s="2"/>
      <c r="C105" s="26">
        <v>45693.0</v>
      </c>
      <c r="D105" s="13" t="s">
        <v>320</v>
      </c>
      <c r="E105" s="1" t="s">
        <v>321</v>
      </c>
      <c r="F105" s="1"/>
      <c r="G105" s="11" t="s">
        <v>45</v>
      </c>
      <c r="H105" s="56">
        <v>45727.0</v>
      </c>
      <c r="I105" s="16" t="s">
        <v>322</v>
      </c>
      <c r="J105" s="11" t="s">
        <v>25</v>
      </c>
      <c r="K105" s="1" t="b">
        <v>1</v>
      </c>
      <c r="L105" s="1" t="b">
        <v>0</v>
      </c>
      <c r="M105" s="5" t="b">
        <v>0</v>
      </c>
      <c r="N105" s="5" t="b">
        <v>0</v>
      </c>
      <c r="O105" s="5" t="b">
        <v>0</v>
      </c>
      <c r="P105" s="1" t="b">
        <v>1</v>
      </c>
      <c r="Q105" s="1"/>
      <c r="R105" s="5"/>
      <c r="S105" s="5"/>
      <c r="T105" s="5"/>
      <c r="U105" s="5"/>
      <c r="V105" s="5"/>
      <c r="W105" s="5"/>
      <c r="X105" s="5"/>
      <c r="Y105" s="5"/>
      <c r="Z105" s="5"/>
    </row>
    <row r="106" hidden="1">
      <c r="A106" s="5"/>
      <c r="B106" s="2"/>
      <c r="C106" s="26">
        <v>45698.0</v>
      </c>
      <c r="D106" s="13" t="s">
        <v>323</v>
      </c>
      <c r="E106" s="1"/>
      <c r="F106" s="1"/>
      <c r="G106" s="11" t="s">
        <v>28</v>
      </c>
      <c r="H106" s="5"/>
      <c r="I106" s="16" t="s">
        <v>324</v>
      </c>
      <c r="J106" s="11" t="s">
        <v>233</v>
      </c>
      <c r="K106" s="1" t="b">
        <v>0</v>
      </c>
      <c r="L106" s="1" t="b">
        <v>0</v>
      </c>
      <c r="M106" s="5" t="b">
        <v>0</v>
      </c>
      <c r="N106" s="5" t="b">
        <v>0</v>
      </c>
      <c r="O106" s="5" t="b">
        <v>0</v>
      </c>
      <c r="P106" s="1" t="b">
        <v>0</v>
      </c>
      <c r="Q106" s="1"/>
      <c r="R106" s="5"/>
      <c r="S106" s="5"/>
      <c r="T106" s="5"/>
      <c r="U106" s="5"/>
      <c r="V106" s="5"/>
      <c r="W106" s="5"/>
      <c r="X106" s="5"/>
      <c r="Y106" s="5"/>
      <c r="Z106" s="5"/>
    </row>
    <row r="107" hidden="1">
      <c r="A107" s="5"/>
      <c r="B107" s="2"/>
      <c r="C107" s="26">
        <v>45699.0</v>
      </c>
      <c r="D107" s="13" t="s">
        <v>325</v>
      </c>
      <c r="E107" s="1" t="s">
        <v>326</v>
      </c>
      <c r="F107" s="1"/>
      <c r="G107" s="11" t="s">
        <v>28</v>
      </c>
      <c r="H107" s="57">
        <v>45753.0</v>
      </c>
      <c r="I107" s="16" t="s">
        <v>327</v>
      </c>
      <c r="J107" s="11" t="s">
        <v>25</v>
      </c>
      <c r="K107" s="1" t="b">
        <v>1</v>
      </c>
      <c r="L107" s="1" t="b">
        <v>1</v>
      </c>
      <c r="M107" s="1" t="b">
        <v>1</v>
      </c>
      <c r="N107" s="5" t="b">
        <v>0</v>
      </c>
      <c r="O107" s="5" t="b">
        <v>0</v>
      </c>
      <c r="P107" s="1" t="b">
        <v>0</v>
      </c>
      <c r="Q107" s="1"/>
      <c r="R107" s="5"/>
      <c r="S107" s="5"/>
      <c r="T107" s="5"/>
      <c r="U107" s="5"/>
      <c r="V107" s="5"/>
      <c r="W107" s="5"/>
      <c r="X107" s="5"/>
      <c r="Y107" s="5"/>
      <c r="Z107" s="5"/>
    </row>
    <row r="108" hidden="1">
      <c r="A108" s="5"/>
      <c r="B108" s="2"/>
      <c r="C108" s="26">
        <v>45700.0</v>
      </c>
      <c r="D108" s="13" t="s">
        <v>328</v>
      </c>
      <c r="E108" s="1"/>
      <c r="F108" s="1"/>
      <c r="G108" s="11" t="s">
        <v>28</v>
      </c>
      <c r="H108" s="5"/>
      <c r="I108" s="16" t="s">
        <v>90</v>
      </c>
      <c r="J108" s="11" t="s">
        <v>25</v>
      </c>
      <c r="K108" s="1" t="b">
        <v>0</v>
      </c>
      <c r="L108" s="1" t="b">
        <v>0</v>
      </c>
      <c r="M108" s="5" t="b">
        <v>0</v>
      </c>
      <c r="N108" s="5" t="b">
        <v>0</v>
      </c>
      <c r="O108" s="5" t="b">
        <v>0</v>
      </c>
      <c r="P108" s="1" t="b">
        <v>0</v>
      </c>
      <c r="Q108" s="1"/>
      <c r="R108" s="5"/>
      <c r="S108" s="5"/>
      <c r="T108" s="5"/>
      <c r="U108" s="5"/>
      <c r="V108" s="5"/>
      <c r="W108" s="5"/>
      <c r="X108" s="5"/>
      <c r="Y108" s="5"/>
      <c r="Z108" s="5"/>
    </row>
    <row r="109" hidden="1">
      <c r="A109" s="5"/>
      <c r="B109" s="2"/>
      <c r="C109" s="26">
        <v>45700.0</v>
      </c>
      <c r="D109" s="13" t="s">
        <v>329</v>
      </c>
      <c r="E109" s="1" t="s">
        <v>330</v>
      </c>
      <c r="F109" s="1"/>
      <c r="G109" s="11" t="s">
        <v>28</v>
      </c>
      <c r="H109" s="5"/>
      <c r="I109" s="16" t="s">
        <v>331</v>
      </c>
      <c r="J109" s="11" t="s">
        <v>25</v>
      </c>
      <c r="K109" s="1" t="b">
        <v>1</v>
      </c>
      <c r="L109" s="1" t="b">
        <v>0</v>
      </c>
      <c r="M109" s="5" t="b">
        <v>0</v>
      </c>
      <c r="N109" s="5" t="b">
        <v>0</v>
      </c>
      <c r="O109" s="5" t="b">
        <v>0</v>
      </c>
      <c r="P109" s="1" t="b">
        <v>0</v>
      </c>
      <c r="Q109" s="1"/>
      <c r="R109" s="5"/>
      <c r="S109" s="5"/>
      <c r="T109" s="5"/>
      <c r="U109" s="5"/>
      <c r="V109" s="5"/>
      <c r="W109" s="5"/>
      <c r="X109" s="5"/>
      <c r="Y109" s="5"/>
      <c r="Z109" s="5"/>
    </row>
    <row r="110" hidden="1">
      <c r="A110" s="5"/>
      <c r="B110" s="2"/>
      <c r="C110" s="26">
        <v>45700.0</v>
      </c>
      <c r="D110" s="13" t="s">
        <v>332</v>
      </c>
      <c r="E110" s="1" t="s">
        <v>333</v>
      </c>
      <c r="F110" s="1"/>
      <c r="G110" s="11" t="s">
        <v>45</v>
      </c>
      <c r="H110" s="5"/>
      <c r="I110" s="16" t="s">
        <v>334</v>
      </c>
      <c r="J110" s="11" t="s">
        <v>25</v>
      </c>
      <c r="K110" s="1" t="b">
        <v>1</v>
      </c>
      <c r="L110" s="1" t="b">
        <v>1</v>
      </c>
      <c r="M110" s="1" t="b">
        <v>1</v>
      </c>
      <c r="N110" s="5" t="b">
        <v>0</v>
      </c>
      <c r="O110" s="5" t="b">
        <v>0</v>
      </c>
      <c r="P110" s="1" t="b">
        <v>0</v>
      </c>
      <c r="Q110" s="1"/>
      <c r="R110" s="5"/>
      <c r="S110" s="5"/>
      <c r="T110" s="5"/>
      <c r="U110" s="5"/>
      <c r="V110" s="5"/>
      <c r="W110" s="5"/>
      <c r="X110" s="5"/>
      <c r="Y110" s="5"/>
      <c r="Z110" s="5"/>
    </row>
    <row r="111" hidden="1">
      <c r="A111" s="5"/>
      <c r="B111" s="2"/>
      <c r="C111" s="26">
        <v>45701.0</v>
      </c>
      <c r="D111" s="13" t="s">
        <v>335</v>
      </c>
      <c r="E111" s="1" t="s">
        <v>336</v>
      </c>
      <c r="F111" s="1"/>
      <c r="G111" s="11" t="s">
        <v>23</v>
      </c>
      <c r="H111" s="5"/>
      <c r="I111" s="16" t="s">
        <v>337</v>
      </c>
      <c r="J111" s="11" t="s">
        <v>173</v>
      </c>
      <c r="K111" s="1" t="b">
        <v>1</v>
      </c>
      <c r="L111" s="1" t="b">
        <v>0</v>
      </c>
      <c r="M111" s="5" t="b">
        <v>0</v>
      </c>
      <c r="N111" s="5" t="b">
        <v>0</v>
      </c>
      <c r="O111" s="5" t="b">
        <v>0</v>
      </c>
      <c r="P111" s="1" t="b">
        <v>0</v>
      </c>
      <c r="Q111" s="1"/>
      <c r="R111" s="5"/>
      <c r="S111" s="5"/>
      <c r="T111" s="5"/>
      <c r="U111" s="5"/>
      <c r="V111" s="5"/>
      <c r="W111" s="5"/>
      <c r="X111" s="5"/>
      <c r="Y111" s="5"/>
      <c r="Z111" s="5"/>
    </row>
    <row r="112" hidden="1">
      <c r="A112" s="5"/>
      <c r="B112" s="2"/>
      <c r="C112" s="26">
        <v>45702.0</v>
      </c>
      <c r="D112" s="13" t="s">
        <v>338</v>
      </c>
      <c r="E112" s="1"/>
      <c r="F112" s="1"/>
      <c r="G112" s="11" t="s">
        <v>28</v>
      </c>
      <c r="H112" s="5"/>
      <c r="I112" s="16" t="s">
        <v>339</v>
      </c>
      <c r="J112" s="11" t="s">
        <v>25</v>
      </c>
      <c r="K112" s="1" t="b">
        <v>0</v>
      </c>
      <c r="L112" s="1" t="b">
        <v>0</v>
      </c>
      <c r="M112" s="5" t="b">
        <v>0</v>
      </c>
      <c r="N112" s="5" t="b">
        <v>0</v>
      </c>
      <c r="O112" s="5" t="b">
        <v>0</v>
      </c>
      <c r="P112" s="1" t="b">
        <v>0</v>
      </c>
      <c r="Q112" s="1"/>
      <c r="R112" s="5"/>
      <c r="S112" s="5"/>
      <c r="T112" s="5"/>
      <c r="U112" s="5"/>
      <c r="V112" s="5"/>
      <c r="W112" s="5"/>
      <c r="X112" s="5"/>
      <c r="Y112" s="5"/>
      <c r="Z112" s="5"/>
    </row>
    <row r="113" hidden="1">
      <c r="A113" s="5"/>
      <c r="B113" s="2"/>
      <c r="C113" s="26">
        <v>45615.0</v>
      </c>
      <c r="D113" s="13" t="s">
        <v>340</v>
      </c>
      <c r="E113" s="1" t="s">
        <v>341</v>
      </c>
      <c r="F113" s="1"/>
      <c r="G113" s="11" t="s">
        <v>28</v>
      </c>
      <c r="H113" s="26"/>
      <c r="I113" s="16" t="s">
        <v>342</v>
      </c>
      <c r="J113" s="11" t="s">
        <v>25</v>
      </c>
      <c r="K113" s="1" t="b">
        <v>0</v>
      </c>
      <c r="L113" s="1" t="b">
        <v>0</v>
      </c>
      <c r="M113" s="5" t="b">
        <v>0</v>
      </c>
      <c r="N113" s="5" t="b">
        <v>0</v>
      </c>
      <c r="O113" s="5" t="b">
        <v>0</v>
      </c>
      <c r="P113" s="1" t="b">
        <v>0</v>
      </c>
      <c r="Q113" s="1" t="s">
        <v>343</v>
      </c>
      <c r="R113" s="5"/>
      <c r="S113" s="5"/>
      <c r="T113" s="5"/>
      <c r="U113" s="5"/>
      <c r="V113" s="5"/>
      <c r="W113" s="5"/>
      <c r="X113" s="5"/>
      <c r="Y113" s="5"/>
      <c r="Z113" s="5"/>
    </row>
    <row r="114" hidden="1">
      <c r="A114" s="5"/>
      <c r="B114" s="2"/>
      <c r="C114" s="26">
        <v>45616.0</v>
      </c>
      <c r="D114" s="13" t="s">
        <v>344</v>
      </c>
      <c r="E114" s="1" t="s">
        <v>345</v>
      </c>
      <c r="F114" s="1"/>
      <c r="G114" s="11" t="s">
        <v>28</v>
      </c>
      <c r="H114" s="26"/>
      <c r="I114" s="16"/>
      <c r="J114" s="11" t="s">
        <v>25</v>
      </c>
      <c r="K114" s="1" t="b">
        <v>0</v>
      </c>
      <c r="L114" s="1" t="b">
        <v>0</v>
      </c>
      <c r="M114" s="5" t="b">
        <v>0</v>
      </c>
      <c r="N114" s="5" t="b">
        <v>0</v>
      </c>
      <c r="O114" s="5" t="b">
        <v>0</v>
      </c>
      <c r="P114" s="1" t="b">
        <v>0</v>
      </c>
      <c r="Q114" s="1"/>
      <c r="R114" s="5"/>
      <c r="S114" s="5"/>
      <c r="T114" s="5"/>
      <c r="U114" s="5"/>
      <c r="V114" s="5"/>
      <c r="W114" s="5"/>
      <c r="X114" s="5"/>
      <c r="Y114" s="5"/>
      <c r="Z114" s="5"/>
    </row>
    <row r="115" hidden="1">
      <c r="A115" s="5"/>
      <c r="B115" s="2"/>
      <c r="C115" s="26">
        <v>45615.0</v>
      </c>
      <c r="D115" s="13" t="s">
        <v>346</v>
      </c>
      <c r="E115" s="1" t="s">
        <v>347</v>
      </c>
      <c r="F115" s="1"/>
      <c r="G115" s="11" t="s">
        <v>45</v>
      </c>
      <c r="H115" s="26"/>
      <c r="I115" s="16" t="s">
        <v>348</v>
      </c>
      <c r="J115" s="11" t="s">
        <v>25</v>
      </c>
      <c r="K115" s="1" t="b">
        <v>0</v>
      </c>
      <c r="L115" s="1" t="b">
        <v>0</v>
      </c>
      <c r="M115" s="5" t="b">
        <v>0</v>
      </c>
      <c r="N115" s="5" t="b">
        <v>0</v>
      </c>
      <c r="O115" s="5" t="b">
        <v>0</v>
      </c>
      <c r="P115" s="1" t="b">
        <v>0</v>
      </c>
      <c r="Q115" s="1"/>
      <c r="R115" s="5"/>
      <c r="S115" s="5"/>
      <c r="T115" s="5"/>
      <c r="U115" s="5"/>
      <c r="V115" s="5"/>
      <c r="W115" s="5"/>
      <c r="X115" s="5"/>
      <c r="Y115" s="5"/>
      <c r="Z115" s="5"/>
    </row>
    <row r="116" hidden="1">
      <c r="A116" s="5"/>
      <c r="B116" s="2"/>
      <c r="C116" s="26">
        <v>45615.0</v>
      </c>
      <c r="D116" s="13" t="s">
        <v>349</v>
      </c>
      <c r="E116" s="1"/>
      <c r="F116" s="1"/>
      <c r="G116" s="11"/>
      <c r="H116" s="26"/>
      <c r="I116" s="16"/>
      <c r="J116" s="11" t="s">
        <v>25</v>
      </c>
      <c r="K116" s="1" t="b">
        <v>0</v>
      </c>
      <c r="L116" s="1" t="b">
        <v>0</v>
      </c>
      <c r="M116" s="5" t="b">
        <v>0</v>
      </c>
      <c r="N116" s="5" t="b">
        <v>0</v>
      </c>
      <c r="O116" s="5" t="b">
        <v>0</v>
      </c>
      <c r="P116" s="1" t="b">
        <v>0</v>
      </c>
      <c r="Q116" s="1"/>
      <c r="R116" s="5"/>
      <c r="S116" s="5"/>
      <c r="T116" s="5"/>
      <c r="U116" s="5"/>
      <c r="V116" s="5"/>
      <c r="W116" s="5"/>
      <c r="X116" s="5"/>
      <c r="Y116" s="5"/>
      <c r="Z116" s="5"/>
    </row>
    <row r="117" hidden="1">
      <c r="A117" s="5"/>
      <c r="B117" s="2"/>
      <c r="C117" s="26"/>
      <c r="D117" s="13" t="s">
        <v>350</v>
      </c>
      <c r="E117" s="1" t="s">
        <v>351</v>
      </c>
      <c r="F117" s="1"/>
      <c r="G117" s="11" t="s">
        <v>28</v>
      </c>
      <c r="H117" s="26"/>
      <c r="I117" s="16" t="s">
        <v>352</v>
      </c>
      <c r="J117" s="11" t="s">
        <v>25</v>
      </c>
      <c r="K117" s="1" t="b">
        <v>0</v>
      </c>
      <c r="L117" s="1" t="b">
        <v>0</v>
      </c>
      <c r="M117" s="5" t="b">
        <v>0</v>
      </c>
      <c r="N117" s="5" t="b">
        <v>0</v>
      </c>
      <c r="O117" s="5" t="b">
        <v>0</v>
      </c>
      <c r="P117" s="1" t="b">
        <v>0</v>
      </c>
      <c r="Q117" s="1"/>
      <c r="R117" s="5"/>
      <c r="S117" s="5"/>
      <c r="T117" s="5"/>
      <c r="U117" s="5"/>
      <c r="V117" s="5"/>
      <c r="W117" s="5"/>
      <c r="X117" s="5"/>
      <c r="Y117" s="5"/>
      <c r="Z117" s="5"/>
    </row>
    <row r="118" hidden="1">
      <c r="A118" s="5"/>
      <c r="B118" s="2"/>
      <c r="C118" s="26">
        <v>45614.0</v>
      </c>
      <c r="D118" s="13" t="s">
        <v>353</v>
      </c>
      <c r="E118" s="1" t="s">
        <v>111</v>
      </c>
      <c r="F118" s="1"/>
      <c r="G118" s="11" t="s">
        <v>45</v>
      </c>
      <c r="H118" s="26">
        <v>45618.0</v>
      </c>
      <c r="I118" s="16" t="s">
        <v>354</v>
      </c>
      <c r="J118" s="11" t="s">
        <v>25</v>
      </c>
      <c r="K118" s="1" t="b">
        <v>0</v>
      </c>
      <c r="L118" s="1" t="b">
        <v>0</v>
      </c>
      <c r="M118" s="5" t="b">
        <v>0</v>
      </c>
      <c r="N118" s="5" t="b">
        <v>0</v>
      </c>
      <c r="O118" s="5" t="b">
        <v>0</v>
      </c>
      <c r="P118" s="1" t="b">
        <v>0</v>
      </c>
      <c r="Q118" s="1"/>
      <c r="R118" s="5"/>
      <c r="S118" s="5"/>
      <c r="T118" s="5"/>
      <c r="U118" s="5"/>
      <c r="V118" s="5"/>
      <c r="W118" s="5"/>
      <c r="X118" s="5"/>
      <c r="Y118" s="5"/>
      <c r="Z118" s="5"/>
    </row>
    <row r="119" hidden="1">
      <c r="A119" s="5"/>
      <c r="B119" s="2"/>
      <c r="C119" s="26">
        <v>45581.0</v>
      </c>
      <c r="D119" s="13" t="s">
        <v>355</v>
      </c>
      <c r="E119" s="1"/>
      <c r="F119" s="1"/>
      <c r="G119" s="11" t="s">
        <v>28</v>
      </c>
      <c r="H119" s="26">
        <v>45588.0</v>
      </c>
      <c r="I119" s="16" t="s">
        <v>356</v>
      </c>
      <c r="J119" s="11" t="s">
        <v>25</v>
      </c>
      <c r="K119" s="1" t="b">
        <v>1</v>
      </c>
      <c r="L119" s="1" t="b">
        <v>0</v>
      </c>
      <c r="M119" s="5" t="b">
        <v>0</v>
      </c>
      <c r="N119" s="5" t="b">
        <v>0</v>
      </c>
      <c r="O119" s="5" t="b">
        <v>0</v>
      </c>
      <c r="P119" s="1" t="b">
        <v>1</v>
      </c>
      <c r="Q119" s="1"/>
      <c r="R119" s="5"/>
      <c r="S119" s="5"/>
      <c r="T119" s="5"/>
      <c r="U119" s="5"/>
      <c r="V119" s="5"/>
      <c r="W119" s="5"/>
      <c r="X119" s="5"/>
      <c r="Y119" s="5"/>
      <c r="Z119" s="5"/>
    </row>
    <row r="120" hidden="1">
      <c r="A120" s="5"/>
      <c r="B120" s="2"/>
      <c r="C120" s="26">
        <v>45536.0</v>
      </c>
      <c r="D120" s="13" t="s">
        <v>112</v>
      </c>
      <c r="E120" s="1" t="s">
        <v>113</v>
      </c>
      <c r="F120" s="1"/>
      <c r="G120" s="11" t="s">
        <v>28</v>
      </c>
      <c r="H120" s="43"/>
      <c r="I120" s="16" t="s">
        <v>357</v>
      </c>
      <c r="J120" s="11" t="s">
        <v>25</v>
      </c>
      <c r="K120" s="1" t="b">
        <v>1</v>
      </c>
      <c r="L120" s="1" t="b">
        <v>1</v>
      </c>
      <c r="M120" s="5" t="b">
        <v>0</v>
      </c>
      <c r="N120" s="5" t="b">
        <v>0</v>
      </c>
      <c r="O120" s="5" t="b">
        <v>0</v>
      </c>
      <c r="P120" s="1" t="b">
        <v>1</v>
      </c>
      <c r="Q120" s="1" t="s">
        <v>358</v>
      </c>
      <c r="R120" s="5"/>
      <c r="S120" s="5"/>
      <c r="T120" s="5"/>
      <c r="U120" s="5"/>
      <c r="V120" s="5"/>
      <c r="W120" s="5"/>
      <c r="X120" s="5"/>
      <c r="Y120" s="5"/>
      <c r="Z120" s="5"/>
    </row>
    <row r="121" hidden="1">
      <c r="A121" s="5"/>
      <c r="B121" s="2"/>
      <c r="C121" s="26">
        <v>45703.0</v>
      </c>
      <c r="D121" s="13" t="s">
        <v>359</v>
      </c>
      <c r="E121" s="5"/>
      <c r="F121" s="5"/>
      <c r="G121" s="11" t="s">
        <v>23</v>
      </c>
      <c r="H121" s="43"/>
      <c r="I121" s="16" t="s">
        <v>360</v>
      </c>
      <c r="J121" s="11" t="s">
        <v>25</v>
      </c>
      <c r="K121" s="1" t="b">
        <v>1</v>
      </c>
      <c r="L121" s="1" t="b">
        <v>0</v>
      </c>
      <c r="M121" s="5" t="b">
        <v>0</v>
      </c>
      <c r="N121" s="5" t="b">
        <v>0</v>
      </c>
      <c r="O121" s="5" t="b">
        <v>0</v>
      </c>
      <c r="P121" s="1" t="b"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idden="1">
      <c r="A122" s="5"/>
      <c r="B122" s="2"/>
      <c r="C122" s="26">
        <v>45705.0</v>
      </c>
      <c r="D122" s="13" t="s">
        <v>361</v>
      </c>
      <c r="E122" s="1" t="s">
        <v>362</v>
      </c>
      <c r="F122" s="1"/>
      <c r="G122" s="11" t="s">
        <v>28</v>
      </c>
      <c r="H122" s="11" t="s">
        <v>363</v>
      </c>
      <c r="I122" s="16" t="s">
        <v>364</v>
      </c>
      <c r="J122" s="11" t="s">
        <v>25</v>
      </c>
      <c r="K122" s="1" t="b">
        <v>1</v>
      </c>
      <c r="L122" s="1" t="b">
        <v>0</v>
      </c>
      <c r="M122" s="5" t="b">
        <v>0</v>
      </c>
      <c r="N122" s="5" t="b">
        <v>0</v>
      </c>
      <c r="O122" s="5" t="b">
        <v>0</v>
      </c>
      <c r="P122" s="1" t="b">
        <v>1</v>
      </c>
      <c r="Q122" s="1" t="s">
        <v>363</v>
      </c>
      <c r="R122" s="5"/>
      <c r="S122" s="5"/>
      <c r="T122" s="5"/>
      <c r="U122" s="5"/>
      <c r="V122" s="5"/>
      <c r="W122" s="5"/>
      <c r="X122" s="5"/>
      <c r="Y122" s="5"/>
      <c r="Z122" s="5"/>
    </row>
    <row r="123" hidden="1">
      <c r="A123" s="5"/>
      <c r="B123" s="2"/>
      <c r="C123" s="26">
        <v>45712.0</v>
      </c>
      <c r="D123" s="13" t="s">
        <v>365</v>
      </c>
      <c r="E123" s="1" t="s">
        <v>366</v>
      </c>
      <c r="F123" s="1"/>
      <c r="G123" s="11" t="s">
        <v>23</v>
      </c>
      <c r="H123" s="26">
        <v>45728.0</v>
      </c>
      <c r="I123" s="16" t="s">
        <v>367</v>
      </c>
      <c r="J123" s="11" t="s">
        <v>25</v>
      </c>
      <c r="K123" s="1" t="b">
        <v>1</v>
      </c>
      <c r="L123" s="1" t="b">
        <v>0</v>
      </c>
      <c r="M123" s="5" t="b">
        <v>0</v>
      </c>
      <c r="N123" s="5" t="b">
        <v>0</v>
      </c>
      <c r="O123" s="5" t="b">
        <v>0</v>
      </c>
      <c r="P123" s="1" t="b">
        <v>1</v>
      </c>
      <c r="Q123" s="1" t="s">
        <v>368</v>
      </c>
      <c r="R123" s="5"/>
      <c r="S123" s="5"/>
      <c r="T123" s="5"/>
      <c r="U123" s="5"/>
      <c r="V123" s="5"/>
      <c r="W123" s="5"/>
      <c r="X123" s="5"/>
      <c r="Y123" s="5"/>
      <c r="Z123" s="5"/>
    </row>
    <row r="124" hidden="1">
      <c r="A124" s="5"/>
      <c r="B124" s="2"/>
      <c r="C124" s="26">
        <v>45712.0</v>
      </c>
      <c r="D124" s="13" t="s">
        <v>369</v>
      </c>
      <c r="E124" s="5"/>
      <c r="F124" s="5"/>
      <c r="G124" s="11" t="s">
        <v>23</v>
      </c>
      <c r="H124" s="26">
        <v>45730.0</v>
      </c>
      <c r="I124" s="16" t="s">
        <v>370</v>
      </c>
      <c r="J124" s="11" t="s">
        <v>25</v>
      </c>
      <c r="K124" s="1" t="b">
        <v>1</v>
      </c>
      <c r="L124" s="1" t="b">
        <v>1</v>
      </c>
      <c r="M124" s="5" t="b">
        <v>0</v>
      </c>
      <c r="N124" s="5" t="b">
        <v>0</v>
      </c>
      <c r="O124" s="5" t="b">
        <v>0</v>
      </c>
      <c r="P124" s="1" t="b">
        <v>1</v>
      </c>
      <c r="Q124" s="1" t="s">
        <v>371</v>
      </c>
      <c r="R124" s="5"/>
      <c r="S124" s="5"/>
      <c r="T124" s="5"/>
      <c r="U124" s="5"/>
      <c r="V124" s="5"/>
      <c r="W124" s="5"/>
      <c r="X124" s="5"/>
      <c r="Y124" s="5"/>
      <c r="Z124" s="5"/>
    </row>
    <row r="125" hidden="1">
      <c r="A125" s="5"/>
      <c r="B125" s="2"/>
      <c r="C125" s="26">
        <v>45713.0</v>
      </c>
      <c r="D125" s="13" t="s">
        <v>372</v>
      </c>
      <c r="E125" s="1" t="s">
        <v>373</v>
      </c>
      <c r="F125" s="1"/>
      <c r="G125" s="11" t="s">
        <v>23</v>
      </c>
      <c r="H125" s="26">
        <v>45730.0</v>
      </c>
      <c r="I125" s="16" t="s">
        <v>374</v>
      </c>
      <c r="J125" s="11" t="s">
        <v>25</v>
      </c>
      <c r="K125" s="1" t="b">
        <v>1</v>
      </c>
      <c r="L125" s="1" t="b">
        <v>1</v>
      </c>
      <c r="M125" s="5" t="b">
        <v>0</v>
      </c>
      <c r="N125" s="5" t="b">
        <v>0</v>
      </c>
      <c r="O125" s="5" t="b">
        <v>0</v>
      </c>
      <c r="P125" s="1" t="b">
        <v>0</v>
      </c>
      <c r="Q125" s="1" t="s">
        <v>375</v>
      </c>
      <c r="R125" s="5"/>
      <c r="S125" s="5"/>
      <c r="T125" s="5"/>
      <c r="U125" s="5"/>
      <c r="V125" s="5"/>
      <c r="W125" s="5"/>
      <c r="X125" s="5"/>
      <c r="Y125" s="5"/>
      <c r="Z125" s="5"/>
    </row>
    <row r="126" hidden="1">
      <c r="A126" s="5"/>
      <c r="B126" s="2"/>
      <c r="C126" s="26">
        <v>45714.0</v>
      </c>
      <c r="D126" s="13" t="s">
        <v>43</v>
      </c>
      <c r="E126" s="1" t="s">
        <v>376</v>
      </c>
      <c r="F126" s="1"/>
      <c r="G126" s="11" t="s">
        <v>45</v>
      </c>
      <c r="H126" s="26">
        <v>45727.0</v>
      </c>
      <c r="I126" s="16" t="s">
        <v>377</v>
      </c>
      <c r="J126" s="11" t="s">
        <v>25</v>
      </c>
      <c r="K126" s="1" t="b">
        <v>1</v>
      </c>
      <c r="L126" s="1" t="b">
        <v>1</v>
      </c>
      <c r="M126" s="1" t="b">
        <v>1</v>
      </c>
      <c r="N126" s="5" t="b">
        <v>0</v>
      </c>
      <c r="O126" s="5" t="b">
        <v>0</v>
      </c>
      <c r="P126" s="1" t="b"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idden="1">
      <c r="A127" s="5"/>
      <c r="B127" s="11"/>
      <c r="C127" s="26">
        <v>45720.0</v>
      </c>
      <c r="D127" s="13" t="s">
        <v>378</v>
      </c>
      <c r="E127" s="1" t="s">
        <v>379</v>
      </c>
      <c r="F127" s="1"/>
      <c r="G127" s="11" t="s">
        <v>23</v>
      </c>
      <c r="H127" s="43"/>
      <c r="I127" s="16" t="s">
        <v>380</v>
      </c>
      <c r="J127" s="11" t="s">
        <v>233</v>
      </c>
      <c r="K127" s="1" t="b">
        <v>0</v>
      </c>
      <c r="L127" s="1" t="b">
        <v>0</v>
      </c>
      <c r="M127" s="5" t="b">
        <v>0</v>
      </c>
      <c r="N127" s="5" t="b">
        <v>0</v>
      </c>
      <c r="O127" s="5" t="b">
        <v>0</v>
      </c>
      <c r="P127" s="1" t="b">
        <v>0</v>
      </c>
      <c r="Q127" s="1" t="s">
        <v>381</v>
      </c>
      <c r="R127" s="5"/>
      <c r="S127" s="5"/>
      <c r="T127" s="5"/>
      <c r="U127" s="5"/>
      <c r="V127" s="5"/>
      <c r="W127" s="5"/>
      <c r="X127" s="5"/>
      <c r="Y127" s="5"/>
      <c r="Z127" s="5"/>
    </row>
    <row r="128" hidden="1">
      <c r="A128" s="5"/>
      <c r="B128" s="2"/>
      <c r="C128" s="26">
        <v>45720.0</v>
      </c>
      <c r="D128" s="13" t="s">
        <v>382</v>
      </c>
      <c r="E128" s="1" t="s">
        <v>383</v>
      </c>
      <c r="F128" s="1"/>
      <c r="G128" s="11" t="s">
        <v>23</v>
      </c>
      <c r="H128" s="43"/>
      <c r="I128" s="16" t="s">
        <v>384</v>
      </c>
      <c r="J128" s="11" t="s">
        <v>233</v>
      </c>
      <c r="K128" s="1" t="b">
        <v>1</v>
      </c>
      <c r="L128" s="1" t="b">
        <v>0</v>
      </c>
      <c r="M128" s="5" t="b">
        <v>0</v>
      </c>
      <c r="N128" s="5" t="b">
        <v>0</v>
      </c>
      <c r="O128" s="5" t="b">
        <v>0</v>
      </c>
      <c r="P128" s="1" t="b">
        <v>0</v>
      </c>
      <c r="Q128" s="1" t="s">
        <v>381</v>
      </c>
      <c r="R128" s="5"/>
      <c r="S128" s="5"/>
      <c r="T128" s="5"/>
      <c r="U128" s="5"/>
      <c r="V128" s="5"/>
      <c r="W128" s="5"/>
      <c r="X128" s="5"/>
      <c r="Y128" s="5"/>
      <c r="Z128" s="5"/>
    </row>
    <row r="129" hidden="1">
      <c r="A129" s="5"/>
      <c r="B129" s="2"/>
      <c r="C129" s="26">
        <v>45720.0</v>
      </c>
      <c r="D129" s="13" t="s">
        <v>385</v>
      </c>
      <c r="E129" s="1" t="s">
        <v>386</v>
      </c>
      <c r="F129" s="1"/>
      <c r="G129" s="11" t="s">
        <v>28</v>
      </c>
      <c r="H129" s="26">
        <v>45750.0</v>
      </c>
      <c r="I129" s="16" t="s">
        <v>387</v>
      </c>
      <c r="J129" s="11" t="s">
        <v>25</v>
      </c>
      <c r="K129" s="1" t="b">
        <v>1</v>
      </c>
      <c r="L129" s="1" t="b">
        <v>0</v>
      </c>
      <c r="M129" s="5" t="b">
        <v>0</v>
      </c>
      <c r="N129" s="5" t="b">
        <v>0</v>
      </c>
      <c r="O129" s="5" t="b">
        <v>0</v>
      </c>
      <c r="P129" s="1" t="b">
        <v>1</v>
      </c>
      <c r="Q129" s="1" t="s">
        <v>388</v>
      </c>
      <c r="R129" s="5"/>
      <c r="S129" s="5"/>
      <c r="T129" s="5"/>
      <c r="U129" s="5"/>
      <c r="V129" s="5"/>
      <c r="W129" s="5"/>
      <c r="X129" s="5"/>
      <c r="Y129" s="5"/>
      <c r="Z129" s="5"/>
    </row>
    <row r="130" hidden="1">
      <c r="A130" s="5"/>
      <c r="B130" s="2"/>
      <c r="C130" s="26">
        <v>45720.0</v>
      </c>
      <c r="D130" s="13" t="s">
        <v>389</v>
      </c>
      <c r="E130" s="5"/>
      <c r="F130" s="5"/>
      <c r="G130" s="11" t="s">
        <v>28</v>
      </c>
      <c r="H130" s="26">
        <v>45726.0</v>
      </c>
      <c r="I130" s="16" t="s">
        <v>390</v>
      </c>
      <c r="J130" s="11" t="s">
        <v>25</v>
      </c>
      <c r="K130" s="1" t="b">
        <v>1</v>
      </c>
      <c r="L130" s="1" t="b">
        <v>1</v>
      </c>
      <c r="M130" s="1" t="b">
        <v>1</v>
      </c>
      <c r="N130" s="5" t="b">
        <v>0</v>
      </c>
      <c r="O130" s="5" t="b">
        <v>0</v>
      </c>
      <c r="P130" s="1" t="b"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idden="1">
      <c r="A131" s="5"/>
      <c r="B131" s="2"/>
      <c r="C131" s="26">
        <v>45706.0</v>
      </c>
      <c r="D131" s="13" t="s">
        <v>391</v>
      </c>
      <c r="E131" s="5"/>
      <c r="F131" s="5"/>
      <c r="G131" s="11" t="s">
        <v>28</v>
      </c>
      <c r="H131" s="43"/>
      <c r="I131" s="16" t="s">
        <v>392</v>
      </c>
      <c r="J131" s="11" t="s">
        <v>25</v>
      </c>
      <c r="K131" s="1" t="b">
        <v>0</v>
      </c>
      <c r="L131" s="1" t="b">
        <v>0</v>
      </c>
      <c r="M131" s="5" t="b">
        <v>0</v>
      </c>
      <c r="N131" s="5" t="b">
        <v>0</v>
      </c>
      <c r="O131" s="5" t="b">
        <v>0</v>
      </c>
      <c r="P131" s="1" t="b"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idden="1">
      <c r="A132" s="5"/>
      <c r="B132" s="2"/>
      <c r="C132" s="26"/>
      <c r="D132" s="13" t="s">
        <v>393</v>
      </c>
      <c r="E132" s="1"/>
      <c r="F132" s="1"/>
      <c r="G132" s="11"/>
      <c r="H132" s="43"/>
      <c r="I132" s="16" t="s">
        <v>394</v>
      </c>
      <c r="J132" s="11" t="s">
        <v>25</v>
      </c>
      <c r="K132" s="1" t="b">
        <v>1</v>
      </c>
      <c r="L132" s="1" t="b">
        <v>1</v>
      </c>
      <c r="M132" s="1" t="b">
        <v>1</v>
      </c>
      <c r="N132" s="5" t="b">
        <v>0</v>
      </c>
      <c r="O132" s="5" t="b">
        <v>0</v>
      </c>
      <c r="P132" s="1" t="b"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idden="1">
      <c r="A133" s="5"/>
      <c r="B133" s="2"/>
      <c r="C133" s="26">
        <v>45707.0</v>
      </c>
      <c r="D133" s="13" t="s">
        <v>395</v>
      </c>
      <c r="E133" s="1"/>
      <c r="F133" s="1"/>
      <c r="G133" s="11" t="s">
        <v>23</v>
      </c>
      <c r="H133" s="43"/>
      <c r="I133" s="16" t="s">
        <v>396</v>
      </c>
      <c r="J133" s="11" t="s">
        <v>173</v>
      </c>
      <c r="K133" s="1" t="b">
        <v>1</v>
      </c>
      <c r="L133" s="1" t="b">
        <v>0</v>
      </c>
      <c r="M133" s="5" t="b">
        <v>0</v>
      </c>
      <c r="N133" s="5" t="b">
        <v>0</v>
      </c>
      <c r="O133" s="5" t="b">
        <v>0</v>
      </c>
      <c r="P133" s="1" t="b"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idden="1">
      <c r="A134" s="5"/>
      <c r="B134" s="2"/>
      <c r="C134" s="26"/>
      <c r="D134" s="13" t="s">
        <v>397</v>
      </c>
      <c r="E134" s="1"/>
      <c r="F134" s="1"/>
      <c r="G134" s="11"/>
      <c r="H134" s="43"/>
      <c r="I134" s="16" t="s">
        <v>398</v>
      </c>
      <c r="J134" s="11" t="s">
        <v>25</v>
      </c>
      <c r="K134" s="1" t="b">
        <v>1</v>
      </c>
      <c r="L134" s="1" t="b">
        <v>0</v>
      </c>
      <c r="M134" s="5" t="b">
        <v>0</v>
      </c>
      <c r="N134" s="5" t="b">
        <v>0</v>
      </c>
      <c r="O134" s="1" t="b">
        <v>1</v>
      </c>
      <c r="P134" s="1" t="b">
        <v>1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idden="1">
      <c r="A135" s="5"/>
      <c r="B135" s="2"/>
      <c r="C135" s="26">
        <v>45707.0</v>
      </c>
      <c r="D135" s="13" t="s">
        <v>399</v>
      </c>
      <c r="E135" s="1" t="s">
        <v>400</v>
      </c>
      <c r="F135" s="1"/>
      <c r="G135" s="11" t="s">
        <v>28</v>
      </c>
      <c r="H135" s="26">
        <v>45763.0</v>
      </c>
      <c r="I135" s="16" t="s">
        <v>401</v>
      </c>
      <c r="J135" s="11" t="s">
        <v>25</v>
      </c>
      <c r="K135" s="1" t="b">
        <v>1</v>
      </c>
      <c r="L135" s="1" t="b">
        <v>1</v>
      </c>
      <c r="M135" s="5" t="b">
        <v>0</v>
      </c>
      <c r="N135" s="5" t="b">
        <v>0</v>
      </c>
      <c r="O135" s="5" t="b">
        <v>0</v>
      </c>
      <c r="P135" s="1" t="b">
        <v>0</v>
      </c>
      <c r="Q135" s="1" t="s">
        <v>402</v>
      </c>
      <c r="R135" s="5"/>
      <c r="S135" s="5"/>
      <c r="T135" s="5"/>
      <c r="U135" s="5"/>
      <c r="V135" s="5"/>
      <c r="W135" s="5"/>
      <c r="X135" s="5"/>
      <c r="Y135" s="5"/>
      <c r="Z135" s="5"/>
    </row>
    <row r="136" hidden="1">
      <c r="A136" s="5"/>
      <c r="B136" s="2"/>
      <c r="C136" s="26">
        <v>45727.0</v>
      </c>
      <c r="D136" s="13" t="s">
        <v>403</v>
      </c>
      <c r="E136" s="1" t="s">
        <v>404</v>
      </c>
      <c r="F136" s="1"/>
      <c r="G136" s="11" t="s">
        <v>23</v>
      </c>
      <c r="H136" s="11" t="s">
        <v>405</v>
      </c>
      <c r="I136" s="16" t="s">
        <v>406</v>
      </c>
      <c r="J136" s="11" t="s">
        <v>173</v>
      </c>
      <c r="K136" s="1" t="b">
        <v>0</v>
      </c>
      <c r="L136" s="1" t="b">
        <v>0</v>
      </c>
      <c r="M136" s="5" t="b">
        <v>0</v>
      </c>
      <c r="N136" s="5" t="b">
        <v>0</v>
      </c>
      <c r="O136" s="5" t="b">
        <v>0</v>
      </c>
      <c r="P136" s="1" t="b">
        <v>0</v>
      </c>
      <c r="Q136" s="1" t="s">
        <v>407</v>
      </c>
      <c r="R136" s="5"/>
      <c r="S136" s="5"/>
      <c r="T136" s="5"/>
      <c r="U136" s="5"/>
      <c r="V136" s="5"/>
      <c r="W136" s="5"/>
      <c r="X136" s="5"/>
      <c r="Y136" s="5"/>
      <c r="Z136" s="5"/>
    </row>
    <row r="137" hidden="1">
      <c r="A137" s="5"/>
      <c r="B137" s="2"/>
      <c r="C137" s="26">
        <v>45728.0</v>
      </c>
      <c r="D137" s="13" t="s">
        <v>408</v>
      </c>
      <c r="E137" s="1" t="s">
        <v>409</v>
      </c>
      <c r="F137" s="1"/>
      <c r="G137" s="11" t="s">
        <v>45</v>
      </c>
      <c r="H137" s="43"/>
      <c r="I137" s="16" t="s">
        <v>410</v>
      </c>
      <c r="J137" s="11" t="s">
        <v>25</v>
      </c>
      <c r="K137" s="1" t="b">
        <v>1</v>
      </c>
      <c r="L137" s="1" t="b">
        <v>1</v>
      </c>
      <c r="M137" s="1" t="b">
        <v>1</v>
      </c>
      <c r="N137" s="5" t="b">
        <v>0</v>
      </c>
      <c r="O137" s="5" t="b">
        <v>0</v>
      </c>
      <c r="P137" s="1" t="b"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30.0" hidden="1" customHeight="1">
      <c r="A138" s="5"/>
      <c r="B138" s="11">
        <v>1.0</v>
      </c>
      <c r="C138" s="26">
        <v>45728.0</v>
      </c>
      <c r="D138" s="13" t="s">
        <v>408</v>
      </c>
      <c r="E138" s="1" t="s">
        <v>409</v>
      </c>
      <c r="F138" s="1">
        <v>7.1975134E8</v>
      </c>
      <c r="G138" s="11" t="s">
        <v>411</v>
      </c>
      <c r="H138" s="11" t="s">
        <v>412</v>
      </c>
      <c r="I138" s="16" t="s">
        <v>413</v>
      </c>
      <c r="J138" s="11" t="s">
        <v>25</v>
      </c>
      <c r="K138" s="1" t="b">
        <v>1</v>
      </c>
      <c r="L138" s="1" t="b">
        <v>0</v>
      </c>
      <c r="M138" s="5" t="b">
        <v>0</v>
      </c>
      <c r="N138" s="5" t="b">
        <v>0</v>
      </c>
      <c r="O138" s="1" t="b">
        <v>1</v>
      </c>
      <c r="P138" s="1" t="b">
        <v>1</v>
      </c>
      <c r="Q138" s="1"/>
      <c r="R138" s="5"/>
      <c r="S138" s="5"/>
      <c r="T138" s="5"/>
      <c r="U138" s="5"/>
      <c r="V138" s="5"/>
      <c r="W138" s="5"/>
      <c r="X138" s="5"/>
      <c r="Y138" s="5"/>
      <c r="Z138" s="5"/>
    </row>
    <row r="139" hidden="1">
      <c r="A139" s="5"/>
      <c r="B139" s="2"/>
      <c r="C139" s="26">
        <v>45730.0</v>
      </c>
      <c r="D139" s="13" t="s">
        <v>414</v>
      </c>
      <c r="E139" s="1" t="s">
        <v>415</v>
      </c>
      <c r="F139" s="1"/>
      <c r="G139" s="11" t="s">
        <v>28</v>
      </c>
      <c r="H139" s="43"/>
      <c r="I139" s="16" t="s">
        <v>416</v>
      </c>
      <c r="J139" s="11" t="s">
        <v>173</v>
      </c>
      <c r="K139" s="1" t="b">
        <v>1</v>
      </c>
      <c r="L139" s="1" t="b">
        <v>0</v>
      </c>
      <c r="M139" s="5" t="b">
        <v>0</v>
      </c>
      <c r="N139" s="5" t="b">
        <v>0</v>
      </c>
      <c r="O139" s="5" t="b">
        <v>0</v>
      </c>
      <c r="P139" s="1" t="b"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idden="1">
      <c r="A140" s="5"/>
      <c r="B140" s="2"/>
      <c r="C140" s="26">
        <v>45730.0</v>
      </c>
      <c r="D140" s="13" t="s">
        <v>417</v>
      </c>
      <c r="E140" s="1" t="s">
        <v>418</v>
      </c>
      <c r="F140" s="1"/>
      <c r="G140" s="11" t="s">
        <v>28</v>
      </c>
      <c r="H140" s="43"/>
      <c r="I140" s="16" t="s">
        <v>419</v>
      </c>
      <c r="J140" s="11" t="s">
        <v>233</v>
      </c>
      <c r="K140" s="1" t="b">
        <v>1</v>
      </c>
      <c r="L140" s="1" t="b">
        <v>0</v>
      </c>
      <c r="M140" s="5" t="b">
        <v>0</v>
      </c>
      <c r="N140" s="1" t="b">
        <v>1</v>
      </c>
      <c r="O140" s="5" t="b">
        <v>0</v>
      </c>
      <c r="P140" s="1" t="b">
        <v>0</v>
      </c>
      <c r="Q140" s="1" t="s">
        <v>420</v>
      </c>
      <c r="R140" s="5"/>
      <c r="S140" s="5"/>
      <c r="T140" s="5"/>
      <c r="U140" s="5"/>
      <c r="V140" s="5"/>
      <c r="W140" s="5"/>
      <c r="X140" s="5"/>
      <c r="Y140" s="5"/>
      <c r="Z140" s="5"/>
    </row>
    <row r="141" hidden="1">
      <c r="A141" s="5"/>
      <c r="B141" s="2"/>
      <c r="C141" s="26">
        <v>45731.0</v>
      </c>
      <c r="D141" s="13" t="s">
        <v>183</v>
      </c>
      <c r="E141" s="1" t="s">
        <v>184</v>
      </c>
      <c r="F141" s="1"/>
      <c r="G141" s="11" t="s">
        <v>45</v>
      </c>
      <c r="H141" s="43"/>
      <c r="I141" s="16" t="s">
        <v>421</v>
      </c>
      <c r="J141" s="11" t="s">
        <v>233</v>
      </c>
      <c r="K141" s="1" t="b">
        <v>1</v>
      </c>
      <c r="L141" s="1" t="b">
        <v>0</v>
      </c>
      <c r="M141" s="5" t="b">
        <v>0</v>
      </c>
      <c r="N141" s="5" t="b">
        <v>0</v>
      </c>
      <c r="O141" s="5" t="b">
        <v>0</v>
      </c>
      <c r="P141" s="1" t="b"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idden="1">
      <c r="A142" s="5"/>
      <c r="B142" s="2"/>
      <c r="C142" s="26">
        <v>45732.0</v>
      </c>
      <c r="D142" s="13" t="s">
        <v>422</v>
      </c>
      <c r="E142" s="1" t="s">
        <v>423</v>
      </c>
      <c r="F142" s="1"/>
      <c r="G142" s="11" t="s">
        <v>23</v>
      </c>
      <c r="H142" s="26">
        <v>45750.0</v>
      </c>
      <c r="I142" s="16" t="s">
        <v>424</v>
      </c>
      <c r="J142" s="11" t="s">
        <v>25</v>
      </c>
      <c r="K142" s="1" t="b">
        <v>1</v>
      </c>
      <c r="L142" s="1" t="b">
        <v>1</v>
      </c>
      <c r="M142" s="1" t="b">
        <v>1</v>
      </c>
      <c r="N142" s="5" t="b">
        <v>0</v>
      </c>
      <c r="O142" s="5" t="b">
        <v>0</v>
      </c>
      <c r="P142" s="1" t="b">
        <v>1</v>
      </c>
      <c r="Q142" s="1" t="s">
        <v>425</v>
      </c>
      <c r="R142" s="5"/>
      <c r="S142" s="5"/>
      <c r="T142" s="5"/>
      <c r="U142" s="5"/>
      <c r="V142" s="5"/>
      <c r="W142" s="5"/>
      <c r="X142" s="5"/>
      <c r="Y142" s="5"/>
      <c r="Z142" s="5"/>
    </row>
    <row r="143" hidden="1">
      <c r="A143" s="5"/>
      <c r="B143" s="2"/>
      <c r="C143" s="26">
        <v>45733.0</v>
      </c>
      <c r="D143" s="13" t="s">
        <v>426</v>
      </c>
      <c r="E143" s="5"/>
      <c r="F143" s="5"/>
      <c r="G143" s="11" t="s">
        <v>45</v>
      </c>
      <c r="H143" s="43"/>
      <c r="I143" s="16" t="s">
        <v>108</v>
      </c>
      <c r="J143" s="11" t="s">
        <v>25</v>
      </c>
      <c r="K143" s="1" t="b">
        <v>1</v>
      </c>
      <c r="L143" s="1" t="b">
        <v>0</v>
      </c>
      <c r="M143" s="5" t="b">
        <v>0</v>
      </c>
      <c r="N143" s="5" t="b">
        <v>0</v>
      </c>
      <c r="O143" s="1" t="b">
        <v>1</v>
      </c>
      <c r="P143" s="1" t="b">
        <v>1</v>
      </c>
      <c r="Q143" s="1" t="s">
        <v>427</v>
      </c>
      <c r="R143" s="5"/>
      <c r="S143" s="5"/>
      <c r="T143" s="5"/>
      <c r="U143" s="5"/>
      <c r="V143" s="5"/>
      <c r="W143" s="5"/>
      <c r="X143" s="5"/>
      <c r="Y143" s="5"/>
      <c r="Z143" s="5"/>
    </row>
    <row r="144" hidden="1">
      <c r="A144" s="5"/>
      <c r="B144" s="2"/>
      <c r="C144" s="26">
        <v>45741.0</v>
      </c>
      <c r="D144" s="13" t="s">
        <v>428</v>
      </c>
      <c r="E144" s="1" t="s">
        <v>429</v>
      </c>
      <c r="F144" s="1"/>
      <c r="G144" s="11" t="s">
        <v>23</v>
      </c>
      <c r="H144" s="43"/>
      <c r="I144" s="16" t="s">
        <v>430</v>
      </c>
      <c r="J144" s="11" t="s">
        <v>25</v>
      </c>
      <c r="K144" s="1" t="b">
        <v>1</v>
      </c>
      <c r="L144" s="1" t="b">
        <v>0</v>
      </c>
      <c r="M144" s="5" t="b">
        <v>0</v>
      </c>
      <c r="N144" s="5" t="b">
        <v>0</v>
      </c>
      <c r="O144" s="5" t="b">
        <v>0</v>
      </c>
      <c r="P144" s="1" t="b">
        <v>1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idden="1">
      <c r="A145" s="5"/>
      <c r="B145" s="2"/>
      <c r="C145" s="26">
        <v>45713.0</v>
      </c>
      <c r="D145" s="13" t="s">
        <v>431</v>
      </c>
      <c r="E145" s="5"/>
      <c r="F145" s="5"/>
      <c r="G145" s="11" t="s">
        <v>23</v>
      </c>
      <c r="H145" s="43"/>
      <c r="I145" s="7"/>
      <c r="J145" s="11" t="s">
        <v>173</v>
      </c>
      <c r="K145" s="1" t="b">
        <v>1</v>
      </c>
      <c r="L145" s="1" t="b">
        <v>0</v>
      </c>
      <c r="M145" s="5" t="b">
        <v>0</v>
      </c>
      <c r="N145" s="5" t="b">
        <v>0</v>
      </c>
      <c r="O145" s="5" t="b">
        <v>0</v>
      </c>
      <c r="P145" s="1" t="b"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idden="1">
      <c r="A146" s="5"/>
      <c r="B146" s="2"/>
      <c r="C146" s="26">
        <v>45741.0</v>
      </c>
      <c r="D146" s="58" t="s">
        <v>408</v>
      </c>
      <c r="E146" s="1" t="s">
        <v>111</v>
      </c>
      <c r="F146" s="1"/>
      <c r="G146" s="11" t="s">
        <v>28</v>
      </c>
      <c r="H146" s="11" t="s">
        <v>248</v>
      </c>
      <c r="I146" s="16" t="s">
        <v>432</v>
      </c>
      <c r="J146" s="11" t="s">
        <v>25</v>
      </c>
      <c r="K146" s="1" t="b">
        <v>1</v>
      </c>
      <c r="L146" s="1" t="b">
        <v>0</v>
      </c>
      <c r="M146" s="5" t="b">
        <v>0</v>
      </c>
      <c r="N146" s="5" t="b">
        <v>0</v>
      </c>
      <c r="O146" s="1" t="b">
        <v>1</v>
      </c>
      <c r="P146" s="1" t="b">
        <v>1</v>
      </c>
      <c r="Q146" s="1" t="s">
        <v>433</v>
      </c>
      <c r="R146" s="5"/>
      <c r="S146" s="5"/>
      <c r="T146" s="5"/>
      <c r="U146" s="5"/>
      <c r="V146" s="5"/>
      <c r="W146" s="5"/>
      <c r="X146" s="5"/>
      <c r="Y146" s="5"/>
      <c r="Z146" s="5"/>
    </row>
    <row r="147" hidden="1">
      <c r="A147" s="5"/>
      <c r="B147" s="2"/>
      <c r="C147" s="26">
        <v>45741.0</v>
      </c>
      <c r="D147" s="13" t="s">
        <v>72</v>
      </c>
      <c r="E147" s="1" t="s">
        <v>434</v>
      </c>
      <c r="F147" s="1"/>
      <c r="G147" s="11" t="s">
        <v>23</v>
      </c>
      <c r="H147" s="43"/>
      <c r="I147" s="16" t="s">
        <v>435</v>
      </c>
      <c r="J147" s="11" t="s">
        <v>25</v>
      </c>
      <c r="K147" s="1" t="b">
        <v>1</v>
      </c>
      <c r="L147" s="1" t="b">
        <v>0</v>
      </c>
      <c r="M147" s="5" t="b">
        <v>0</v>
      </c>
      <c r="N147" s="5" t="b">
        <v>0</v>
      </c>
      <c r="O147" s="5" t="b">
        <v>0</v>
      </c>
      <c r="P147" s="1" t="b">
        <v>1</v>
      </c>
      <c r="Q147" s="1" t="s">
        <v>436</v>
      </c>
      <c r="R147" s="5"/>
      <c r="S147" s="5"/>
      <c r="T147" s="5"/>
      <c r="U147" s="5"/>
      <c r="V147" s="5"/>
      <c r="W147" s="5"/>
      <c r="X147" s="5"/>
      <c r="Y147" s="5"/>
      <c r="Z147" s="5"/>
    </row>
    <row r="148" hidden="1">
      <c r="A148" s="5"/>
      <c r="B148" s="2"/>
      <c r="C148" s="26">
        <v>45741.0</v>
      </c>
      <c r="D148" s="58" t="s">
        <v>437</v>
      </c>
      <c r="E148" s="1"/>
      <c r="F148" s="1"/>
      <c r="G148" s="11" t="s">
        <v>23</v>
      </c>
      <c r="H148" s="11" t="s">
        <v>248</v>
      </c>
      <c r="I148" s="16" t="s">
        <v>438</v>
      </c>
      <c r="J148" s="11" t="s">
        <v>25</v>
      </c>
      <c r="K148" s="1" t="b">
        <v>1</v>
      </c>
      <c r="L148" s="1" t="b">
        <v>0</v>
      </c>
      <c r="M148" s="5" t="b">
        <v>0</v>
      </c>
      <c r="N148" s="5" t="b">
        <v>0</v>
      </c>
      <c r="O148" s="1" t="b">
        <v>1</v>
      </c>
      <c r="P148" s="1" t="b">
        <v>1</v>
      </c>
      <c r="Q148" s="1" t="s">
        <v>439</v>
      </c>
      <c r="R148" s="5"/>
      <c r="S148" s="5"/>
      <c r="T148" s="5"/>
      <c r="U148" s="5"/>
      <c r="V148" s="5"/>
      <c r="W148" s="5"/>
      <c r="X148" s="5"/>
      <c r="Y148" s="5"/>
      <c r="Z148" s="5"/>
    </row>
    <row r="149" hidden="1">
      <c r="A149" s="5"/>
      <c r="B149" s="2"/>
      <c r="C149" s="26">
        <v>45741.0</v>
      </c>
      <c r="D149" s="13" t="s">
        <v>440</v>
      </c>
      <c r="E149" s="1" t="s">
        <v>441</v>
      </c>
      <c r="F149" s="1"/>
      <c r="G149" s="11" t="s">
        <v>23</v>
      </c>
      <c r="H149" s="43"/>
      <c r="I149" s="16" t="s">
        <v>442</v>
      </c>
      <c r="J149" s="11" t="s">
        <v>173</v>
      </c>
      <c r="K149" s="1" t="b">
        <v>1</v>
      </c>
      <c r="L149" s="1" t="b">
        <v>0</v>
      </c>
      <c r="M149" s="5" t="b">
        <v>0</v>
      </c>
      <c r="N149" s="5" t="b">
        <v>0</v>
      </c>
      <c r="O149" s="5" t="b">
        <v>0</v>
      </c>
      <c r="P149" s="1" t="b">
        <v>0</v>
      </c>
      <c r="Q149" s="1" t="s">
        <v>443</v>
      </c>
      <c r="R149" s="5"/>
      <c r="S149" s="5"/>
      <c r="T149" s="5"/>
      <c r="U149" s="5"/>
      <c r="V149" s="5"/>
      <c r="W149" s="5"/>
      <c r="X149" s="5"/>
      <c r="Y149" s="5"/>
      <c r="Z149" s="5"/>
    </row>
    <row r="150" hidden="1">
      <c r="A150" s="5"/>
      <c r="B150" s="2"/>
      <c r="C150" s="26">
        <v>45741.0</v>
      </c>
      <c r="D150" s="13" t="s">
        <v>444</v>
      </c>
      <c r="E150" s="1" t="s">
        <v>445</v>
      </c>
      <c r="F150" s="1"/>
      <c r="G150" s="11" t="s">
        <v>28</v>
      </c>
      <c r="H150" s="43"/>
      <c r="I150" s="16" t="s">
        <v>446</v>
      </c>
      <c r="J150" s="11" t="s">
        <v>25</v>
      </c>
      <c r="K150" s="1" t="b">
        <v>1</v>
      </c>
      <c r="L150" s="1" t="b">
        <v>0</v>
      </c>
      <c r="M150" s="5" t="b">
        <v>0</v>
      </c>
      <c r="N150" s="5" t="b">
        <v>0</v>
      </c>
      <c r="O150" s="5" t="b">
        <v>0</v>
      </c>
      <c r="P150" s="1" t="b">
        <v>0</v>
      </c>
      <c r="Q150" s="1" t="s">
        <v>447</v>
      </c>
      <c r="R150" s="5"/>
      <c r="S150" s="5"/>
      <c r="T150" s="5"/>
      <c r="U150" s="5"/>
      <c r="V150" s="5"/>
      <c r="W150" s="5"/>
      <c r="X150" s="5"/>
      <c r="Y150" s="5"/>
      <c r="Z150" s="5"/>
    </row>
    <row r="151" hidden="1">
      <c r="A151" s="5"/>
      <c r="B151" s="2"/>
      <c r="C151" s="26">
        <v>45742.0</v>
      </c>
      <c r="D151" s="13" t="s">
        <v>448</v>
      </c>
      <c r="E151" s="1" t="s">
        <v>449</v>
      </c>
      <c r="F151" s="1"/>
      <c r="G151" s="11" t="s">
        <v>28</v>
      </c>
      <c r="H151" s="26">
        <v>45751.0</v>
      </c>
      <c r="I151" s="16" t="s">
        <v>450</v>
      </c>
      <c r="J151" s="11" t="s">
        <v>25</v>
      </c>
      <c r="K151" s="1" t="b">
        <v>0</v>
      </c>
      <c r="L151" s="1" t="b">
        <v>0</v>
      </c>
      <c r="M151" s="5" t="b">
        <v>0</v>
      </c>
      <c r="N151" s="5" t="b">
        <v>0</v>
      </c>
      <c r="O151" s="5" t="b">
        <v>0</v>
      </c>
      <c r="P151" s="1" t="b">
        <v>0</v>
      </c>
      <c r="Q151" s="1" t="s">
        <v>451</v>
      </c>
      <c r="R151" s="5"/>
      <c r="S151" s="5"/>
      <c r="T151" s="5"/>
      <c r="U151" s="5"/>
      <c r="V151" s="5"/>
      <c r="W151" s="5"/>
      <c r="X151" s="5"/>
      <c r="Y151" s="5"/>
      <c r="Z151" s="5"/>
    </row>
    <row r="152" hidden="1">
      <c r="A152" s="5"/>
      <c r="B152" s="2"/>
      <c r="C152" s="26">
        <v>45743.0</v>
      </c>
      <c r="D152" s="13" t="s">
        <v>452</v>
      </c>
      <c r="E152" s="1" t="s">
        <v>453</v>
      </c>
      <c r="F152" s="1"/>
      <c r="G152" s="11" t="s">
        <v>28</v>
      </c>
      <c r="H152" s="26">
        <v>45751.0</v>
      </c>
      <c r="I152" s="16" t="s">
        <v>454</v>
      </c>
      <c r="J152" s="11" t="s">
        <v>25</v>
      </c>
      <c r="K152" s="1" t="b">
        <v>1</v>
      </c>
      <c r="L152" s="1" t="b">
        <v>0</v>
      </c>
      <c r="M152" s="5"/>
      <c r="N152" s="5" t="b">
        <v>0</v>
      </c>
      <c r="O152" s="5" t="b">
        <v>0</v>
      </c>
      <c r="P152" s="1" t="b">
        <v>0</v>
      </c>
      <c r="Q152" s="1" t="s">
        <v>451</v>
      </c>
      <c r="R152" s="5"/>
      <c r="S152" s="5"/>
      <c r="T152" s="5"/>
      <c r="U152" s="5"/>
      <c r="V152" s="5"/>
      <c r="W152" s="5"/>
      <c r="X152" s="5"/>
      <c r="Y152" s="5"/>
      <c r="Z152" s="5"/>
    </row>
    <row r="153" hidden="1">
      <c r="A153" s="5"/>
      <c r="B153" s="2"/>
      <c r="C153" s="26">
        <v>45743.0</v>
      </c>
      <c r="D153" s="13" t="s">
        <v>455</v>
      </c>
      <c r="E153" s="1" t="s">
        <v>54</v>
      </c>
      <c r="F153" s="1"/>
      <c r="G153" s="11" t="s">
        <v>23</v>
      </c>
      <c r="H153" s="43"/>
      <c r="I153" s="16" t="s">
        <v>456</v>
      </c>
      <c r="J153" s="11" t="s">
        <v>233</v>
      </c>
      <c r="K153" s="1" t="b">
        <v>0</v>
      </c>
      <c r="L153" s="1" t="b">
        <v>0</v>
      </c>
      <c r="M153" s="5" t="b">
        <v>0</v>
      </c>
      <c r="N153" s="5" t="b">
        <v>0</v>
      </c>
      <c r="O153" s="5" t="b">
        <v>0</v>
      </c>
      <c r="P153" s="1" t="b">
        <v>0</v>
      </c>
      <c r="Q153" s="1" t="s">
        <v>381</v>
      </c>
      <c r="R153" s="5"/>
      <c r="S153" s="5"/>
      <c r="T153" s="5"/>
      <c r="U153" s="5"/>
      <c r="V153" s="5"/>
      <c r="W153" s="5"/>
      <c r="X153" s="5"/>
      <c r="Y153" s="5"/>
      <c r="Z153" s="5"/>
    </row>
    <row r="154" hidden="1">
      <c r="A154" s="5"/>
      <c r="B154" s="2"/>
      <c r="C154" s="26">
        <v>45743.0</v>
      </c>
      <c r="D154" s="13" t="s">
        <v>457</v>
      </c>
      <c r="E154" s="1" t="s">
        <v>458</v>
      </c>
      <c r="F154" s="1"/>
      <c r="G154" s="11" t="s">
        <v>45</v>
      </c>
      <c r="H154" s="43"/>
      <c r="I154" s="16" t="s">
        <v>459</v>
      </c>
      <c r="J154" s="11" t="s">
        <v>173</v>
      </c>
      <c r="K154" s="1" t="b">
        <v>0</v>
      </c>
      <c r="L154" s="1" t="b">
        <v>0</v>
      </c>
      <c r="M154" s="5" t="b">
        <v>0</v>
      </c>
      <c r="N154" s="5" t="b">
        <v>0</v>
      </c>
      <c r="O154" s="5" t="b">
        <v>0</v>
      </c>
      <c r="P154" s="1" t="b"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idden="1">
      <c r="A155" s="5"/>
      <c r="B155" s="2"/>
      <c r="C155" s="26">
        <v>45743.0</v>
      </c>
      <c r="D155" s="13" t="s">
        <v>460</v>
      </c>
      <c r="E155" s="5"/>
      <c r="F155" s="5"/>
      <c r="G155" s="11" t="s">
        <v>28</v>
      </c>
      <c r="H155" s="43"/>
      <c r="I155" s="7"/>
      <c r="J155" s="11" t="s">
        <v>173</v>
      </c>
      <c r="K155" s="1" t="b">
        <v>0</v>
      </c>
      <c r="L155" s="1" t="b">
        <v>0</v>
      </c>
      <c r="M155" s="5" t="b">
        <v>0</v>
      </c>
      <c r="N155" s="5" t="b">
        <v>0</v>
      </c>
      <c r="O155" s="5" t="b">
        <v>0</v>
      </c>
      <c r="P155" s="1" t="b">
        <v>0</v>
      </c>
      <c r="Q155" s="1" t="s">
        <v>461</v>
      </c>
      <c r="R155" s="5"/>
      <c r="S155" s="5"/>
      <c r="T155" s="5"/>
      <c r="U155" s="5"/>
      <c r="V155" s="5"/>
      <c r="W155" s="5"/>
      <c r="X155" s="5"/>
      <c r="Y155" s="5"/>
      <c r="Z155" s="5"/>
    </row>
    <row r="156" hidden="1">
      <c r="A156" s="5"/>
      <c r="B156" s="2"/>
      <c r="C156" s="26">
        <v>45747.0</v>
      </c>
      <c r="D156" s="13" t="s">
        <v>462</v>
      </c>
      <c r="E156" s="1" t="s">
        <v>463</v>
      </c>
      <c r="F156" s="1"/>
      <c r="G156" s="11" t="s">
        <v>28</v>
      </c>
      <c r="H156" s="43"/>
      <c r="I156" s="16" t="s">
        <v>464</v>
      </c>
      <c r="J156" s="11" t="s">
        <v>25</v>
      </c>
      <c r="K156" s="1" t="b">
        <v>0</v>
      </c>
      <c r="L156" s="1" t="b">
        <v>0</v>
      </c>
      <c r="M156" s="5" t="b">
        <v>0</v>
      </c>
      <c r="N156" s="5" t="b">
        <v>0</v>
      </c>
      <c r="O156" s="5" t="b">
        <v>0</v>
      </c>
      <c r="P156" s="1" t="b">
        <v>0</v>
      </c>
      <c r="Q156" s="1" t="s">
        <v>451</v>
      </c>
      <c r="R156" s="5"/>
      <c r="S156" s="5"/>
      <c r="T156" s="5"/>
      <c r="U156" s="5"/>
      <c r="V156" s="5"/>
      <c r="W156" s="5"/>
      <c r="X156" s="5"/>
      <c r="Y156" s="5"/>
      <c r="Z156" s="5"/>
    </row>
    <row r="157" hidden="1">
      <c r="A157" s="5"/>
      <c r="B157" s="2"/>
      <c r="C157" s="26">
        <v>45748.0</v>
      </c>
      <c r="D157" s="13" t="s">
        <v>465</v>
      </c>
      <c r="E157" s="1" t="s">
        <v>466</v>
      </c>
      <c r="F157" s="1"/>
      <c r="G157" s="11" t="s">
        <v>23</v>
      </c>
      <c r="H157" s="43"/>
      <c r="I157" s="16" t="s">
        <v>467</v>
      </c>
      <c r="J157" s="11" t="s">
        <v>233</v>
      </c>
      <c r="K157" s="1" t="b">
        <v>1</v>
      </c>
      <c r="L157" s="1" t="b">
        <v>0</v>
      </c>
      <c r="M157" s="5" t="b">
        <v>0</v>
      </c>
      <c r="N157" s="5" t="b">
        <v>0</v>
      </c>
      <c r="O157" s="5" t="b">
        <v>0</v>
      </c>
      <c r="P157" s="1" t="b">
        <v>0</v>
      </c>
      <c r="Q157" s="1" t="s">
        <v>468</v>
      </c>
      <c r="R157" s="5"/>
      <c r="S157" s="5"/>
      <c r="T157" s="5"/>
      <c r="U157" s="5"/>
      <c r="V157" s="5"/>
      <c r="W157" s="5"/>
      <c r="X157" s="5"/>
      <c r="Y157" s="5"/>
      <c r="Z157" s="5"/>
    </row>
    <row r="158" hidden="1">
      <c r="A158" s="5"/>
      <c r="B158" s="11">
        <v>2.0</v>
      </c>
      <c r="C158" s="26">
        <v>45748.0</v>
      </c>
      <c r="D158" s="13" t="s">
        <v>469</v>
      </c>
      <c r="E158" s="1" t="s">
        <v>470</v>
      </c>
      <c r="F158" s="1">
        <v>7.76151612E8</v>
      </c>
      <c r="G158" s="11" t="s">
        <v>45</v>
      </c>
      <c r="H158" s="43"/>
      <c r="I158" s="16" t="s">
        <v>471</v>
      </c>
      <c r="J158" s="11" t="s">
        <v>25</v>
      </c>
      <c r="K158" s="1" t="b">
        <v>1</v>
      </c>
      <c r="L158" s="1" t="b">
        <v>0</v>
      </c>
      <c r="M158" s="5" t="b">
        <v>0</v>
      </c>
      <c r="N158" s="5" t="b">
        <v>0</v>
      </c>
      <c r="O158" s="5" t="b">
        <v>0</v>
      </c>
      <c r="P158" s="1" t="b">
        <v>1</v>
      </c>
      <c r="Q158" s="1" t="s">
        <v>472</v>
      </c>
      <c r="R158" s="5"/>
      <c r="S158" s="5"/>
      <c r="T158" s="5"/>
      <c r="U158" s="5"/>
      <c r="V158" s="5"/>
      <c r="W158" s="5"/>
      <c r="X158" s="5"/>
      <c r="Y158" s="5"/>
      <c r="Z158" s="5"/>
    </row>
    <row r="159" hidden="1">
      <c r="A159" s="5"/>
      <c r="B159" s="2"/>
      <c r="C159" s="26">
        <v>45748.0</v>
      </c>
      <c r="D159" s="13" t="s">
        <v>473</v>
      </c>
      <c r="E159" s="5"/>
      <c r="F159" s="5"/>
      <c r="G159" s="11"/>
      <c r="H159" s="43"/>
      <c r="I159" s="16" t="s">
        <v>474</v>
      </c>
      <c r="J159" s="11" t="s">
        <v>25</v>
      </c>
      <c r="K159" s="1" t="b">
        <v>0</v>
      </c>
      <c r="L159" s="1" t="b">
        <v>0</v>
      </c>
      <c r="M159" s="5" t="b">
        <v>0</v>
      </c>
      <c r="N159" s="5" t="b">
        <v>0</v>
      </c>
      <c r="O159" s="5" t="b">
        <v>0</v>
      </c>
      <c r="P159" s="1" t="b">
        <v>0</v>
      </c>
      <c r="Q159" s="1" t="s">
        <v>475</v>
      </c>
      <c r="R159" s="5"/>
      <c r="S159" s="5"/>
      <c r="T159" s="5"/>
      <c r="U159" s="5"/>
      <c r="V159" s="5"/>
      <c r="W159" s="5"/>
      <c r="X159" s="5"/>
      <c r="Y159" s="5"/>
      <c r="Z159" s="5"/>
    </row>
    <row r="160" hidden="1">
      <c r="A160" s="5"/>
      <c r="B160" s="2"/>
      <c r="C160" s="26">
        <v>45748.0</v>
      </c>
      <c r="D160" s="13" t="s">
        <v>299</v>
      </c>
      <c r="E160" s="5"/>
      <c r="F160" s="5"/>
      <c r="G160" s="11" t="s">
        <v>28</v>
      </c>
      <c r="H160" s="43"/>
      <c r="I160" s="16" t="s">
        <v>476</v>
      </c>
      <c r="J160" s="11" t="s">
        <v>25</v>
      </c>
      <c r="K160" s="1" t="b">
        <v>1</v>
      </c>
      <c r="L160" s="1" t="b">
        <v>0</v>
      </c>
      <c r="M160" s="5" t="b">
        <v>0</v>
      </c>
      <c r="N160" s="5" t="b">
        <v>0</v>
      </c>
      <c r="O160" s="5" t="b">
        <v>0</v>
      </c>
      <c r="P160" s="1" t="b">
        <v>1</v>
      </c>
      <c r="Q160" s="1" t="s">
        <v>477</v>
      </c>
      <c r="R160" s="5"/>
      <c r="S160" s="5"/>
      <c r="T160" s="5"/>
      <c r="U160" s="5"/>
      <c r="V160" s="5"/>
      <c r="W160" s="5"/>
      <c r="X160" s="5"/>
      <c r="Y160" s="5"/>
      <c r="Z160" s="5"/>
    </row>
    <row r="161" hidden="1">
      <c r="A161" s="5"/>
      <c r="B161" s="2"/>
      <c r="C161" s="26">
        <v>45748.0</v>
      </c>
      <c r="D161" s="13" t="s">
        <v>478</v>
      </c>
      <c r="E161" s="5"/>
      <c r="F161" s="5"/>
      <c r="G161" s="11" t="s">
        <v>28</v>
      </c>
      <c r="H161" s="43"/>
      <c r="I161" s="16" t="s">
        <v>476</v>
      </c>
      <c r="J161" s="11" t="s">
        <v>25</v>
      </c>
      <c r="K161" s="1" t="b">
        <v>1</v>
      </c>
      <c r="L161" s="1" t="b">
        <v>0</v>
      </c>
      <c r="M161" s="5" t="b">
        <v>0</v>
      </c>
      <c r="N161" s="5" t="b">
        <v>0</v>
      </c>
      <c r="O161" s="5" t="b">
        <v>0</v>
      </c>
      <c r="P161" s="1" t="b">
        <v>1</v>
      </c>
      <c r="Q161" s="1" t="s">
        <v>479</v>
      </c>
      <c r="R161" s="5"/>
      <c r="S161" s="5"/>
      <c r="T161" s="5"/>
      <c r="U161" s="5"/>
      <c r="V161" s="5"/>
      <c r="W161" s="5"/>
      <c r="X161" s="5"/>
      <c r="Y161" s="5"/>
      <c r="Z161" s="5"/>
    </row>
    <row r="162" hidden="1">
      <c r="A162" s="5"/>
      <c r="B162" s="2"/>
      <c r="C162" s="26">
        <v>45748.0</v>
      </c>
      <c r="D162" s="58" t="s">
        <v>68</v>
      </c>
      <c r="E162" s="5"/>
      <c r="F162" s="5"/>
      <c r="G162" s="11" t="s">
        <v>28</v>
      </c>
      <c r="H162" s="43"/>
      <c r="I162" s="16" t="s">
        <v>480</v>
      </c>
      <c r="J162" s="11" t="s">
        <v>25</v>
      </c>
      <c r="K162" s="1" t="b">
        <v>1</v>
      </c>
      <c r="L162" s="1" t="b">
        <v>0</v>
      </c>
      <c r="M162" s="5" t="b">
        <v>0</v>
      </c>
      <c r="N162" s="5" t="b">
        <v>0</v>
      </c>
      <c r="O162" s="5" t="b">
        <v>0</v>
      </c>
      <c r="P162" s="1" t="b">
        <v>0</v>
      </c>
      <c r="Q162" s="1" t="s">
        <v>481</v>
      </c>
      <c r="R162" s="5"/>
      <c r="S162" s="5"/>
      <c r="T162" s="5"/>
      <c r="U162" s="5"/>
      <c r="V162" s="5"/>
      <c r="W162" s="5"/>
      <c r="X162" s="5"/>
      <c r="Y162" s="5"/>
      <c r="Z162" s="5"/>
    </row>
    <row r="163" hidden="1">
      <c r="A163" s="5"/>
      <c r="B163" s="2"/>
      <c r="C163" s="26">
        <v>45748.0</v>
      </c>
      <c r="D163" s="13" t="s">
        <v>482</v>
      </c>
      <c r="E163" s="1" t="s">
        <v>483</v>
      </c>
      <c r="F163" s="1"/>
      <c r="G163" s="11" t="s">
        <v>23</v>
      </c>
      <c r="H163" s="43"/>
      <c r="I163" s="16" t="s">
        <v>484</v>
      </c>
      <c r="J163" s="11" t="s">
        <v>173</v>
      </c>
      <c r="K163" s="1" t="b">
        <v>1</v>
      </c>
      <c r="L163" s="1" t="b">
        <v>0</v>
      </c>
      <c r="M163" s="5" t="b">
        <v>0</v>
      </c>
      <c r="N163" s="5" t="b">
        <v>0</v>
      </c>
      <c r="O163" s="5" t="b">
        <v>0</v>
      </c>
      <c r="P163" s="1" t="b"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idden="1">
      <c r="A164" s="5"/>
      <c r="B164" s="2"/>
      <c r="C164" s="26">
        <v>45748.0</v>
      </c>
      <c r="D164" s="13" t="s">
        <v>485</v>
      </c>
      <c r="E164" s="1" t="s">
        <v>486</v>
      </c>
      <c r="F164" s="1"/>
      <c r="G164" s="11" t="s">
        <v>28</v>
      </c>
      <c r="H164" s="43"/>
      <c r="I164" s="16" t="s">
        <v>487</v>
      </c>
      <c r="J164" s="11" t="s">
        <v>25</v>
      </c>
      <c r="K164" s="1" t="b">
        <v>1</v>
      </c>
      <c r="L164" s="1" t="b">
        <v>0</v>
      </c>
      <c r="M164" s="5" t="b">
        <v>0</v>
      </c>
      <c r="N164" s="5" t="b">
        <v>0</v>
      </c>
      <c r="O164" s="5" t="b">
        <v>0</v>
      </c>
      <c r="P164" s="1" t="b">
        <v>1</v>
      </c>
      <c r="Q164" s="1" t="s">
        <v>108</v>
      </c>
      <c r="R164" s="5"/>
      <c r="S164" s="5"/>
      <c r="T164" s="5"/>
      <c r="U164" s="5"/>
      <c r="V164" s="5"/>
      <c r="W164" s="5"/>
      <c r="X164" s="5"/>
      <c r="Y164" s="5"/>
      <c r="Z164" s="5"/>
    </row>
    <row r="165" hidden="1">
      <c r="A165" s="5"/>
      <c r="B165" s="2"/>
      <c r="C165" s="26">
        <v>45748.0</v>
      </c>
      <c r="D165" s="13" t="s">
        <v>488</v>
      </c>
      <c r="E165" s="1" t="s">
        <v>489</v>
      </c>
      <c r="F165" s="1"/>
      <c r="G165" s="11" t="s">
        <v>28</v>
      </c>
      <c r="H165" s="43"/>
      <c r="I165" s="16" t="s">
        <v>490</v>
      </c>
      <c r="J165" s="11" t="s">
        <v>25</v>
      </c>
      <c r="K165" s="1" t="b">
        <v>1</v>
      </c>
      <c r="L165" s="1" t="b">
        <v>0</v>
      </c>
      <c r="M165" s="5" t="b">
        <v>0</v>
      </c>
      <c r="N165" s="5" t="b">
        <v>0</v>
      </c>
      <c r="O165" s="5" t="b">
        <v>0</v>
      </c>
      <c r="P165" s="1" t="b">
        <v>1</v>
      </c>
      <c r="Q165" s="1" t="s">
        <v>491</v>
      </c>
      <c r="R165" s="5"/>
      <c r="S165" s="5"/>
      <c r="T165" s="5"/>
      <c r="U165" s="5"/>
      <c r="V165" s="5"/>
      <c r="W165" s="5"/>
      <c r="X165" s="5"/>
      <c r="Y165" s="5"/>
      <c r="Z165" s="5"/>
    </row>
    <row r="166" hidden="1">
      <c r="A166" s="5"/>
      <c r="B166" s="2"/>
      <c r="C166" s="26">
        <v>45748.0</v>
      </c>
      <c r="D166" s="13" t="s">
        <v>492</v>
      </c>
      <c r="E166" s="1" t="s">
        <v>493</v>
      </c>
      <c r="F166" s="1"/>
      <c r="G166" s="11" t="s">
        <v>28</v>
      </c>
      <c r="H166" s="43"/>
      <c r="I166" s="16" t="s">
        <v>494</v>
      </c>
      <c r="J166" s="11" t="s">
        <v>25</v>
      </c>
      <c r="K166" s="1" t="b">
        <v>1</v>
      </c>
      <c r="L166" s="1" t="b">
        <v>0</v>
      </c>
      <c r="M166" s="5" t="b">
        <v>0</v>
      </c>
      <c r="N166" s="5" t="b">
        <v>0</v>
      </c>
      <c r="O166" s="5" t="b">
        <v>0</v>
      </c>
      <c r="P166" s="1" t="b">
        <v>0</v>
      </c>
      <c r="Q166" s="1" t="s">
        <v>495</v>
      </c>
      <c r="R166" s="5"/>
      <c r="S166" s="5"/>
      <c r="T166" s="5"/>
      <c r="U166" s="5"/>
      <c r="V166" s="5"/>
      <c r="W166" s="5"/>
      <c r="X166" s="5"/>
      <c r="Y166" s="5"/>
      <c r="Z166" s="5"/>
    </row>
    <row r="167" hidden="1">
      <c r="A167" s="5"/>
      <c r="B167" s="2"/>
      <c r="C167" s="26">
        <v>45755.0</v>
      </c>
      <c r="D167" s="13" t="s">
        <v>414</v>
      </c>
      <c r="E167" s="1" t="s">
        <v>496</v>
      </c>
      <c r="F167" s="1"/>
      <c r="G167" s="11" t="s">
        <v>28</v>
      </c>
      <c r="H167" s="43"/>
      <c r="I167" s="16" t="s">
        <v>497</v>
      </c>
      <c r="J167" s="11" t="s">
        <v>25</v>
      </c>
      <c r="K167" s="1" t="b">
        <v>1</v>
      </c>
      <c r="L167" s="1" t="b">
        <v>1</v>
      </c>
      <c r="M167" s="1" t="b">
        <v>1</v>
      </c>
      <c r="N167" s="5" t="b">
        <v>0</v>
      </c>
      <c r="O167" s="1" t="b">
        <v>1</v>
      </c>
      <c r="P167" s="1" t="b">
        <v>1</v>
      </c>
      <c r="Q167" s="1"/>
      <c r="R167" s="5"/>
      <c r="S167" s="5"/>
      <c r="T167" s="5"/>
      <c r="U167" s="5"/>
      <c r="V167" s="5"/>
      <c r="W167" s="5"/>
      <c r="X167" s="5"/>
      <c r="Y167" s="5"/>
      <c r="Z167" s="5"/>
    </row>
    <row r="168" hidden="1">
      <c r="A168" s="5"/>
      <c r="B168" s="2"/>
      <c r="C168" s="26">
        <v>45755.0</v>
      </c>
      <c r="D168" s="13" t="s">
        <v>498</v>
      </c>
      <c r="E168" s="1"/>
      <c r="F168" s="1"/>
      <c r="G168" s="11" t="s">
        <v>23</v>
      </c>
      <c r="H168" s="43"/>
      <c r="I168" s="16" t="s">
        <v>499</v>
      </c>
      <c r="J168" s="11" t="s">
        <v>173</v>
      </c>
      <c r="K168" s="1" t="b">
        <v>1</v>
      </c>
      <c r="L168" s="1" t="b">
        <v>0</v>
      </c>
      <c r="M168" s="5" t="b">
        <v>0</v>
      </c>
      <c r="N168" s="5" t="b">
        <v>0</v>
      </c>
      <c r="O168" s="5" t="b">
        <v>0</v>
      </c>
      <c r="P168" s="1" t="b"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idden="1">
      <c r="A169" s="5"/>
      <c r="B169" s="2"/>
      <c r="C169" s="26">
        <v>45756.0</v>
      </c>
      <c r="D169" s="13" t="s">
        <v>500</v>
      </c>
      <c r="E169" s="1" t="s">
        <v>501</v>
      </c>
      <c r="F169" s="1"/>
      <c r="G169" s="11" t="s">
        <v>23</v>
      </c>
      <c r="H169" s="43"/>
      <c r="I169" s="16" t="s">
        <v>502</v>
      </c>
      <c r="J169" s="11" t="s">
        <v>173</v>
      </c>
      <c r="K169" s="1" t="b">
        <v>1</v>
      </c>
      <c r="L169" s="1" t="b">
        <v>0</v>
      </c>
      <c r="M169" s="5" t="b">
        <v>0</v>
      </c>
      <c r="N169" s="5" t="b">
        <v>0</v>
      </c>
      <c r="O169" s="5" t="b">
        <v>0</v>
      </c>
      <c r="P169" s="1" t="b">
        <v>0</v>
      </c>
      <c r="Q169" s="1" t="s">
        <v>468</v>
      </c>
      <c r="R169" s="5"/>
      <c r="S169" s="5"/>
      <c r="T169" s="5"/>
      <c r="U169" s="5"/>
      <c r="V169" s="5"/>
      <c r="W169" s="5"/>
      <c r="X169" s="5"/>
      <c r="Y169" s="5"/>
      <c r="Z169" s="5"/>
    </row>
    <row r="170" hidden="1">
      <c r="A170" s="5"/>
      <c r="B170" s="2"/>
      <c r="C170" s="26">
        <v>45748.0</v>
      </c>
      <c r="D170" s="13" t="s">
        <v>503</v>
      </c>
      <c r="E170" s="1" t="s">
        <v>504</v>
      </c>
      <c r="F170" s="1"/>
      <c r="G170" s="11" t="s">
        <v>23</v>
      </c>
      <c r="H170" s="43"/>
      <c r="I170" s="16" t="s">
        <v>505</v>
      </c>
      <c r="J170" s="11" t="s">
        <v>173</v>
      </c>
      <c r="K170" s="1" t="b">
        <v>1</v>
      </c>
      <c r="L170" s="1" t="b">
        <v>0</v>
      </c>
      <c r="M170" s="5" t="b">
        <v>0</v>
      </c>
      <c r="N170" s="5" t="b">
        <v>0</v>
      </c>
      <c r="O170" s="5" t="b">
        <v>0</v>
      </c>
      <c r="P170" s="1" t="b">
        <v>0</v>
      </c>
      <c r="Q170" s="1"/>
      <c r="R170" s="5"/>
      <c r="S170" s="5"/>
      <c r="T170" s="5"/>
      <c r="U170" s="5"/>
      <c r="V170" s="5"/>
      <c r="W170" s="5"/>
      <c r="X170" s="5"/>
      <c r="Y170" s="5"/>
      <c r="Z170" s="5"/>
    </row>
    <row r="171" hidden="1">
      <c r="A171" s="5"/>
      <c r="B171" s="2"/>
      <c r="C171" s="26">
        <v>45755.0</v>
      </c>
      <c r="D171" s="58" t="s">
        <v>506</v>
      </c>
      <c r="E171" s="1" t="s">
        <v>141</v>
      </c>
      <c r="F171" s="1"/>
      <c r="G171" s="11" t="s">
        <v>23</v>
      </c>
      <c r="H171" s="11"/>
      <c r="I171" s="16" t="s">
        <v>507</v>
      </c>
      <c r="J171" s="11" t="s">
        <v>25</v>
      </c>
      <c r="K171" s="1" t="b">
        <v>1</v>
      </c>
      <c r="L171" s="1" t="b">
        <v>1</v>
      </c>
      <c r="M171" s="5" t="b">
        <v>0</v>
      </c>
      <c r="N171" s="5" t="b">
        <v>0</v>
      </c>
      <c r="O171" s="5" t="b">
        <v>0</v>
      </c>
      <c r="P171" s="1" t="b">
        <v>0</v>
      </c>
      <c r="Q171" s="1" t="s">
        <v>508</v>
      </c>
      <c r="R171" s="5"/>
      <c r="S171" s="5"/>
      <c r="T171" s="5"/>
      <c r="U171" s="5"/>
      <c r="V171" s="5"/>
      <c r="W171" s="5"/>
      <c r="X171" s="5"/>
      <c r="Y171" s="5"/>
      <c r="Z171" s="5"/>
    </row>
    <row r="172" hidden="1">
      <c r="A172" s="5"/>
      <c r="B172" s="2"/>
      <c r="C172" s="26">
        <v>45755.0</v>
      </c>
      <c r="D172" s="58" t="s">
        <v>64</v>
      </c>
      <c r="E172" s="1" t="s">
        <v>65</v>
      </c>
      <c r="F172" s="1"/>
      <c r="G172" s="11" t="s">
        <v>23</v>
      </c>
      <c r="H172" s="11" t="s">
        <v>248</v>
      </c>
      <c r="I172" s="16" t="s">
        <v>509</v>
      </c>
      <c r="J172" s="11" t="s">
        <v>25</v>
      </c>
      <c r="K172" s="1" t="b">
        <v>1</v>
      </c>
      <c r="L172" s="1" t="b">
        <v>1</v>
      </c>
      <c r="M172" s="5" t="b">
        <v>0</v>
      </c>
      <c r="N172" s="5" t="b">
        <v>0</v>
      </c>
      <c r="O172" s="5" t="b">
        <v>0</v>
      </c>
      <c r="P172" s="1" t="b">
        <v>0</v>
      </c>
      <c r="Q172" s="1" t="s">
        <v>510</v>
      </c>
      <c r="R172" s="5"/>
      <c r="S172" s="5"/>
      <c r="T172" s="5"/>
      <c r="U172" s="5"/>
      <c r="V172" s="5"/>
      <c r="W172" s="5"/>
      <c r="X172" s="5"/>
      <c r="Y172" s="5"/>
      <c r="Z172" s="5"/>
    </row>
    <row r="173" hidden="1">
      <c r="A173" s="5"/>
      <c r="B173" s="2"/>
      <c r="C173" s="26"/>
      <c r="D173" s="13" t="s">
        <v>511</v>
      </c>
      <c r="E173" s="1" t="s">
        <v>512</v>
      </c>
      <c r="F173" s="1"/>
      <c r="G173" s="11" t="s">
        <v>23</v>
      </c>
      <c r="H173" s="43"/>
      <c r="I173" s="16" t="s">
        <v>513</v>
      </c>
      <c r="J173" s="11" t="s">
        <v>25</v>
      </c>
      <c r="K173" s="1" t="b">
        <v>0</v>
      </c>
      <c r="L173" s="1" t="b">
        <v>0</v>
      </c>
      <c r="M173" s="5" t="b">
        <v>0</v>
      </c>
      <c r="N173" s="5" t="b">
        <v>0</v>
      </c>
      <c r="O173" s="5" t="b">
        <v>0</v>
      </c>
      <c r="P173" s="1" t="b"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31.5" hidden="1" customHeight="1">
      <c r="A174" s="5"/>
      <c r="B174" s="11">
        <v>3.0</v>
      </c>
      <c r="C174" s="26">
        <v>45756.0</v>
      </c>
      <c r="D174" s="13" t="s">
        <v>514</v>
      </c>
      <c r="E174" s="1" t="s">
        <v>515</v>
      </c>
      <c r="F174" s="1">
        <v>7.80661516E8</v>
      </c>
      <c r="G174" s="11" t="s">
        <v>28</v>
      </c>
      <c r="H174" s="43"/>
      <c r="I174" s="16" t="s">
        <v>516</v>
      </c>
      <c r="J174" s="11" t="s">
        <v>25</v>
      </c>
      <c r="K174" s="1" t="b">
        <v>0</v>
      </c>
      <c r="L174" s="1" t="b">
        <v>1</v>
      </c>
      <c r="M174" s="1" t="b">
        <v>1</v>
      </c>
      <c r="N174" s="5" t="b">
        <v>0</v>
      </c>
      <c r="O174" s="5" t="b">
        <v>0</v>
      </c>
      <c r="P174" s="1" t="b">
        <v>0</v>
      </c>
      <c r="Q174" s="1" t="s">
        <v>517</v>
      </c>
      <c r="R174" s="5"/>
      <c r="S174" s="5"/>
      <c r="T174" s="5"/>
      <c r="U174" s="5"/>
      <c r="V174" s="5"/>
      <c r="W174" s="5"/>
      <c r="X174" s="5"/>
      <c r="Y174" s="5"/>
      <c r="Z174" s="5"/>
    </row>
    <row r="175" ht="22.5" hidden="1" customHeight="1">
      <c r="A175" s="5"/>
      <c r="B175" s="2"/>
      <c r="C175" s="26">
        <v>45806.0</v>
      </c>
      <c r="D175" s="13" t="s">
        <v>518</v>
      </c>
      <c r="E175" s="1"/>
      <c r="F175" s="1"/>
      <c r="G175" s="11" t="s">
        <v>23</v>
      </c>
      <c r="H175" s="43"/>
      <c r="I175" s="16" t="s">
        <v>519</v>
      </c>
      <c r="J175" s="11" t="s">
        <v>25</v>
      </c>
      <c r="K175" s="1" t="b">
        <v>1</v>
      </c>
      <c r="L175" s="1" t="b">
        <v>0</v>
      </c>
      <c r="M175" s="5" t="b">
        <v>0</v>
      </c>
      <c r="N175" s="5" t="b">
        <v>0</v>
      </c>
      <c r="O175" s="1" t="b">
        <v>1</v>
      </c>
      <c r="P175" s="1" t="b">
        <v>1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7.75" hidden="1" customHeight="1">
      <c r="A176" s="5"/>
      <c r="B176" s="2"/>
      <c r="C176" s="26">
        <v>45806.0</v>
      </c>
      <c r="D176" s="13" t="s">
        <v>520</v>
      </c>
      <c r="E176" s="1"/>
      <c r="F176" s="1"/>
      <c r="G176" s="11" t="s">
        <v>28</v>
      </c>
      <c r="H176" s="43"/>
      <c r="I176" s="16" t="s">
        <v>521</v>
      </c>
      <c r="J176" s="11" t="s">
        <v>25</v>
      </c>
      <c r="K176" s="1" t="b">
        <v>0</v>
      </c>
      <c r="L176" s="1" t="b">
        <v>0</v>
      </c>
      <c r="M176" s="5" t="b">
        <v>0</v>
      </c>
      <c r="N176" s="5" t="b">
        <v>0</v>
      </c>
      <c r="O176" s="5" t="b">
        <v>0</v>
      </c>
      <c r="P176" s="1" t="b"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9.5" hidden="1" customHeight="1">
      <c r="A177" s="5"/>
      <c r="B177" s="2"/>
      <c r="C177" s="26">
        <v>45824.0</v>
      </c>
      <c r="D177" s="13" t="s">
        <v>246</v>
      </c>
      <c r="E177" s="1"/>
      <c r="F177" s="1"/>
      <c r="G177" s="11" t="s">
        <v>28</v>
      </c>
      <c r="H177" s="11"/>
      <c r="I177" s="16" t="s">
        <v>522</v>
      </c>
      <c r="J177" s="11" t="s">
        <v>25</v>
      </c>
      <c r="K177" s="1" t="b">
        <v>1</v>
      </c>
      <c r="L177" s="1" t="b">
        <v>0</v>
      </c>
      <c r="M177" s="5" t="b">
        <v>0</v>
      </c>
      <c r="N177" s="5" t="b">
        <v>0</v>
      </c>
      <c r="O177" s="5" t="b">
        <v>0</v>
      </c>
      <c r="P177" s="1" t="b"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9.5" hidden="1" customHeight="1">
      <c r="A178" s="5"/>
      <c r="B178" s="2"/>
      <c r="C178" s="26">
        <v>45824.0</v>
      </c>
      <c r="D178" s="13" t="s">
        <v>523</v>
      </c>
      <c r="E178" s="1"/>
      <c r="F178" s="1"/>
      <c r="G178" s="11" t="s">
        <v>28</v>
      </c>
      <c r="H178" s="11"/>
      <c r="I178" s="16" t="s">
        <v>524</v>
      </c>
      <c r="J178" s="11" t="s">
        <v>25</v>
      </c>
      <c r="K178" s="1" t="b">
        <v>1</v>
      </c>
      <c r="L178" s="1" t="b">
        <v>0</v>
      </c>
      <c r="M178" s="5" t="b">
        <v>0</v>
      </c>
      <c r="N178" s="5" t="b">
        <v>0</v>
      </c>
      <c r="O178" s="5" t="b">
        <v>0</v>
      </c>
      <c r="P178" s="1" t="b"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7.75" hidden="1" customHeight="1">
      <c r="A179" s="5"/>
      <c r="B179" s="11">
        <v>4.0</v>
      </c>
      <c r="C179" s="26">
        <v>45824.0</v>
      </c>
      <c r="D179" s="13" t="s">
        <v>525</v>
      </c>
      <c r="E179" s="1"/>
      <c r="F179" s="1"/>
      <c r="G179" s="11" t="s">
        <v>28</v>
      </c>
      <c r="H179" s="11"/>
      <c r="I179" s="16" t="s">
        <v>526</v>
      </c>
      <c r="J179" s="11" t="s">
        <v>25</v>
      </c>
      <c r="K179" s="1" t="b">
        <v>1</v>
      </c>
      <c r="L179" s="1" t="b">
        <v>0</v>
      </c>
      <c r="M179" s="5" t="b">
        <v>0</v>
      </c>
      <c r="N179" s="5" t="b">
        <v>0</v>
      </c>
      <c r="O179" s="5" t="b">
        <v>0</v>
      </c>
      <c r="P179" s="1" t="b">
        <v>1</v>
      </c>
      <c r="Q179" s="1" t="s">
        <v>527</v>
      </c>
      <c r="R179" s="5"/>
      <c r="S179" s="5"/>
      <c r="T179" s="5"/>
      <c r="U179" s="5"/>
      <c r="V179" s="5"/>
      <c r="W179" s="5"/>
      <c r="X179" s="5"/>
      <c r="Y179" s="5"/>
      <c r="Z179" s="5"/>
    </row>
    <row r="180" ht="19.5" hidden="1" customHeight="1">
      <c r="A180" s="5"/>
      <c r="B180" s="2"/>
      <c r="C180" s="26">
        <v>45824.0</v>
      </c>
      <c r="D180" s="13" t="s">
        <v>528</v>
      </c>
      <c r="E180" s="1" t="s">
        <v>529</v>
      </c>
      <c r="F180" s="1"/>
      <c r="G180" s="11" t="s">
        <v>28</v>
      </c>
      <c r="H180" s="11" t="s">
        <v>530</v>
      </c>
      <c r="I180" s="16" t="s">
        <v>531</v>
      </c>
      <c r="J180" s="11" t="s">
        <v>25</v>
      </c>
      <c r="K180" s="1" t="b">
        <v>1</v>
      </c>
      <c r="L180" s="1" t="b">
        <v>0</v>
      </c>
      <c r="M180" s="5" t="b">
        <v>0</v>
      </c>
      <c r="N180" s="5" t="b">
        <v>0</v>
      </c>
      <c r="O180" s="5" t="b">
        <v>0</v>
      </c>
      <c r="P180" s="1" t="b">
        <v>0</v>
      </c>
      <c r="Q180" s="1" t="s">
        <v>532</v>
      </c>
      <c r="R180" s="5"/>
      <c r="S180" s="5"/>
      <c r="T180" s="5"/>
      <c r="U180" s="5"/>
      <c r="V180" s="5"/>
      <c r="W180" s="5"/>
      <c r="X180" s="5"/>
      <c r="Y180" s="5"/>
      <c r="Z180" s="5"/>
    </row>
    <row r="181" ht="19.5" hidden="1" customHeight="1">
      <c r="A181" s="5"/>
      <c r="B181" s="2"/>
      <c r="C181" s="26">
        <v>45824.0</v>
      </c>
      <c r="D181" s="13" t="s">
        <v>533</v>
      </c>
      <c r="E181" s="1" t="s">
        <v>534</v>
      </c>
      <c r="F181" s="1"/>
      <c r="G181" s="11" t="s">
        <v>45</v>
      </c>
      <c r="H181" s="11"/>
      <c r="I181" s="16" t="s">
        <v>535</v>
      </c>
      <c r="J181" s="11" t="s">
        <v>25</v>
      </c>
      <c r="K181" s="1" t="b">
        <v>1</v>
      </c>
      <c r="L181" s="1" t="b">
        <v>0</v>
      </c>
      <c r="M181" s="5" t="b">
        <v>0</v>
      </c>
      <c r="N181" s="5" t="b">
        <v>0</v>
      </c>
      <c r="O181" s="5" t="b">
        <v>0</v>
      </c>
      <c r="P181" s="1" t="b">
        <v>1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9.5" hidden="1" customHeight="1">
      <c r="A182" s="5"/>
      <c r="B182" s="2"/>
      <c r="C182" s="26">
        <v>45824.0</v>
      </c>
      <c r="D182" s="13" t="s">
        <v>536</v>
      </c>
      <c r="E182" s="1" t="s">
        <v>537</v>
      </c>
      <c r="F182" s="1"/>
      <c r="G182" s="11" t="s">
        <v>45</v>
      </c>
      <c r="H182" s="45">
        <v>45843.0</v>
      </c>
      <c r="I182" s="16" t="s">
        <v>538</v>
      </c>
      <c r="J182" s="11" t="s">
        <v>173</v>
      </c>
      <c r="K182" s="1" t="b">
        <v>1</v>
      </c>
      <c r="L182" s="1" t="b">
        <v>0</v>
      </c>
      <c r="M182" s="5" t="b">
        <v>0</v>
      </c>
      <c r="N182" s="5" t="b">
        <v>0</v>
      </c>
      <c r="O182" s="5" t="b">
        <v>0</v>
      </c>
      <c r="P182" s="1" t="b">
        <v>0</v>
      </c>
      <c r="Q182" s="1" t="s">
        <v>539</v>
      </c>
      <c r="R182" s="5"/>
      <c r="S182" s="5"/>
      <c r="T182" s="5"/>
      <c r="U182" s="5"/>
      <c r="V182" s="5"/>
      <c r="W182" s="5"/>
      <c r="X182" s="5"/>
      <c r="Y182" s="5"/>
      <c r="Z182" s="5"/>
    </row>
    <row r="183" ht="19.5" hidden="1" customHeight="1">
      <c r="A183" s="5"/>
      <c r="B183" s="2"/>
      <c r="C183" s="26">
        <v>45840.0</v>
      </c>
      <c r="D183" s="13" t="s">
        <v>540</v>
      </c>
      <c r="E183" s="1" t="s">
        <v>541</v>
      </c>
      <c r="F183" s="1"/>
      <c r="G183" s="11" t="s">
        <v>28</v>
      </c>
      <c r="H183" s="45"/>
      <c r="I183" s="16" t="s">
        <v>542</v>
      </c>
      <c r="J183" s="11" t="s">
        <v>233</v>
      </c>
      <c r="K183" s="1" t="b">
        <v>1</v>
      </c>
      <c r="L183" s="1" t="b">
        <v>0</v>
      </c>
      <c r="M183" s="5" t="b">
        <v>0</v>
      </c>
      <c r="N183" s="5" t="b">
        <v>0</v>
      </c>
      <c r="O183" s="5" t="b">
        <v>0</v>
      </c>
      <c r="P183" s="1" t="b">
        <v>0</v>
      </c>
      <c r="Q183" s="1" t="s">
        <v>543</v>
      </c>
      <c r="R183" s="5"/>
      <c r="S183" s="5"/>
      <c r="T183" s="5"/>
      <c r="U183" s="5"/>
      <c r="V183" s="5"/>
      <c r="W183" s="5"/>
      <c r="X183" s="5"/>
      <c r="Y183" s="5"/>
      <c r="Z183" s="5"/>
    </row>
    <row r="184" ht="19.5" hidden="1" customHeight="1">
      <c r="A184" s="5"/>
      <c r="B184" s="11">
        <v>5.0</v>
      </c>
      <c r="C184" s="26">
        <v>45845.0</v>
      </c>
      <c r="D184" s="13" t="s">
        <v>72</v>
      </c>
      <c r="E184" s="1"/>
      <c r="F184" s="1"/>
      <c r="G184" s="11" t="s">
        <v>28</v>
      </c>
      <c r="H184" s="45"/>
      <c r="I184" s="16" t="s">
        <v>544</v>
      </c>
      <c r="J184" s="11" t="s">
        <v>25</v>
      </c>
      <c r="K184" s="1" t="b">
        <v>1</v>
      </c>
      <c r="L184" s="1" t="b">
        <v>0</v>
      </c>
      <c r="M184" s="5" t="b">
        <v>0</v>
      </c>
      <c r="N184" s="5" t="b">
        <v>0</v>
      </c>
      <c r="O184" s="5" t="b">
        <v>0</v>
      </c>
      <c r="P184" s="1" t="b">
        <v>1</v>
      </c>
      <c r="Q184" s="1" t="s">
        <v>545</v>
      </c>
      <c r="R184" s="5"/>
      <c r="S184" s="5"/>
      <c r="T184" s="5"/>
      <c r="U184" s="5"/>
      <c r="V184" s="5"/>
      <c r="W184" s="5"/>
      <c r="X184" s="5"/>
      <c r="Y184" s="5"/>
      <c r="Z184" s="5"/>
    </row>
    <row r="185" ht="19.5" hidden="1" customHeight="1">
      <c r="A185" s="5"/>
      <c r="B185" s="11">
        <v>6.0</v>
      </c>
      <c r="C185" s="26">
        <v>45846.0</v>
      </c>
      <c r="D185" s="13" t="s">
        <v>546</v>
      </c>
      <c r="E185" s="1" t="s">
        <v>547</v>
      </c>
      <c r="F185" s="1"/>
      <c r="G185" s="11" t="s">
        <v>28</v>
      </c>
      <c r="H185" s="45"/>
      <c r="I185" s="16" t="s">
        <v>548</v>
      </c>
      <c r="J185" s="11" t="s">
        <v>25</v>
      </c>
      <c r="K185" s="1" t="b">
        <v>0</v>
      </c>
      <c r="L185" s="1" t="b">
        <v>0</v>
      </c>
      <c r="M185" s="5" t="b">
        <v>0</v>
      </c>
      <c r="N185" s="5" t="b">
        <v>0</v>
      </c>
      <c r="O185" s="5" t="b">
        <v>0</v>
      </c>
      <c r="P185" s="1" t="b">
        <v>0</v>
      </c>
      <c r="Q185" s="1" t="s">
        <v>549</v>
      </c>
      <c r="R185" s="5"/>
      <c r="S185" s="5"/>
      <c r="T185" s="5"/>
      <c r="U185" s="5"/>
      <c r="V185" s="5"/>
      <c r="W185" s="5"/>
      <c r="X185" s="5"/>
      <c r="Y185" s="5"/>
      <c r="Z185" s="5"/>
    </row>
    <row r="186" ht="19.5" hidden="1" customHeight="1">
      <c r="A186" s="5"/>
      <c r="B186" s="11">
        <v>7.0</v>
      </c>
      <c r="C186" s="26">
        <v>45846.0</v>
      </c>
      <c r="D186" s="13" t="s">
        <v>227</v>
      </c>
      <c r="E186" s="1" t="s">
        <v>550</v>
      </c>
      <c r="F186" s="1"/>
      <c r="G186" s="11" t="s">
        <v>28</v>
      </c>
      <c r="H186" s="45"/>
      <c r="I186" s="16" t="s">
        <v>551</v>
      </c>
      <c r="J186" s="11" t="s">
        <v>25</v>
      </c>
      <c r="K186" s="1" t="b">
        <v>1</v>
      </c>
      <c r="L186" s="1" t="b">
        <v>0</v>
      </c>
      <c r="M186" s="5" t="b">
        <v>0</v>
      </c>
      <c r="N186" s="5" t="b">
        <v>0</v>
      </c>
      <c r="O186" s="1" t="b">
        <v>1</v>
      </c>
      <c r="P186" s="1" t="b">
        <v>1</v>
      </c>
      <c r="Q186" s="1" t="s">
        <v>552</v>
      </c>
      <c r="R186" s="5"/>
      <c r="S186" s="5"/>
      <c r="T186" s="5"/>
      <c r="U186" s="5"/>
      <c r="V186" s="5"/>
      <c r="W186" s="5"/>
      <c r="X186" s="5"/>
      <c r="Y186" s="5"/>
      <c r="Z186" s="5"/>
    </row>
    <row r="187" ht="19.5" hidden="1" customHeight="1">
      <c r="A187" s="5"/>
      <c r="B187" s="11">
        <v>8.0</v>
      </c>
      <c r="C187" s="26">
        <v>45846.0</v>
      </c>
      <c r="D187" s="13" t="s">
        <v>553</v>
      </c>
      <c r="E187" s="1" t="s">
        <v>166</v>
      </c>
      <c r="F187" s="1"/>
      <c r="G187" s="11" t="s">
        <v>28</v>
      </c>
      <c r="H187" s="45"/>
      <c r="I187" s="16" t="s">
        <v>554</v>
      </c>
      <c r="J187" s="11" t="s">
        <v>25</v>
      </c>
      <c r="K187" s="1" t="b">
        <v>1</v>
      </c>
      <c r="L187" s="1" t="b">
        <v>1</v>
      </c>
      <c r="M187" s="1" t="b">
        <v>1</v>
      </c>
      <c r="N187" s="5" t="b">
        <v>0</v>
      </c>
      <c r="O187" s="1" t="b">
        <v>1</v>
      </c>
      <c r="P187" s="1" t="b">
        <v>1</v>
      </c>
      <c r="Q187" s="1" t="s">
        <v>555</v>
      </c>
      <c r="R187" s="5"/>
      <c r="S187" s="5"/>
      <c r="T187" s="5"/>
      <c r="U187" s="5"/>
      <c r="V187" s="5"/>
      <c r="W187" s="5"/>
      <c r="X187" s="5"/>
      <c r="Y187" s="5"/>
      <c r="Z187" s="5"/>
    </row>
    <row r="188" ht="19.5" hidden="1" customHeight="1">
      <c r="A188" s="5"/>
      <c r="B188" s="11">
        <v>9.0</v>
      </c>
      <c r="C188" s="26">
        <v>45845.0</v>
      </c>
      <c r="D188" s="13" t="s">
        <v>556</v>
      </c>
      <c r="E188" s="1" t="s">
        <v>557</v>
      </c>
      <c r="F188" s="1">
        <v>7.7336614E8</v>
      </c>
      <c r="G188" s="11" t="s">
        <v>28</v>
      </c>
      <c r="H188" s="11" t="s">
        <v>558</v>
      </c>
      <c r="I188" s="16" t="s">
        <v>559</v>
      </c>
      <c r="J188" s="11" t="s">
        <v>25</v>
      </c>
      <c r="K188" s="1" t="b">
        <v>1</v>
      </c>
      <c r="L188" s="1" t="b">
        <v>0</v>
      </c>
      <c r="M188" s="5" t="b">
        <v>0</v>
      </c>
      <c r="N188" s="5" t="b">
        <v>0</v>
      </c>
      <c r="O188" s="5" t="b">
        <v>0</v>
      </c>
      <c r="P188" s="1" t="b">
        <v>1</v>
      </c>
      <c r="Q188" s="1"/>
      <c r="R188" s="5"/>
      <c r="S188" s="5"/>
      <c r="T188" s="5"/>
      <c r="U188" s="5"/>
      <c r="V188" s="5"/>
      <c r="W188" s="5"/>
      <c r="X188" s="5"/>
      <c r="Y188" s="5"/>
      <c r="Z188" s="5"/>
    </row>
    <row r="189" ht="19.5" hidden="1" customHeight="1">
      <c r="A189" s="5"/>
      <c r="B189" s="2"/>
      <c r="C189" s="26">
        <v>45847.0</v>
      </c>
      <c r="D189" s="13" t="s">
        <v>560</v>
      </c>
      <c r="E189" s="1"/>
      <c r="F189" s="1"/>
      <c r="G189" s="11" t="s">
        <v>28</v>
      </c>
      <c r="H189" s="45"/>
      <c r="I189" s="16" t="s">
        <v>561</v>
      </c>
      <c r="J189" s="11" t="s">
        <v>25</v>
      </c>
      <c r="K189" s="1" t="b">
        <v>1</v>
      </c>
      <c r="L189" s="1" t="b">
        <v>0</v>
      </c>
      <c r="M189" s="5" t="b">
        <v>0</v>
      </c>
      <c r="N189" s="1" t="b">
        <v>1</v>
      </c>
      <c r="O189" s="1" t="b">
        <v>1</v>
      </c>
      <c r="P189" s="1" t="b">
        <v>1</v>
      </c>
      <c r="Q189" s="1" t="s">
        <v>562</v>
      </c>
      <c r="R189" s="5"/>
      <c r="S189" s="5"/>
      <c r="T189" s="5"/>
      <c r="U189" s="5"/>
      <c r="V189" s="5"/>
      <c r="W189" s="5"/>
      <c r="X189" s="5"/>
      <c r="Y189" s="5"/>
      <c r="Z189" s="5"/>
    </row>
    <row r="190" ht="19.5" hidden="1" customHeight="1">
      <c r="A190" s="5"/>
      <c r="B190" s="11">
        <v>10.0</v>
      </c>
      <c r="C190" s="26">
        <v>45847.0</v>
      </c>
      <c r="D190" s="13" t="s">
        <v>563</v>
      </c>
      <c r="E190" s="1"/>
      <c r="F190" s="1"/>
      <c r="G190" s="11" t="s">
        <v>411</v>
      </c>
      <c r="H190" s="45"/>
      <c r="I190" s="16"/>
      <c r="J190" s="11" t="s">
        <v>173</v>
      </c>
      <c r="K190" s="1" t="b">
        <v>1</v>
      </c>
      <c r="L190" s="1" t="b">
        <v>0</v>
      </c>
      <c r="M190" s="5" t="b">
        <v>0</v>
      </c>
      <c r="N190" s="5" t="b">
        <v>0</v>
      </c>
      <c r="O190" s="5" t="b">
        <v>0</v>
      </c>
      <c r="P190" s="1" t="b">
        <v>0</v>
      </c>
      <c r="Q190" s="1" t="s">
        <v>564</v>
      </c>
      <c r="R190" s="5"/>
      <c r="S190" s="5"/>
      <c r="T190" s="5"/>
      <c r="U190" s="5"/>
      <c r="V190" s="5"/>
      <c r="W190" s="5"/>
      <c r="X190" s="5"/>
      <c r="Y190" s="5"/>
      <c r="Z190" s="5"/>
    </row>
    <row r="191" ht="19.5" hidden="1" customHeight="1">
      <c r="A191" s="5"/>
      <c r="B191" s="11">
        <v>11.0</v>
      </c>
      <c r="C191" s="26">
        <v>45847.0</v>
      </c>
      <c r="D191" s="13" t="s">
        <v>565</v>
      </c>
      <c r="E191" s="1" t="s">
        <v>566</v>
      </c>
      <c r="F191" s="1"/>
      <c r="G191" s="11" t="s">
        <v>28</v>
      </c>
      <c r="H191" s="45"/>
      <c r="I191" s="11" t="s">
        <v>567</v>
      </c>
      <c r="J191" s="11" t="s">
        <v>25</v>
      </c>
      <c r="K191" s="1" t="b">
        <v>1</v>
      </c>
      <c r="L191" s="1" t="b">
        <v>0</v>
      </c>
      <c r="M191" s="5" t="b">
        <v>0</v>
      </c>
      <c r="N191" s="5" t="b">
        <v>0</v>
      </c>
      <c r="O191" s="5" t="b">
        <v>0</v>
      </c>
      <c r="P191" s="1" t="b">
        <v>0</v>
      </c>
      <c r="Q191" s="1" t="s">
        <v>568</v>
      </c>
      <c r="R191" s="5"/>
      <c r="S191" s="5"/>
      <c r="T191" s="5"/>
      <c r="U191" s="5"/>
      <c r="V191" s="5"/>
      <c r="W191" s="5"/>
      <c r="X191" s="5"/>
      <c r="Y191" s="5"/>
      <c r="Z191" s="5"/>
    </row>
    <row r="192" ht="19.5" hidden="1" customHeight="1">
      <c r="A192" s="5"/>
      <c r="B192" s="11">
        <v>12.0</v>
      </c>
      <c r="C192" s="26">
        <v>45848.0</v>
      </c>
      <c r="D192" s="13" t="s">
        <v>569</v>
      </c>
      <c r="E192" s="1" t="s">
        <v>570</v>
      </c>
      <c r="F192" s="1">
        <v>7.10437001E8</v>
      </c>
      <c r="G192" s="11" t="s">
        <v>28</v>
      </c>
      <c r="H192" s="45"/>
      <c r="I192" s="11" t="s">
        <v>571</v>
      </c>
      <c r="J192" s="11" t="s">
        <v>25</v>
      </c>
      <c r="K192" s="1" t="b">
        <v>1</v>
      </c>
      <c r="L192" s="1" t="b">
        <v>0</v>
      </c>
      <c r="M192" s="5" t="b">
        <v>0</v>
      </c>
      <c r="N192" s="5" t="b">
        <v>0</v>
      </c>
      <c r="O192" s="5" t="b">
        <v>0</v>
      </c>
      <c r="P192" s="1" t="b">
        <v>0</v>
      </c>
      <c r="Q192" s="1" t="s">
        <v>572</v>
      </c>
      <c r="R192" s="5"/>
      <c r="S192" s="5"/>
      <c r="T192" s="5"/>
      <c r="U192" s="5"/>
      <c r="V192" s="5"/>
      <c r="W192" s="5"/>
      <c r="X192" s="5"/>
      <c r="Y192" s="5"/>
      <c r="Z192" s="5"/>
    </row>
    <row r="193" ht="19.5" hidden="1" customHeight="1">
      <c r="A193" s="5"/>
      <c r="B193" s="2"/>
      <c r="C193" s="26">
        <v>45852.0</v>
      </c>
      <c r="D193" s="13" t="s">
        <v>573</v>
      </c>
      <c r="E193" s="1"/>
      <c r="F193" s="1"/>
      <c r="G193" s="11" t="s">
        <v>411</v>
      </c>
      <c r="H193" s="45"/>
      <c r="I193" s="11" t="s">
        <v>574</v>
      </c>
      <c r="J193" s="11" t="s">
        <v>575</v>
      </c>
      <c r="K193" s="1" t="b">
        <v>1</v>
      </c>
      <c r="L193" s="1" t="b">
        <v>0</v>
      </c>
      <c r="M193" s="5" t="b">
        <v>0</v>
      </c>
      <c r="N193" s="5" t="b">
        <v>0</v>
      </c>
      <c r="O193" s="5" t="b">
        <v>0</v>
      </c>
      <c r="P193" s="1" t="b">
        <v>0</v>
      </c>
      <c r="Q193" s="1" t="s">
        <v>576</v>
      </c>
      <c r="R193" s="5"/>
      <c r="S193" s="5"/>
      <c r="T193" s="5"/>
      <c r="U193" s="5"/>
      <c r="V193" s="5"/>
      <c r="W193" s="5"/>
      <c r="X193" s="5"/>
      <c r="Y193" s="5"/>
      <c r="Z193" s="5"/>
    </row>
    <row r="194" ht="19.5" hidden="1" customHeight="1">
      <c r="A194" s="5"/>
      <c r="B194" s="2"/>
      <c r="C194" s="26">
        <v>45852.0</v>
      </c>
      <c r="D194" s="13" t="s">
        <v>577</v>
      </c>
      <c r="E194" s="1"/>
      <c r="F194" s="1"/>
      <c r="G194" s="11" t="s">
        <v>411</v>
      </c>
      <c r="H194" s="45"/>
      <c r="I194" s="11" t="s">
        <v>578</v>
      </c>
      <c r="J194" s="11" t="s">
        <v>173</v>
      </c>
      <c r="K194" s="1" t="b">
        <v>1</v>
      </c>
      <c r="L194" s="1" t="b">
        <v>1</v>
      </c>
      <c r="M194" s="5" t="b">
        <v>0</v>
      </c>
      <c r="N194" s="5" t="b">
        <v>0</v>
      </c>
      <c r="O194" s="5" t="b">
        <v>0</v>
      </c>
      <c r="P194" s="1" t="b">
        <v>0</v>
      </c>
      <c r="Q194" s="1" t="s">
        <v>579</v>
      </c>
      <c r="R194" s="5"/>
      <c r="S194" s="5"/>
      <c r="T194" s="5"/>
      <c r="U194" s="5"/>
      <c r="V194" s="5"/>
      <c r="W194" s="5"/>
      <c r="X194" s="5"/>
      <c r="Y194" s="5"/>
      <c r="Z194" s="5"/>
    </row>
    <row r="195" ht="19.5" hidden="1" customHeight="1">
      <c r="A195" s="5"/>
      <c r="B195" s="11">
        <v>13.0</v>
      </c>
      <c r="C195" s="26">
        <v>45853.0</v>
      </c>
      <c r="D195" s="13" t="s">
        <v>580</v>
      </c>
      <c r="E195" s="1" t="s">
        <v>581</v>
      </c>
      <c r="F195" s="1"/>
      <c r="G195" s="11" t="s">
        <v>411</v>
      </c>
      <c r="H195" s="45"/>
      <c r="I195" s="11" t="s">
        <v>582</v>
      </c>
      <c r="J195" s="11" t="s">
        <v>25</v>
      </c>
      <c r="K195" s="1" t="b">
        <v>1</v>
      </c>
      <c r="L195" s="1" t="b">
        <v>0</v>
      </c>
      <c r="M195" s="5" t="b">
        <v>0</v>
      </c>
      <c r="N195" s="5" t="b">
        <v>0</v>
      </c>
      <c r="O195" s="5" t="b">
        <v>0</v>
      </c>
      <c r="P195" s="1" t="b">
        <v>1</v>
      </c>
      <c r="Q195" s="1" t="s">
        <v>583</v>
      </c>
      <c r="R195" s="5"/>
      <c r="S195" s="5"/>
      <c r="T195" s="5"/>
      <c r="U195" s="5"/>
      <c r="V195" s="5"/>
      <c r="W195" s="5"/>
      <c r="X195" s="5"/>
      <c r="Y195" s="5"/>
      <c r="Z195" s="5"/>
    </row>
    <row r="196" ht="19.5" hidden="1" customHeight="1">
      <c r="A196" s="5"/>
      <c r="B196" s="2"/>
      <c r="C196" s="26">
        <v>45832.0</v>
      </c>
      <c r="D196" s="13" t="s">
        <v>584</v>
      </c>
      <c r="E196" s="1"/>
      <c r="F196" s="1"/>
      <c r="G196" s="11" t="s">
        <v>28</v>
      </c>
      <c r="H196" s="45"/>
      <c r="I196" s="16" t="s">
        <v>585</v>
      </c>
      <c r="J196" s="11" t="s">
        <v>25</v>
      </c>
      <c r="K196" s="1" t="b">
        <v>1</v>
      </c>
      <c r="L196" s="1" t="b">
        <v>0</v>
      </c>
      <c r="M196" s="5" t="b">
        <v>0</v>
      </c>
      <c r="N196" s="5" t="b">
        <v>0</v>
      </c>
      <c r="O196" s="5" t="b">
        <v>0</v>
      </c>
      <c r="P196" s="1" t="b">
        <v>1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9.5" hidden="1" customHeight="1">
      <c r="A197" s="5"/>
      <c r="B197" s="2"/>
      <c r="C197" s="26">
        <v>45832.0</v>
      </c>
      <c r="D197" s="13" t="s">
        <v>72</v>
      </c>
      <c r="E197" s="1"/>
      <c r="F197" s="1"/>
      <c r="G197" s="11" t="s">
        <v>28</v>
      </c>
      <c r="H197" s="45"/>
      <c r="I197" s="16" t="s">
        <v>586</v>
      </c>
      <c r="J197" s="11" t="s">
        <v>25</v>
      </c>
      <c r="K197" s="1" t="b">
        <v>0</v>
      </c>
      <c r="L197" s="1" t="b">
        <v>0</v>
      </c>
      <c r="M197" s="5" t="b">
        <v>0</v>
      </c>
      <c r="N197" s="5" t="b">
        <v>0</v>
      </c>
      <c r="O197" s="5" t="b">
        <v>0</v>
      </c>
      <c r="P197" s="1" t="b"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9.5" hidden="1" customHeight="1">
      <c r="A198" s="5"/>
      <c r="B198" s="2"/>
      <c r="C198" s="26">
        <v>45824.0</v>
      </c>
      <c r="D198" s="13" t="s">
        <v>76</v>
      </c>
      <c r="E198" s="1" t="s">
        <v>77</v>
      </c>
      <c r="F198" s="1"/>
      <c r="G198" s="11" t="s">
        <v>45</v>
      </c>
      <c r="H198" s="45">
        <v>45832.0</v>
      </c>
      <c r="I198" s="16" t="s">
        <v>587</v>
      </c>
      <c r="J198" s="11" t="s">
        <v>25</v>
      </c>
      <c r="K198" s="1" t="b">
        <v>1</v>
      </c>
      <c r="L198" s="1" t="b">
        <v>0</v>
      </c>
      <c r="M198" s="5" t="b">
        <v>0</v>
      </c>
      <c r="N198" s="5" t="b">
        <v>0</v>
      </c>
      <c r="O198" s="5" t="b">
        <v>0</v>
      </c>
      <c r="P198" s="1" t="b"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9.5" hidden="1" customHeight="1">
      <c r="A199" s="5"/>
      <c r="B199" s="2"/>
      <c r="C199" s="26">
        <v>45824.0</v>
      </c>
      <c r="D199" s="13" t="s">
        <v>588</v>
      </c>
      <c r="E199" s="1" t="s">
        <v>589</v>
      </c>
      <c r="F199" s="1"/>
      <c r="G199" s="11"/>
      <c r="H199" s="11"/>
      <c r="I199" s="16" t="s">
        <v>590</v>
      </c>
      <c r="J199" s="11" t="s">
        <v>25</v>
      </c>
      <c r="K199" s="1" t="b">
        <v>1</v>
      </c>
      <c r="L199" s="1" t="b">
        <v>0</v>
      </c>
      <c r="M199" s="5" t="b">
        <v>0</v>
      </c>
      <c r="N199" s="5" t="b">
        <v>0</v>
      </c>
      <c r="O199" s="5" t="b">
        <v>0</v>
      </c>
      <c r="P199" s="1" t="b"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9.5" hidden="1" customHeight="1">
      <c r="A200" s="5"/>
      <c r="B200" s="2"/>
      <c r="C200" s="26">
        <v>45824.0</v>
      </c>
      <c r="D200" s="13" t="s">
        <v>191</v>
      </c>
      <c r="E200" s="1" t="s">
        <v>591</v>
      </c>
      <c r="F200" s="1"/>
      <c r="G200" s="11"/>
      <c r="H200" s="11"/>
      <c r="I200" s="16" t="s">
        <v>592</v>
      </c>
      <c r="J200" s="11" t="s">
        <v>25</v>
      </c>
      <c r="K200" s="1" t="b">
        <v>1</v>
      </c>
      <c r="L200" s="1" t="b">
        <v>0</v>
      </c>
      <c r="M200" s="5" t="b">
        <v>0</v>
      </c>
      <c r="N200" s="5" t="b">
        <v>0</v>
      </c>
      <c r="O200" s="1" t="b">
        <v>0</v>
      </c>
      <c r="P200" s="1" t="b">
        <v>0</v>
      </c>
      <c r="Q200" s="1"/>
      <c r="R200" s="5"/>
      <c r="S200" s="5"/>
      <c r="T200" s="5"/>
      <c r="U200" s="5"/>
      <c r="V200" s="5"/>
      <c r="W200" s="5"/>
      <c r="X200" s="5"/>
      <c r="Y200" s="5"/>
      <c r="Z200" s="5"/>
    </row>
    <row r="201" ht="19.5" hidden="1" customHeight="1">
      <c r="A201" s="5"/>
      <c r="B201" s="2"/>
      <c r="C201" s="26">
        <v>45824.0</v>
      </c>
      <c r="D201" s="13" t="s">
        <v>593</v>
      </c>
      <c r="E201" s="1"/>
      <c r="F201" s="1"/>
      <c r="G201" s="11" t="s">
        <v>23</v>
      </c>
      <c r="H201" s="11" t="s">
        <v>594</v>
      </c>
      <c r="I201" s="16" t="s">
        <v>595</v>
      </c>
      <c r="J201" s="11" t="s">
        <v>25</v>
      </c>
      <c r="K201" s="1" t="b">
        <v>1</v>
      </c>
      <c r="L201" s="1" t="b">
        <v>0</v>
      </c>
      <c r="M201" s="5" t="b">
        <v>0</v>
      </c>
      <c r="N201" s="5" t="b">
        <v>0</v>
      </c>
      <c r="O201" s="1" t="b">
        <v>1</v>
      </c>
      <c r="P201" s="1" t="b">
        <v>0</v>
      </c>
      <c r="Q201" s="1" t="s">
        <v>596</v>
      </c>
      <c r="R201" s="5"/>
      <c r="S201" s="5"/>
      <c r="T201" s="5"/>
      <c r="U201" s="5"/>
      <c r="V201" s="5"/>
      <c r="W201" s="5"/>
      <c r="X201" s="5"/>
      <c r="Y201" s="5"/>
      <c r="Z201" s="5"/>
    </row>
    <row r="202" ht="31.5" hidden="1" customHeight="1">
      <c r="A202" s="5"/>
      <c r="B202" s="2"/>
      <c r="C202" s="26">
        <v>45807.0</v>
      </c>
      <c r="D202" s="13" t="s">
        <v>597</v>
      </c>
      <c r="E202" s="1" t="s">
        <v>598</v>
      </c>
      <c r="F202" s="1"/>
      <c r="G202" s="11"/>
      <c r="H202" s="43"/>
      <c r="I202" s="16" t="s">
        <v>599</v>
      </c>
      <c r="J202" s="11" t="s">
        <v>25</v>
      </c>
      <c r="K202" s="1" t="b">
        <v>0</v>
      </c>
      <c r="L202" s="1" t="b">
        <v>0</v>
      </c>
      <c r="M202" s="5" t="b">
        <v>0</v>
      </c>
      <c r="N202" s="5" t="b">
        <v>0</v>
      </c>
      <c r="O202" s="5" t="b">
        <v>0</v>
      </c>
      <c r="P202" s="1" t="b"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75" hidden="1" customHeight="1">
      <c r="A203" s="5"/>
      <c r="B203" s="2"/>
      <c r="C203" s="26">
        <v>45665.0</v>
      </c>
      <c r="D203" s="13" t="s">
        <v>600</v>
      </c>
      <c r="E203" s="1"/>
      <c r="F203" s="1"/>
      <c r="G203" s="11" t="s">
        <v>23</v>
      </c>
      <c r="H203" s="46">
        <v>45687.0</v>
      </c>
      <c r="I203" s="16" t="s">
        <v>601</v>
      </c>
      <c r="J203" s="11" t="s">
        <v>25</v>
      </c>
      <c r="K203" s="1" t="b">
        <v>1</v>
      </c>
      <c r="L203" s="1" t="b">
        <v>1</v>
      </c>
      <c r="M203" s="5" t="b">
        <v>0</v>
      </c>
      <c r="N203" s="5" t="b">
        <v>0</v>
      </c>
      <c r="O203" s="5" t="b">
        <v>0</v>
      </c>
      <c r="P203" s="1" t="b">
        <v>1</v>
      </c>
      <c r="Q203" s="1" t="s">
        <v>602</v>
      </c>
      <c r="R203" s="5"/>
      <c r="S203" s="5"/>
      <c r="T203" s="5"/>
      <c r="U203" s="5"/>
      <c r="V203" s="5"/>
      <c r="W203" s="5"/>
      <c r="X203" s="5"/>
      <c r="Y203" s="5"/>
      <c r="Z203" s="5"/>
    </row>
    <row r="204" ht="20.25" hidden="1" customHeight="1">
      <c r="A204" s="5"/>
      <c r="B204" s="11">
        <v>15.0</v>
      </c>
      <c r="C204" s="26">
        <v>45853.0</v>
      </c>
      <c r="D204" s="59" t="s">
        <v>603</v>
      </c>
      <c r="E204" s="1" t="s">
        <v>604</v>
      </c>
      <c r="F204" s="1">
        <v>7.8265396E8</v>
      </c>
      <c r="G204" s="11" t="s">
        <v>411</v>
      </c>
      <c r="H204" s="26">
        <v>45906.0</v>
      </c>
      <c r="I204" s="16" t="s">
        <v>605</v>
      </c>
      <c r="J204" s="11" t="s">
        <v>25</v>
      </c>
      <c r="K204" s="1" t="b">
        <v>1</v>
      </c>
      <c r="L204" s="1" t="b">
        <v>0</v>
      </c>
      <c r="M204" s="5" t="b">
        <v>0</v>
      </c>
      <c r="N204" s="5" t="b">
        <v>0</v>
      </c>
      <c r="O204" s="1" t="b">
        <v>1</v>
      </c>
      <c r="P204" s="1" t="b">
        <v>1</v>
      </c>
      <c r="Q204" s="1" t="s">
        <v>606</v>
      </c>
      <c r="R204" s="5"/>
      <c r="S204" s="5"/>
      <c r="T204" s="5"/>
      <c r="U204" s="5"/>
      <c r="V204" s="5"/>
      <c r="W204" s="5"/>
      <c r="X204" s="5"/>
      <c r="Y204" s="5"/>
      <c r="Z204" s="5"/>
    </row>
    <row r="205" ht="17.25" hidden="1" customHeight="1">
      <c r="A205" s="5"/>
      <c r="B205" s="11">
        <v>16.0</v>
      </c>
      <c r="C205" s="26">
        <v>45854.0</v>
      </c>
      <c r="D205" s="13" t="s">
        <v>607</v>
      </c>
      <c r="E205" s="1" t="s">
        <v>160</v>
      </c>
      <c r="F205" s="1"/>
      <c r="G205" s="11" t="s">
        <v>28</v>
      </c>
      <c r="H205" s="43"/>
      <c r="I205" s="16" t="s">
        <v>608</v>
      </c>
      <c r="J205" s="11" t="s">
        <v>25</v>
      </c>
      <c r="K205" s="1" t="b">
        <v>1</v>
      </c>
      <c r="L205" s="1" t="b">
        <v>1</v>
      </c>
      <c r="M205" s="1" t="b">
        <v>1</v>
      </c>
      <c r="N205" s="1" t="b">
        <v>1</v>
      </c>
      <c r="O205" s="1" t="b">
        <v>1</v>
      </c>
      <c r="P205" s="1" t="b">
        <v>1</v>
      </c>
      <c r="Q205" s="1" t="s">
        <v>609</v>
      </c>
      <c r="R205" s="5"/>
      <c r="S205" s="5"/>
      <c r="T205" s="5"/>
      <c r="U205" s="5"/>
      <c r="V205" s="5"/>
      <c r="W205" s="5"/>
      <c r="X205" s="5"/>
      <c r="Y205" s="5"/>
      <c r="Z205" s="5"/>
    </row>
    <row r="206" hidden="1">
      <c r="A206" s="5"/>
      <c r="B206" s="11">
        <v>14.0</v>
      </c>
      <c r="C206" s="26">
        <v>45853.0</v>
      </c>
      <c r="D206" s="13" t="s">
        <v>610</v>
      </c>
      <c r="E206" s="1" t="s">
        <v>611</v>
      </c>
      <c r="F206" s="1">
        <v>7.72248512E8</v>
      </c>
      <c r="G206" s="11" t="s">
        <v>28</v>
      </c>
      <c r="H206" s="26">
        <v>45889.0</v>
      </c>
      <c r="I206" s="16" t="s">
        <v>612</v>
      </c>
      <c r="J206" s="11" t="s">
        <v>25</v>
      </c>
      <c r="K206" s="1" t="b">
        <v>1</v>
      </c>
      <c r="L206" s="1" t="b">
        <v>1</v>
      </c>
      <c r="M206" s="5" t="b">
        <v>0</v>
      </c>
      <c r="N206" s="5" t="b">
        <v>0</v>
      </c>
      <c r="O206" s="5" t="b">
        <v>0</v>
      </c>
      <c r="P206" s="1" t="b">
        <v>1</v>
      </c>
      <c r="Q206" s="1" t="s">
        <v>613</v>
      </c>
      <c r="R206" s="5"/>
      <c r="S206" s="5"/>
      <c r="T206" s="5"/>
      <c r="U206" s="5"/>
      <c r="V206" s="5"/>
      <c r="W206" s="5"/>
      <c r="X206" s="5"/>
      <c r="Y206" s="5"/>
      <c r="Z206" s="5"/>
    </row>
    <row r="207" ht="18.0" hidden="1" customHeight="1">
      <c r="A207" s="5"/>
      <c r="B207" s="11">
        <v>17.0</v>
      </c>
      <c r="C207" s="26">
        <v>45854.0</v>
      </c>
      <c r="D207" s="13" t="s">
        <v>614</v>
      </c>
      <c r="E207" s="1" t="s">
        <v>615</v>
      </c>
      <c r="F207" s="1"/>
      <c r="G207" s="11" t="s">
        <v>28</v>
      </c>
      <c r="H207" s="43"/>
      <c r="I207" s="16" t="s">
        <v>616</v>
      </c>
      <c r="J207" s="11" t="s">
        <v>173</v>
      </c>
      <c r="K207" s="1" t="b">
        <v>1</v>
      </c>
      <c r="L207" s="1" t="b">
        <v>0</v>
      </c>
      <c r="M207" s="5" t="b">
        <v>0</v>
      </c>
      <c r="N207" s="5" t="b">
        <v>0</v>
      </c>
      <c r="O207" s="5" t="b">
        <v>0</v>
      </c>
      <c r="P207" s="1" t="b">
        <v>0</v>
      </c>
      <c r="Q207" s="1" t="s">
        <v>617</v>
      </c>
      <c r="R207" s="5"/>
      <c r="S207" s="5"/>
      <c r="T207" s="5"/>
      <c r="U207" s="5"/>
      <c r="V207" s="5"/>
      <c r="W207" s="5"/>
      <c r="X207" s="5"/>
      <c r="Y207" s="5"/>
      <c r="Z207" s="5"/>
    </row>
    <row r="208" ht="21.0" hidden="1" customHeight="1">
      <c r="A208" s="5"/>
      <c r="B208" s="11">
        <v>18.0</v>
      </c>
      <c r="C208" s="26">
        <v>45854.0</v>
      </c>
      <c r="D208" s="13" t="s">
        <v>618</v>
      </c>
      <c r="E208" s="1" t="s">
        <v>619</v>
      </c>
      <c r="F208" s="1"/>
      <c r="G208" s="11" t="s">
        <v>28</v>
      </c>
      <c r="H208" s="43"/>
      <c r="I208" s="16" t="s">
        <v>620</v>
      </c>
      <c r="J208" s="11" t="s">
        <v>25</v>
      </c>
      <c r="K208" s="1" t="b">
        <v>1</v>
      </c>
      <c r="L208" s="1" t="b">
        <v>1</v>
      </c>
      <c r="M208" s="1" t="b">
        <v>1</v>
      </c>
      <c r="N208" s="1" t="b">
        <v>1</v>
      </c>
      <c r="O208" s="5" t="b">
        <v>0</v>
      </c>
      <c r="P208" s="1" t="b">
        <v>0</v>
      </c>
      <c r="Q208" s="1" t="s">
        <v>621</v>
      </c>
      <c r="R208" s="5"/>
      <c r="S208" s="5"/>
      <c r="T208" s="5"/>
      <c r="U208" s="5"/>
      <c r="V208" s="5"/>
      <c r="W208" s="5"/>
      <c r="X208" s="5"/>
      <c r="Y208" s="5"/>
      <c r="Z208" s="5"/>
    </row>
    <row r="209" ht="18.75" hidden="1" customHeight="1">
      <c r="A209" s="5"/>
      <c r="B209" s="11">
        <v>19.0</v>
      </c>
      <c r="C209" s="26">
        <v>45854.0</v>
      </c>
      <c r="D209" s="13" t="s">
        <v>622</v>
      </c>
      <c r="E209" s="1" t="s">
        <v>623</v>
      </c>
      <c r="F209" s="1"/>
      <c r="G209" s="11" t="s">
        <v>28</v>
      </c>
      <c r="H209" s="43"/>
      <c r="I209" s="16" t="s">
        <v>624</v>
      </c>
      <c r="J209" s="11" t="s">
        <v>25</v>
      </c>
      <c r="K209" s="1" t="b">
        <v>1</v>
      </c>
      <c r="L209" s="1" t="b">
        <v>1</v>
      </c>
      <c r="M209" s="1" t="b">
        <v>1</v>
      </c>
      <c r="N209" s="1" t="b">
        <v>1</v>
      </c>
      <c r="O209" s="5" t="b">
        <v>0</v>
      </c>
      <c r="P209" s="1" t="b">
        <v>1</v>
      </c>
      <c r="Q209" s="1"/>
      <c r="R209" s="5"/>
      <c r="S209" s="5"/>
      <c r="T209" s="5"/>
      <c r="U209" s="5"/>
      <c r="V209" s="5"/>
      <c r="W209" s="5"/>
      <c r="X209" s="5"/>
      <c r="Y209" s="5"/>
      <c r="Z209" s="5"/>
    </row>
    <row r="210" ht="18.0" hidden="1" customHeight="1">
      <c r="A210" s="5"/>
      <c r="B210" s="11">
        <v>20.0</v>
      </c>
      <c r="C210" s="26">
        <v>45854.0</v>
      </c>
      <c r="D210" s="13" t="s">
        <v>625</v>
      </c>
      <c r="E210" s="1" t="s">
        <v>626</v>
      </c>
      <c r="F210" s="1">
        <v>7.72235565E8</v>
      </c>
      <c r="G210" s="11" t="s">
        <v>28</v>
      </c>
      <c r="H210" s="26">
        <v>45903.0</v>
      </c>
      <c r="I210" s="16" t="s">
        <v>627</v>
      </c>
      <c r="J210" s="11" t="s">
        <v>25</v>
      </c>
      <c r="K210" s="1" t="b">
        <v>1</v>
      </c>
      <c r="L210" s="1" t="b">
        <v>1</v>
      </c>
      <c r="M210" s="1" t="b">
        <v>1</v>
      </c>
      <c r="N210" s="1" t="b">
        <v>1</v>
      </c>
      <c r="O210" s="5" t="b">
        <v>0</v>
      </c>
      <c r="P210" s="1" t="b">
        <v>0</v>
      </c>
      <c r="Q210" s="1"/>
      <c r="R210" s="5"/>
      <c r="S210" s="5"/>
      <c r="T210" s="5"/>
      <c r="U210" s="5"/>
      <c r="V210" s="5"/>
      <c r="W210" s="5"/>
      <c r="X210" s="5"/>
      <c r="Y210" s="5"/>
      <c r="Z210" s="5"/>
    </row>
    <row r="211" ht="21.0" hidden="1" customHeight="1">
      <c r="A211" s="5"/>
      <c r="B211" s="2"/>
      <c r="C211" s="26">
        <v>45854.0</v>
      </c>
      <c r="D211" s="13" t="s">
        <v>628</v>
      </c>
      <c r="E211" s="1" t="s">
        <v>629</v>
      </c>
      <c r="F211" s="1"/>
      <c r="G211" s="11" t="s">
        <v>28</v>
      </c>
      <c r="H211" s="43"/>
      <c r="I211" s="16" t="s">
        <v>630</v>
      </c>
      <c r="J211" s="11" t="s">
        <v>25</v>
      </c>
      <c r="K211" s="1" t="b">
        <v>1</v>
      </c>
      <c r="L211" s="1" t="b">
        <v>0</v>
      </c>
      <c r="M211" s="1" t="b">
        <v>0</v>
      </c>
      <c r="N211" s="5" t="b">
        <v>0</v>
      </c>
      <c r="O211" s="5" t="b">
        <v>0</v>
      </c>
      <c r="P211" s="1" t="b">
        <v>0</v>
      </c>
      <c r="Q211" s="1" t="s">
        <v>631</v>
      </c>
      <c r="R211" s="5"/>
      <c r="S211" s="5"/>
      <c r="T211" s="5"/>
      <c r="U211" s="5"/>
      <c r="V211" s="5"/>
      <c r="W211" s="5"/>
      <c r="X211" s="5"/>
      <c r="Y211" s="5"/>
      <c r="Z211" s="5"/>
    </row>
    <row r="212" ht="50.25" hidden="1" customHeight="1">
      <c r="A212" s="5"/>
      <c r="B212" s="11">
        <v>21.0</v>
      </c>
      <c r="C212" s="26">
        <v>45855.0</v>
      </c>
      <c r="D212" s="13" t="s">
        <v>580</v>
      </c>
      <c r="E212" s="1" t="s">
        <v>632</v>
      </c>
      <c r="F212" s="1">
        <v>7.72159175E8</v>
      </c>
      <c r="G212" s="11" t="s">
        <v>411</v>
      </c>
      <c r="H212" s="43"/>
      <c r="I212" s="16" t="s">
        <v>633</v>
      </c>
      <c r="J212" s="11" t="s">
        <v>233</v>
      </c>
      <c r="K212" s="1" t="b">
        <v>0</v>
      </c>
      <c r="L212" s="1" t="b">
        <v>0</v>
      </c>
      <c r="M212" s="5" t="b">
        <v>0</v>
      </c>
      <c r="N212" s="5" t="b">
        <v>0</v>
      </c>
      <c r="O212" s="5" t="b">
        <v>0</v>
      </c>
      <c r="P212" s="1" t="b">
        <v>0</v>
      </c>
      <c r="Q212" s="1" t="s">
        <v>634</v>
      </c>
      <c r="R212" s="5"/>
      <c r="S212" s="5"/>
      <c r="T212" s="5"/>
      <c r="U212" s="5"/>
      <c r="V212" s="5"/>
      <c r="W212" s="5"/>
      <c r="X212" s="5"/>
      <c r="Y212" s="5"/>
      <c r="Z212" s="5"/>
    </row>
    <row r="213" ht="31.5" hidden="1" customHeight="1">
      <c r="A213" s="5"/>
      <c r="B213" s="2"/>
      <c r="C213" s="26">
        <v>45855.0</v>
      </c>
      <c r="D213" s="13" t="s">
        <v>635</v>
      </c>
      <c r="E213" s="1" t="s">
        <v>636</v>
      </c>
      <c r="F213" s="1"/>
      <c r="G213" s="11" t="s">
        <v>411</v>
      </c>
      <c r="H213" s="43"/>
      <c r="I213" s="16" t="s">
        <v>637</v>
      </c>
      <c r="J213" s="11" t="s">
        <v>233</v>
      </c>
      <c r="K213" s="1" t="b">
        <v>0</v>
      </c>
      <c r="L213" s="1" t="b">
        <v>0</v>
      </c>
      <c r="M213" s="5" t="b">
        <v>0</v>
      </c>
      <c r="N213" s="5" t="b">
        <v>0</v>
      </c>
      <c r="O213" s="5" t="b">
        <v>0</v>
      </c>
      <c r="P213" s="1" t="b">
        <v>0</v>
      </c>
      <c r="Q213" s="1" t="s">
        <v>638</v>
      </c>
      <c r="R213" s="5"/>
      <c r="S213" s="5"/>
      <c r="T213" s="5"/>
      <c r="U213" s="5"/>
      <c r="V213" s="5"/>
      <c r="W213" s="5"/>
      <c r="X213" s="5"/>
      <c r="Y213" s="5"/>
      <c r="Z213" s="5"/>
    </row>
    <row r="214" ht="21.0" hidden="1" customHeight="1">
      <c r="A214" s="5"/>
      <c r="B214" s="2"/>
      <c r="C214" s="26">
        <v>45856.0</v>
      </c>
      <c r="D214" s="13" t="s">
        <v>639</v>
      </c>
      <c r="E214" s="1"/>
      <c r="F214" s="1"/>
      <c r="G214" s="11"/>
      <c r="H214" s="26">
        <v>45862.0</v>
      </c>
      <c r="I214" s="16" t="s">
        <v>640</v>
      </c>
      <c r="J214" s="11" t="s">
        <v>25</v>
      </c>
      <c r="K214" s="1" t="b">
        <v>0</v>
      </c>
      <c r="L214" s="1" t="b">
        <v>0</v>
      </c>
      <c r="M214" s="5" t="b">
        <v>0</v>
      </c>
      <c r="N214" s="5" t="b">
        <v>0</v>
      </c>
      <c r="O214" s="5" t="b">
        <v>0</v>
      </c>
      <c r="P214" s="1" t="b">
        <v>0</v>
      </c>
      <c r="Q214" s="1"/>
      <c r="R214" s="5"/>
      <c r="S214" s="5"/>
      <c r="T214" s="5"/>
      <c r="U214" s="5"/>
      <c r="V214" s="5"/>
      <c r="W214" s="5"/>
      <c r="X214" s="5"/>
      <c r="Y214" s="5"/>
      <c r="Z214" s="5"/>
    </row>
    <row r="215" ht="31.5" hidden="1" customHeight="1">
      <c r="A215" s="5"/>
      <c r="B215" s="11" t="s">
        <v>641</v>
      </c>
      <c r="C215" s="26">
        <v>45666.0</v>
      </c>
      <c r="D215" s="13" t="s">
        <v>642</v>
      </c>
      <c r="E215" s="1" t="s">
        <v>643</v>
      </c>
      <c r="F215" s="1"/>
      <c r="G215" s="11" t="s">
        <v>23</v>
      </c>
      <c r="H215" s="1" t="s">
        <v>644</v>
      </c>
      <c r="I215" s="16" t="s">
        <v>645</v>
      </c>
      <c r="J215" s="11" t="s">
        <v>233</v>
      </c>
      <c r="K215" s="1" t="b">
        <v>0</v>
      </c>
      <c r="L215" s="1" t="b">
        <v>0</v>
      </c>
      <c r="M215" s="5" t="b">
        <v>0</v>
      </c>
      <c r="N215" s="5" t="b">
        <v>0</v>
      </c>
      <c r="O215" s="5" t="b">
        <v>0</v>
      </c>
      <c r="P215" s="1" t="b">
        <v>0</v>
      </c>
      <c r="Q215" s="1"/>
      <c r="R215" s="5"/>
      <c r="S215" s="5"/>
      <c r="T215" s="5"/>
      <c r="U215" s="5"/>
      <c r="V215" s="5"/>
      <c r="W215" s="5"/>
      <c r="X215" s="5"/>
      <c r="Y215" s="5"/>
      <c r="Z215" s="5"/>
    </row>
    <row r="216" ht="27.0" hidden="1" customHeight="1">
      <c r="A216" s="42"/>
      <c r="B216" s="60">
        <v>22.0</v>
      </c>
      <c r="C216" s="61">
        <v>45866.0</v>
      </c>
      <c r="D216" s="62" t="s">
        <v>227</v>
      </c>
      <c r="E216" s="63" t="s">
        <v>646</v>
      </c>
      <c r="F216" s="64">
        <v>7.74432853E8</v>
      </c>
      <c r="G216" s="60" t="s">
        <v>45</v>
      </c>
      <c r="H216" s="61">
        <v>45889.0</v>
      </c>
      <c r="I216" s="65" t="s">
        <v>647</v>
      </c>
      <c r="J216" s="66" t="s">
        <v>25</v>
      </c>
      <c r="K216" s="67" t="b">
        <v>1</v>
      </c>
      <c r="L216" s="67" t="b">
        <v>1</v>
      </c>
      <c r="M216" s="67" t="b">
        <v>1</v>
      </c>
      <c r="N216" s="68" t="b">
        <v>0</v>
      </c>
      <c r="O216" s="68" t="b">
        <v>1</v>
      </c>
      <c r="P216" s="67" t="b">
        <v>1</v>
      </c>
      <c r="Q216" s="63" t="s">
        <v>648</v>
      </c>
      <c r="R216" s="42"/>
      <c r="S216" s="42"/>
      <c r="T216" s="42"/>
      <c r="U216" s="42"/>
      <c r="V216" s="42"/>
      <c r="W216" s="42"/>
      <c r="X216" s="42"/>
      <c r="Y216" s="42"/>
      <c r="Z216" s="42"/>
    </row>
    <row r="217" ht="27.0" hidden="1" customHeight="1">
      <c r="A217" s="5"/>
      <c r="B217" s="11">
        <v>23.0</v>
      </c>
      <c r="C217" s="26">
        <v>45867.0</v>
      </c>
      <c r="D217" s="13" t="s">
        <v>57</v>
      </c>
      <c r="E217" s="1" t="s">
        <v>649</v>
      </c>
      <c r="F217" s="1">
        <v>7.86104151E8</v>
      </c>
      <c r="G217" s="11" t="s">
        <v>411</v>
      </c>
      <c r="H217" s="43"/>
      <c r="I217" s="16" t="s">
        <v>650</v>
      </c>
      <c r="J217" s="11" t="s">
        <v>233</v>
      </c>
      <c r="K217" s="1" t="b">
        <v>0</v>
      </c>
      <c r="L217" s="1" t="b">
        <v>0</v>
      </c>
      <c r="M217" s="1" t="b">
        <v>0</v>
      </c>
      <c r="N217" s="5" t="b">
        <v>0</v>
      </c>
      <c r="O217" s="5" t="b">
        <v>0</v>
      </c>
      <c r="P217" s="1" t="b">
        <v>0</v>
      </c>
      <c r="Q217" s="1" t="s">
        <v>651</v>
      </c>
      <c r="R217" s="5"/>
      <c r="S217" s="5"/>
      <c r="T217" s="5"/>
      <c r="U217" s="5"/>
      <c r="V217" s="5"/>
      <c r="W217" s="5"/>
      <c r="X217" s="5"/>
      <c r="Y217" s="5"/>
      <c r="Z217" s="5"/>
    </row>
    <row r="218" hidden="1">
      <c r="A218" s="5"/>
      <c r="B218" s="11">
        <v>24.0</v>
      </c>
      <c r="C218" s="26">
        <v>45867.0</v>
      </c>
      <c r="D218" s="13" t="s">
        <v>652</v>
      </c>
      <c r="E218" s="1" t="s">
        <v>653</v>
      </c>
      <c r="F218" s="1">
        <v>7.72339437E8</v>
      </c>
      <c r="G218" s="11" t="s">
        <v>411</v>
      </c>
      <c r="H218" s="43"/>
      <c r="I218" s="16" t="s">
        <v>654</v>
      </c>
      <c r="J218" s="11" t="s">
        <v>233</v>
      </c>
      <c r="K218" s="1" t="b">
        <v>1</v>
      </c>
      <c r="L218" s="1" t="b">
        <v>0</v>
      </c>
      <c r="M218" s="5" t="b">
        <v>0</v>
      </c>
      <c r="N218" s="5" t="b">
        <v>0</v>
      </c>
      <c r="O218" s="5" t="b">
        <v>0</v>
      </c>
      <c r="P218" s="1" t="b">
        <v>0</v>
      </c>
      <c r="Q218" s="1" t="s">
        <v>655</v>
      </c>
      <c r="R218" s="5"/>
      <c r="S218" s="5"/>
      <c r="T218" s="5"/>
      <c r="U218" s="5"/>
      <c r="V218" s="5"/>
      <c r="W218" s="5"/>
      <c r="X218" s="5"/>
      <c r="Y218" s="5"/>
      <c r="Z218" s="5"/>
    </row>
    <row r="219" hidden="1">
      <c r="A219" s="5"/>
      <c r="B219" s="11">
        <v>25.0</v>
      </c>
      <c r="C219" s="26">
        <v>45867.0</v>
      </c>
      <c r="D219" s="13" t="s">
        <v>656</v>
      </c>
      <c r="E219" s="1" t="s">
        <v>69</v>
      </c>
      <c r="F219" s="1"/>
      <c r="G219" s="11" t="s">
        <v>28</v>
      </c>
      <c r="H219" s="11" t="s">
        <v>530</v>
      </c>
      <c r="I219" s="16" t="s">
        <v>657</v>
      </c>
      <c r="J219" s="11" t="s">
        <v>25</v>
      </c>
      <c r="K219" s="1" t="b">
        <v>1</v>
      </c>
      <c r="L219" s="1" t="b">
        <v>1</v>
      </c>
      <c r="M219" s="1" t="b">
        <v>1</v>
      </c>
      <c r="N219" s="1" t="b">
        <v>1</v>
      </c>
      <c r="O219" s="5" t="b">
        <v>0</v>
      </c>
      <c r="P219" s="1" t="b">
        <v>1</v>
      </c>
      <c r="Q219" s="1"/>
      <c r="R219" s="5"/>
      <c r="S219" s="5"/>
      <c r="T219" s="5"/>
      <c r="U219" s="5"/>
      <c r="V219" s="5"/>
      <c r="W219" s="5"/>
      <c r="X219" s="5"/>
      <c r="Y219" s="5"/>
      <c r="Z219" s="5"/>
    </row>
    <row r="220" hidden="1">
      <c r="A220" s="5"/>
      <c r="B220" s="11">
        <v>26.0</v>
      </c>
      <c r="C220" s="26">
        <v>45868.0</v>
      </c>
      <c r="D220" s="13" t="s">
        <v>658</v>
      </c>
      <c r="E220" s="1" t="s">
        <v>659</v>
      </c>
      <c r="F220" s="1"/>
      <c r="G220" s="11" t="s">
        <v>45</v>
      </c>
      <c r="H220" s="11" t="s">
        <v>660</v>
      </c>
      <c r="I220" s="16" t="s">
        <v>661</v>
      </c>
      <c r="J220" s="11" t="s">
        <v>25</v>
      </c>
      <c r="K220" s="1" t="b">
        <v>1</v>
      </c>
      <c r="L220" s="1" t="b">
        <v>0</v>
      </c>
      <c r="M220" s="5" t="b">
        <v>0</v>
      </c>
      <c r="N220" s="5" t="b">
        <v>0</v>
      </c>
      <c r="O220" s="5" t="b">
        <v>0</v>
      </c>
      <c r="P220" s="1" t="b">
        <v>0</v>
      </c>
      <c r="Q220" s="1" t="s">
        <v>662</v>
      </c>
      <c r="R220" s="5"/>
      <c r="S220" s="5"/>
      <c r="T220" s="5"/>
      <c r="U220" s="5"/>
      <c r="V220" s="5"/>
      <c r="W220" s="5"/>
      <c r="X220" s="5"/>
      <c r="Y220" s="5"/>
      <c r="Z220" s="5"/>
    </row>
    <row r="221" hidden="1">
      <c r="A221" s="5"/>
      <c r="B221" s="11">
        <v>27.0</v>
      </c>
      <c r="C221" s="26">
        <v>45868.0</v>
      </c>
      <c r="D221" s="13" t="s">
        <v>663</v>
      </c>
      <c r="E221" s="1" t="s">
        <v>615</v>
      </c>
      <c r="F221" s="1">
        <v>7.72268699E8</v>
      </c>
      <c r="G221" s="11" t="s">
        <v>28</v>
      </c>
      <c r="H221" s="11" t="s">
        <v>664</v>
      </c>
      <c r="I221" s="16" t="s">
        <v>665</v>
      </c>
      <c r="J221" s="11" t="s">
        <v>25</v>
      </c>
      <c r="K221" s="1" t="b">
        <v>1</v>
      </c>
      <c r="L221" s="1" t="b">
        <v>0</v>
      </c>
      <c r="M221" s="5" t="b">
        <v>0</v>
      </c>
      <c r="N221" s="1" t="b">
        <v>1</v>
      </c>
      <c r="O221" s="5" t="b">
        <v>0</v>
      </c>
      <c r="P221" s="1" t="b">
        <v>1</v>
      </c>
      <c r="Q221" s="1"/>
      <c r="R221" s="5"/>
      <c r="S221" s="5"/>
      <c r="T221" s="5"/>
      <c r="U221" s="5"/>
      <c r="V221" s="5"/>
      <c r="W221" s="5"/>
      <c r="X221" s="5"/>
      <c r="Y221" s="5"/>
      <c r="Z221" s="5"/>
    </row>
    <row r="222" hidden="1">
      <c r="A222" s="5"/>
      <c r="B222" s="11">
        <v>28.0</v>
      </c>
      <c r="C222" s="26">
        <v>45869.0</v>
      </c>
      <c r="D222" s="13" t="s">
        <v>666</v>
      </c>
      <c r="E222" s="1" t="s">
        <v>611</v>
      </c>
      <c r="F222" s="1">
        <v>7.72248512E8</v>
      </c>
      <c r="G222" s="11" t="s">
        <v>28</v>
      </c>
      <c r="H222" s="11" t="s">
        <v>667</v>
      </c>
      <c r="I222" s="16" t="s">
        <v>668</v>
      </c>
      <c r="J222" s="11" t="s">
        <v>25</v>
      </c>
      <c r="K222" s="1" t="b">
        <v>1</v>
      </c>
      <c r="L222" s="1" t="b">
        <v>0</v>
      </c>
      <c r="M222" s="5" t="b">
        <v>0</v>
      </c>
      <c r="N222" s="5" t="b">
        <v>0</v>
      </c>
      <c r="O222" s="5" t="b">
        <v>0</v>
      </c>
      <c r="P222" s="1" t="b">
        <v>1</v>
      </c>
      <c r="Q222" s="1" t="s">
        <v>669</v>
      </c>
      <c r="R222" s="5"/>
      <c r="S222" s="5"/>
      <c r="T222" s="5"/>
      <c r="U222" s="5"/>
      <c r="V222" s="5"/>
      <c r="W222" s="5"/>
      <c r="X222" s="5"/>
      <c r="Y222" s="5"/>
      <c r="Z222" s="5"/>
    </row>
    <row r="223" hidden="1">
      <c r="A223" s="5"/>
      <c r="B223" s="11">
        <v>29.0</v>
      </c>
      <c r="C223" s="26">
        <v>45869.0</v>
      </c>
      <c r="D223" s="13" t="s">
        <v>670</v>
      </c>
      <c r="E223" s="1" t="s">
        <v>671</v>
      </c>
      <c r="F223" s="1">
        <v>7.7663879E8</v>
      </c>
      <c r="G223" s="11" t="s">
        <v>28</v>
      </c>
      <c r="H223" s="11" t="s">
        <v>672</v>
      </c>
      <c r="I223" s="16" t="s">
        <v>673</v>
      </c>
      <c r="J223" s="11" t="s">
        <v>25</v>
      </c>
      <c r="K223" s="1" t="b">
        <v>1</v>
      </c>
      <c r="L223" s="1" t="b">
        <v>0</v>
      </c>
      <c r="M223" s="5" t="b">
        <v>0</v>
      </c>
      <c r="N223" s="5" t="b">
        <v>0</v>
      </c>
      <c r="O223" s="5" t="b">
        <v>0</v>
      </c>
      <c r="P223" s="1" t="b">
        <v>0</v>
      </c>
      <c r="Q223" s="1" t="s">
        <v>674</v>
      </c>
      <c r="R223" s="5"/>
      <c r="S223" s="5"/>
      <c r="T223" s="5"/>
      <c r="U223" s="5"/>
      <c r="V223" s="5"/>
      <c r="W223" s="5"/>
      <c r="X223" s="5"/>
      <c r="Y223" s="5"/>
      <c r="Z223" s="5"/>
    </row>
    <row r="224" hidden="1">
      <c r="A224" s="5"/>
      <c r="B224" s="11">
        <v>30.0</v>
      </c>
      <c r="C224" s="69">
        <v>45869.0</v>
      </c>
      <c r="D224" s="13" t="s">
        <v>675</v>
      </c>
      <c r="E224" s="1" t="s">
        <v>676</v>
      </c>
      <c r="F224" s="1">
        <v>7.77066466E8</v>
      </c>
      <c r="G224" s="11" t="s">
        <v>411</v>
      </c>
      <c r="H224" s="11" t="s">
        <v>677</v>
      </c>
      <c r="I224" s="16" t="s">
        <v>678</v>
      </c>
      <c r="J224" s="11" t="s">
        <v>25</v>
      </c>
      <c r="K224" s="1" t="b">
        <v>1</v>
      </c>
      <c r="L224" s="1" t="b">
        <v>0</v>
      </c>
      <c r="M224" s="5" t="b">
        <v>0</v>
      </c>
      <c r="N224" s="1" t="b">
        <v>0</v>
      </c>
      <c r="O224" s="5" t="b">
        <v>0</v>
      </c>
      <c r="P224" s="1" t="b">
        <v>0</v>
      </c>
      <c r="Q224" s="1" t="s">
        <v>679</v>
      </c>
      <c r="R224" s="5"/>
      <c r="S224" s="5"/>
      <c r="T224" s="5"/>
      <c r="U224" s="5"/>
      <c r="V224" s="5"/>
      <c r="W224" s="5"/>
      <c r="X224" s="5"/>
      <c r="Y224" s="5"/>
      <c r="Z224" s="5"/>
    </row>
    <row r="225" hidden="1">
      <c r="A225" s="5"/>
      <c r="B225" s="11">
        <v>31.0</v>
      </c>
      <c r="C225" s="70">
        <v>45874.0</v>
      </c>
      <c r="D225" s="13" t="s">
        <v>680</v>
      </c>
      <c r="E225" s="1" t="s">
        <v>681</v>
      </c>
      <c r="F225" s="1">
        <v>7.78915827E8</v>
      </c>
      <c r="G225" s="11" t="s">
        <v>411</v>
      </c>
      <c r="H225" s="43"/>
      <c r="I225" s="16" t="s">
        <v>682</v>
      </c>
      <c r="J225" s="11" t="s">
        <v>233</v>
      </c>
      <c r="K225" s="1" t="b">
        <v>0</v>
      </c>
      <c r="L225" s="1" t="b">
        <v>0</v>
      </c>
      <c r="M225" s="5" t="b">
        <v>0</v>
      </c>
      <c r="N225" s="1" t="b">
        <v>0</v>
      </c>
      <c r="O225" s="5" t="b">
        <v>0</v>
      </c>
      <c r="P225" s="1" t="b">
        <v>0</v>
      </c>
      <c r="Q225" s="1" t="s">
        <v>683</v>
      </c>
      <c r="R225" s="5"/>
      <c r="S225" s="5"/>
      <c r="T225" s="5"/>
      <c r="U225" s="5"/>
      <c r="V225" s="5"/>
      <c r="W225" s="5"/>
      <c r="X225" s="5"/>
      <c r="Y225" s="5"/>
      <c r="Z225" s="5"/>
    </row>
    <row r="226" hidden="1">
      <c r="A226" s="5"/>
      <c r="B226" s="11">
        <v>32.0</v>
      </c>
      <c r="C226" s="70">
        <v>45875.0</v>
      </c>
      <c r="D226" s="13" t="s">
        <v>684</v>
      </c>
      <c r="E226" s="1" t="s">
        <v>636</v>
      </c>
      <c r="F226" s="1">
        <f>27835550054</f>
        <v>27835550054</v>
      </c>
      <c r="G226" s="11" t="s">
        <v>411</v>
      </c>
      <c r="H226" s="43"/>
      <c r="I226" s="16" t="s">
        <v>685</v>
      </c>
      <c r="J226" s="11" t="s">
        <v>25</v>
      </c>
      <c r="K226" s="1" t="b">
        <v>1</v>
      </c>
      <c r="L226" s="1" t="b">
        <v>0</v>
      </c>
      <c r="M226" s="5" t="b">
        <v>0</v>
      </c>
      <c r="N226" s="1" t="b">
        <v>0</v>
      </c>
      <c r="O226" s="1" t="b">
        <v>1</v>
      </c>
      <c r="P226" s="1" t="b">
        <v>1</v>
      </c>
      <c r="Q226" s="1" t="s">
        <v>686</v>
      </c>
      <c r="R226" s="5"/>
      <c r="S226" s="5"/>
      <c r="T226" s="5"/>
      <c r="U226" s="5"/>
      <c r="V226" s="5"/>
      <c r="W226" s="5"/>
      <c r="X226" s="5"/>
      <c r="Y226" s="5"/>
      <c r="Z226" s="5"/>
    </row>
    <row r="227" hidden="1">
      <c r="A227" s="5"/>
      <c r="B227" s="11">
        <v>33.0</v>
      </c>
      <c r="C227" s="70">
        <v>45876.0</v>
      </c>
      <c r="D227" s="13" t="s">
        <v>687</v>
      </c>
      <c r="E227" s="1" t="s">
        <v>688</v>
      </c>
      <c r="F227" s="1">
        <v>7.76436915E8</v>
      </c>
      <c r="G227" s="11" t="s">
        <v>411</v>
      </c>
      <c r="H227" s="11" t="s">
        <v>689</v>
      </c>
      <c r="I227" s="16" t="s">
        <v>690</v>
      </c>
      <c r="J227" s="11" t="s">
        <v>25</v>
      </c>
      <c r="K227" s="1" t="b">
        <v>1</v>
      </c>
      <c r="L227" s="1" t="b">
        <v>0</v>
      </c>
      <c r="M227" s="5" t="b">
        <v>0</v>
      </c>
      <c r="N227" s="1" t="b">
        <v>0</v>
      </c>
      <c r="O227" s="5" t="b">
        <v>0</v>
      </c>
      <c r="P227" s="1" t="b">
        <v>1</v>
      </c>
      <c r="Q227" s="1" t="s">
        <v>691</v>
      </c>
      <c r="R227" s="5"/>
      <c r="S227" s="5"/>
      <c r="T227" s="5"/>
      <c r="U227" s="5"/>
      <c r="V227" s="5"/>
      <c r="W227" s="5"/>
      <c r="X227" s="5"/>
      <c r="Y227" s="5"/>
      <c r="Z227" s="5"/>
    </row>
    <row r="228" hidden="1">
      <c r="A228" s="5"/>
      <c r="B228" s="11">
        <v>34.0</v>
      </c>
      <c r="C228" s="70">
        <v>45876.0</v>
      </c>
      <c r="D228" s="13" t="s">
        <v>692</v>
      </c>
      <c r="E228" s="1" t="s">
        <v>693</v>
      </c>
      <c r="F228" s="1">
        <v>7.72309968E8</v>
      </c>
      <c r="G228" s="11" t="s">
        <v>28</v>
      </c>
      <c r="H228" s="43"/>
      <c r="I228" s="16" t="s">
        <v>430</v>
      </c>
      <c r="J228" s="11" t="s">
        <v>25</v>
      </c>
      <c r="K228" s="1" t="b">
        <v>1</v>
      </c>
      <c r="L228" s="1" t="b">
        <v>0</v>
      </c>
      <c r="M228" s="5" t="b">
        <v>0</v>
      </c>
      <c r="N228" s="1" t="b">
        <v>0</v>
      </c>
      <c r="O228" s="1" t="b">
        <v>1</v>
      </c>
      <c r="P228" s="1" t="b">
        <v>1</v>
      </c>
      <c r="Q228" s="1" t="s">
        <v>662</v>
      </c>
      <c r="R228" s="5"/>
      <c r="S228" s="5"/>
      <c r="T228" s="5"/>
      <c r="U228" s="5"/>
      <c r="V228" s="5"/>
      <c r="W228" s="5"/>
      <c r="X228" s="5"/>
      <c r="Y228" s="5"/>
      <c r="Z228" s="5"/>
    </row>
    <row r="229" hidden="1">
      <c r="A229" s="5"/>
      <c r="B229" s="11">
        <v>35.0</v>
      </c>
      <c r="C229" s="70">
        <v>45876.0</v>
      </c>
      <c r="D229" s="13" t="s">
        <v>694</v>
      </c>
      <c r="E229" s="1" t="s">
        <v>187</v>
      </c>
      <c r="F229" s="1">
        <v>7.74011463E8</v>
      </c>
      <c r="G229" s="11" t="s">
        <v>28</v>
      </c>
      <c r="H229" s="11" t="s">
        <v>695</v>
      </c>
      <c r="I229" s="16" t="s">
        <v>696</v>
      </c>
      <c r="J229" s="11" t="s">
        <v>25</v>
      </c>
      <c r="K229" s="1" t="b">
        <v>1</v>
      </c>
      <c r="L229" s="1" t="b">
        <v>0</v>
      </c>
      <c r="M229" s="5" t="b">
        <v>0</v>
      </c>
      <c r="N229" s="1" t="b">
        <v>0</v>
      </c>
      <c r="O229" s="5" t="b">
        <v>0</v>
      </c>
      <c r="P229" s="1" t="b">
        <v>0</v>
      </c>
      <c r="Q229" s="1"/>
      <c r="R229" s="5"/>
      <c r="S229" s="5"/>
      <c r="T229" s="5"/>
      <c r="U229" s="5"/>
      <c r="V229" s="5"/>
      <c r="W229" s="5"/>
      <c r="X229" s="5"/>
      <c r="Y229" s="5"/>
      <c r="Z229" s="5"/>
    </row>
    <row r="230" hidden="1">
      <c r="A230" s="5"/>
      <c r="B230" s="11">
        <v>36.0</v>
      </c>
      <c r="C230" s="70">
        <v>45877.0</v>
      </c>
      <c r="D230" s="13" t="s">
        <v>697</v>
      </c>
      <c r="E230" s="1" t="s">
        <v>698</v>
      </c>
      <c r="F230" s="1">
        <v>7.72288951E8</v>
      </c>
      <c r="G230" s="11" t="s">
        <v>45</v>
      </c>
      <c r="H230" s="26">
        <v>45891.0</v>
      </c>
      <c r="I230" s="16" t="s">
        <v>699</v>
      </c>
      <c r="J230" s="11" t="s">
        <v>25</v>
      </c>
      <c r="K230" s="1" t="b">
        <v>1</v>
      </c>
      <c r="L230" s="1" t="b">
        <v>0</v>
      </c>
      <c r="M230" s="5" t="b">
        <v>0</v>
      </c>
      <c r="N230" s="1" t="b">
        <v>0</v>
      </c>
      <c r="O230" s="5" t="b">
        <v>0</v>
      </c>
      <c r="P230" s="1" t="b">
        <v>1</v>
      </c>
      <c r="Q230" s="1" t="s">
        <v>700</v>
      </c>
      <c r="R230" s="5"/>
      <c r="S230" s="5"/>
      <c r="T230" s="5"/>
      <c r="U230" s="5"/>
      <c r="V230" s="5"/>
      <c r="W230" s="5"/>
      <c r="X230" s="5"/>
      <c r="Y230" s="5"/>
      <c r="Z230" s="5"/>
    </row>
    <row r="231" hidden="1">
      <c r="A231" s="5"/>
      <c r="B231" s="11">
        <v>37.0</v>
      </c>
      <c r="C231" s="70">
        <v>45878.0</v>
      </c>
      <c r="D231" s="13" t="s">
        <v>701</v>
      </c>
      <c r="E231" s="1" t="s">
        <v>702</v>
      </c>
      <c r="F231" s="1">
        <v>7.72676676E8</v>
      </c>
      <c r="G231" s="11" t="s">
        <v>28</v>
      </c>
      <c r="H231" s="43"/>
      <c r="I231" s="16" t="s">
        <v>703</v>
      </c>
      <c r="J231" s="11" t="s">
        <v>25</v>
      </c>
      <c r="K231" s="1" t="b">
        <v>0</v>
      </c>
      <c r="L231" s="1" t="b">
        <v>0</v>
      </c>
      <c r="M231" s="5" t="b">
        <v>0</v>
      </c>
      <c r="N231" s="1" t="b">
        <v>0</v>
      </c>
      <c r="O231" s="5" t="b">
        <v>0</v>
      </c>
      <c r="P231" s="1" t="b">
        <v>0</v>
      </c>
      <c r="Q231" s="1"/>
      <c r="R231" s="5"/>
      <c r="S231" s="5"/>
      <c r="T231" s="5"/>
      <c r="U231" s="5"/>
      <c r="V231" s="5"/>
      <c r="W231" s="5"/>
      <c r="X231" s="5"/>
      <c r="Y231" s="5"/>
      <c r="Z231" s="5"/>
    </row>
    <row r="232" hidden="1">
      <c r="A232" s="5"/>
      <c r="B232" s="11">
        <v>38.0</v>
      </c>
      <c r="C232" s="70">
        <v>45882.0</v>
      </c>
      <c r="D232" s="13" t="s">
        <v>704</v>
      </c>
      <c r="E232" s="1" t="s">
        <v>705</v>
      </c>
      <c r="F232" s="1"/>
      <c r="G232" s="11" t="s">
        <v>411</v>
      </c>
      <c r="H232" s="26"/>
      <c r="I232" s="16"/>
      <c r="J232" s="11" t="s">
        <v>233</v>
      </c>
      <c r="K232" s="1" t="b">
        <v>1</v>
      </c>
      <c r="L232" s="1" t="b">
        <v>0</v>
      </c>
      <c r="M232" s="5" t="b">
        <v>0</v>
      </c>
      <c r="N232" s="1" t="b">
        <v>0</v>
      </c>
      <c r="O232" s="5" t="b">
        <v>0</v>
      </c>
      <c r="P232" s="1" t="b">
        <v>0</v>
      </c>
      <c r="Q232" s="1" t="s">
        <v>706</v>
      </c>
      <c r="R232" s="5"/>
      <c r="S232" s="5"/>
      <c r="T232" s="5"/>
      <c r="U232" s="5"/>
      <c r="V232" s="5"/>
      <c r="W232" s="5"/>
      <c r="X232" s="5"/>
      <c r="Y232" s="5"/>
      <c r="Z232" s="5"/>
    </row>
    <row r="233" hidden="1">
      <c r="A233" s="5"/>
      <c r="B233" s="11">
        <v>38.0</v>
      </c>
      <c r="C233" s="26">
        <v>45882.0</v>
      </c>
      <c r="D233" s="13" t="s">
        <v>707</v>
      </c>
      <c r="E233" s="1" t="s">
        <v>708</v>
      </c>
      <c r="F233" s="1">
        <v>7.72119063E8</v>
      </c>
      <c r="G233" s="11" t="s">
        <v>411</v>
      </c>
      <c r="H233" s="26">
        <v>45891.0</v>
      </c>
      <c r="I233" s="16" t="s">
        <v>709</v>
      </c>
      <c r="J233" s="11" t="s">
        <v>25</v>
      </c>
      <c r="K233" s="1" t="b">
        <v>1</v>
      </c>
      <c r="L233" s="1" t="b">
        <v>1</v>
      </c>
      <c r="M233" s="5" t="b">
        <v>0</v>
      </c>
      <c r="N233" s="1" t="b">
        <v>0</v>
      </c>
      <c r="O233" s="1" t="b">
        <v>1</v>
      </c>
      <c r="P233" s="1" t="b">
        <v>1</v>
      </c>
      <c r="Q233" s="1"/>
      <c r="R233" s="5"/>
      <c r="S233" s="5"/>
      <c r="T233" s="5"/>
      <c r="U233" s="5"/>
      <c r="V233" s="5"/>
      <c r="W233" s="5"/>
      <c r="X233" s="5"/>
      <c r="Y233" s="5"/>
      <c r="Z233" s="5"/>
    </row>
    <row r="234" hidden="1">
      <c r="A234" s="5"/>
      <c r="B234" s="11">
        <v>39.0</v>
      </c>
      <c r="C234" s="26">
        <v>45883.0</v>
      </c>
      <c r="D234" s="13" t="s">
        <v>710</v>
      </c>
      <c r="E234" s="1" t="s">
        <v>711</v>
      </c>
      <c r="F234" s="1">
        <v>7.72131396E8</v>
      </c>
      <c r="G234" s="11" t="s">
        <v>45</v>
      </c>
      <c r="H234" s="43"/>
      <c r="I234" s="16" t="s">
        <v>712</v>
      </c>
      <c r="J234" s="11" t="s">
        <v>233</v>
      </c>
      <c r="K234" s="1" t="b">
        <v>1</v>
      </c>
      <c r="L234" s="1" t="b">
        <v>0</v>
      </c>
      <c r="M234" s="5" t="b">
        <v>0</v>
      </c>
      <c r="N234" s="1" t="b">
        <v>0</v>
      </c>
      <c r="O234" s="5" t="b">
        <v>0</v>
      </c>
      <c r="P234" s="1" t="b">
        <v>0</v>
      </c>
      <c r="Q234" s="1" t="s">
        <v>713</v>
      </c>
      <c r="R234" s="5"/>
      <c r="S234" s="5"/>
      <c r="T234" s="5"/>
      <c r="U234" s="5"/>
      <c r="V234" s="5"/>
      <c r="W234" s="5"/>
      <c r="X234" s="5"/>
      <c r="Y234" s="5"/>
      <c r="Z234" s="5"/>
    </row>
    <row r="235" hidden="1">
      <c r="A235" s="5"/>
      <c r="B235" s="11">
        <v>40.0</v>
      </c>
      <c r="C235" s="26">
        <v>45884.0</v>
      </c>
      <c r="D235" s="13" t="s">
        <v>714</v>
      </c>
      <c r="E235" s="1" t="s">
        <v>715</v>
      </c>
      <c r="F235" s="1">
        <v>7.7975092E8</v>
      </c>
      <c r="G235" s="11" t="s">
        <v>28</v>
      </c>
      <c r="H235" s="26">
        <v>45898.0</v>
      </c>
      <c r="I235" s="16" t="s">
        <v>716</v>
      </c>
      <c r="J235" s="11" t="s">
        <v>25</v>
      </c>
      <c r="K235" s="1" t="b">
        <v>1</v>
      </c>
      <c r="L235" s="1" t="b">
        <v>0</v>
      </c>
      <c r="M235" s="5" t="b">
        <v>0</v>
      </c>
      <c r="N235" s="1" t="b">
        <v>0</v>
      </c>
      <c r="O235" s="5" t="b">
        <v>0</v>
      </c>
      <c r="P235" s="1" t="b">
        <v>1</v>
      </c>
      <c r="Q235" s="1" t="s">
        <v>717</v>
      </c>
      <c r="R235" s="5"/>
      <c r="S235" s="5"/>
      <c r="T235" s="5"/>
      <c r="U235" s="5"/>
      <c r="V235" s="5"/>
      <c r="W235" s="5"/>
      <c r="X235" s="5"/>
      <c r="Y235" s="5"/>
      <c r="Z235" s="5"/>
    </row>
    <row r="236" hidden="1">
      <c r="A236" s="5"/>
      <c r="B236" s="11">
        <v>41.0</v>
      </c>
      <c r="C236" s="26">
        <v>45884.0</v>
      </c>
      <c r="D236" s="13" t="s">
        <v>718</v>
      </c>
      <c r="E236" s="1"/>
      <c r="F236" s="1">
        <v>7.83061419E8</v>
      </c>
      <c r="G236" s="11" t="s">
        <v>411</v>
      </c>
      <c r="H236" s="26">
        <v>45911.0</v>
      </c>
      <c r="I236" s="16" t="s">
        <v>719</v>
      </c>
      <c r="J236" s="11" t="s">
        <v>25</v>
      </c>
      <c r="K236" s="1" t="b">
        <v>1</v>
      </c>
      <c r="L236" s="1" t="b">
        <v>0</v>
      </c>
      <c r="M236" s="5" t="b">
        <v>0</v>
      </c>
      <c r="N236" s="1" t="b">
        <v>0</v>
      </c>
      <c r="O236" s="5" t="b">
        <v>0</v>
      </c>
      <c r="P236" s="1" t="b">
        <v>1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idden="1">
      <c r="A237" s="5"/>
      <c r="B237" s="11">
        <v>42.0</v>
      </c>
      <c r="C237" s="26">
        <v>45884.0</v>
      </c>
      <c r="D237" s="13" t="s">
        <v>720</v>
      </c>
      <c r="E237" s="1" t="s">
        <v>251</v>
      </c>
      <c r="F237" s="1">
        <v>7.72354967E8</v>
      </c>
      <c r="G237" s="11" t="s">
        <v>28</v>
      </c>
      <c r="H237" s="43"/>
      <c r="I237" s="16" t="s">
        <v>721</v>
      </c>
      <c r="J237" s="11" t="s">
        <v>25</v>
      </c>
      <c r="K237" s="1" t="b">
        <v>1</v>
      </c>
      <c r="L237" s="1" t="b">
        <v>1</v>
      </c>
      <c r="M237" s="5" t="b">
        <v>0</v>
      </c>
      <c r="N237" s="1" t="b">
        <v>0</v>
      </c>
      <c r="O237" s="5" t="b">
        <v>0</v>
      </c>
      <c r="P237" s="1" t="b">
        <v>0</v>
      </c>
      <c r="Q237" s="1" t="s">
        <v>722</v>
      </c>
      <c r="R237" s="5"/>
      <c r="S237" s="5"/>
      <c r="T237" s="5"/>
      <c r="U237" s="5"/>
      <c r="V237" s="5"/>
      <c r="W237" s="5"/>
      <c r="X237" s="5"/>
      <c r="Y237" s="5"/>
      <c r="Z237" s="5"/>
    </row>
    <row r="238" hidden="1">
      <c r="A238" s="5"/>
      <c r="B238" s="11">
        <v>43.0</v>
      </c>
      <c r="C238" s="26">
        <v>45885.0</v>
      </c>
      <c r="D238" s="13" t="s">
        <v>723</v>
      </c>
      <c r="E238" s="1" t="s">
        <v>54</v>
      </c>
      <c r="F238" s="1">
        <v>7.72342915E8</v>
      </c>
      <c r="G238" s="11" t="s">
        <v>28</v>
      </c>
      <c r="H238" s="11" t="s">
        <v>689</v>
      </c>
      <c r="I238" s="16" t="s">
        <v>724</v>
      </c>
      <c r="J238" s="11" t="s">
        <v>25</v>
      </c>
      <c r="K238" s="1" t="b">
        <v>0</v>
      </c>
      <c r="L238" s="1" t="b">
        <v>0</v>
      </c>
      <c r="M238" s="5" t="b">
        <v>0</v>
      </c>
      <c r="N238" s="1" t="b">
        <v>0</v>
      </c>
      <c r="O238" s="5" t="b">
        <v>0</v>
      </c>
      <c r="P238" s="1" t="b"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idden="1">
      <c r="A239" s="5"/>
      <c r="B239" s="11">
        <v>44.0</v>
      </c>
      <c r="C239" s="26">
        <v>45888.0</v>
      </c>
      <c r="D239" s="13" t="s">
        <v>725</v>
      </c>
      <c r="E239" s="1" t="s">
        <v>726</v>
      </c>
      <c r="F239" s="1">
        <v>7.72354967E8</v>
      </c>
      <c r="G239" s="11" t="s">
        <v>28</v>
      </c>
      <c r="H239" s="43"/>
      <c r="I239" s="16" t="s">
        <v>727</v>
      </c>
      <c r="J239" s="11" t="s">
        <v>233</v>
      </c>
      <c r="K239" s="1" t="b">
        <v>0</v>
      </c>
      <c r="L239" s="1" t="b">
        <v>0</v>
      </c>
      <c r="M239" s="5" t="b">
        <v>0</v>
      </c>
      <c r="N239" s="1" t="b">
        <v>0</v>
      </c>
      <c r="O239" s="5" t="b">
        <v>0</v>
      </c>
      <c r="P239" s="1" t="b">
        <v>0</v>
      </c>
      <c r="Q239" s="1" t="s">
        <v>728</v>
      </c>
      <c r="R239" s="5"/>
      <c r="S239" s="5"/>
      <c r="T239" s="5"/>
      <c r="U239" s="5"/>
      <c r="V239" s="5"/>
      <c r="W239" s="5"/>
      <c r="X239" s="5"/>
      <c r="Y239" s="5"/>
      <c r="Z239" s="5"/>
    </row>
    <row r="240" hidden="1">
      <c r="A240" s="5"/>
      <c r="B240" s="11">
        <v>45.0</v>
      </c>
      <c r="C240" s="26">
        <v>45888.0</v>
      </c>
      <c r="D240" s="13" t="s">
        <v>687</v>
      </c>
      <c r="E240" s="1" t="s">
        <v>688</v>
      </c>
      <c r="F240" s="1">
        <v>7.76436915E8</v>
      </c>
      <c r="G240" s="11" t="s">
        <v>411</v>
      </c>
      <c r="H240" s="11" t="s">
        <v>729</v>
      </c>
      <c r="I240" s="16" t="s">
        <v>730</v>
      </c>
      <c r="J240" s="11" t="s">
        <v>25</v>
      </c>
      <c r="K240" s="1" t="b">
        <v>1</v>
      </c>
      <c r="L240" s="1" t="b">
        <v>1</v>
      </c>
      <c r="M240" s="1" t="b">
        <v>1</v>
      </c>
      <c r="N240" s="1" t="b">
        <v>0</v>
      </c>
      <c r="O240" s="5" t="b">
        <v>0</v>
      </c>
      <c r="P240" s="1" t="b">
        <v>1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11">
        <v>46.0</v>
      </c>
      <c r="C241" s="26">
        <v>45888.0</v>
      </c>
      <c r="D241" s="13" t="s">
        <v>731</v>
      </c>
      <c r="E241" s="1" t="s">
        <v>732</v>
      </c>
      <c r="F241" s="1">
        <v>7.721305E8</v>
      </c>
      <c r="G241" s="11" t="s">
        <v>28</v>
      </c>
      <c r="H241" s="43"/>
      <c r="I241" s="16" t="s">
        <v>733</v>
      </c>
      <c r="J241" s="11" t="s">
        <v>734</v>
      </c>
      <c r="K241" s="1" t="b">
        <v>0</v>
      </c>
      <c r="L241" s="1" t="b">
        <v>0</v>
      </c>
      <c r="M241" s="5" t="b">
        <v>0</v>
      </c>
      <c r="N241" s="1" t="b">
        <v>0</v>
      </c>
      <c r="O241" s="5" t="b">
        <v>0</v>
      </c>
      <c r="P241" s="1" t="b">
        <v>0</v>
      </c>
      <c r="Q241" s="1" t="s">
        <v>735</v>
      </c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11">
        <v>47.0</v>
      </c>
      <c r="C242" s="26">
        <v>45888.0</v>
      </c>
      <c r="D242" s="13" t="s">
        <v>736</v>
      </c>
      <c r="E242" s="1" t="s">
        <v>737</v>
      </c>
      <c r="F242" s="1">
        <v>7.35618742E8</v>
      </c>
      <c r="G242" s="11" t="s">
        <v>28</v>
      </c>
      <c r="H242" s="43"/>
      <c r="I242" s="16" t="s">
        <v>738</v>
      </c>
      <c r="J242" s="11" t="s">
        <v>739</v>
      </c>
      <c r="K242" s="1" t="b">
        <v>1</v>
      </c>
      <c r="L242" s="1" t="b">
        <v>1</v>
      </c>
      <c r="M242" s="1" t="b">
        <v>1</v>
      </c>
      <c r="N242" s="1" t="b">
        <v>0</v>
      </c>
      <c r="O242" s="1" t="b">
        <v>1</v>
      </c>
      <c r="P242" s="1" t="b">
        <v>1</v>
      </c>
      <c r="Q242" s="21"/>
      <c r="R242" s="5"/>
      <c r="S242" s="5"/>
      <c r="T242" s="5"/>
      <c r="U242" s="5"/>
      <c r="V242" s="5"/>
      <c r="W242" s="5"/>
      <c r="X242" s="5"/>
      <c r="Y242" s="5"/>
      <c r="Z242" s="5"/>
    </row>
    <row r="243" hidden="1">
      <c r="A243" s="5"/>
      <c r="B243" s="11">
        <v>48.0</v>
      </c>
      <c r="C243" s="26">
        <v>45888.0</v>
      </c>
      <c r="D243" s="13" t="s">
        <v>365</v>
      </c>
      <c r="E243" s="1" t="s">
        <v>740</v>
      </c>
      <c r="F243" s="1"/>
      <c r="G243" s="11"/>
      <c r="H243" s="11" t="s">
        <v>729</v>
      </c>
      <c r="I243" s="16" t="s">
        <v>741</v>
      </c>
      <c r="J243" s="11" t="s">
        <v>25</v>
      </c>
      <c r="K243" s="1" t="b">
        <v>0</v>
      </c>
      <c r="L243" s="1" t="b">
        <v>0</v>
      </c>
      <c r="M243" s="5" t="b">
        <v>0</v>
      </c>
      <c r="N243" s="1" t="b">
        <v>0</v>
      </c>
      <c r="O243" s="5" t="b">
        <v>0</v>
      </c>
      <c r="P243" s="1" t="b">
        <v>1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idden="1">
      <c r="A244" s="5"/>
      <c r="B244" s="11">
        <v>49.0</v>
      </c>
      <c r="C244" s="26">
        <v>45894.0</v>
      </c>
      <c r="D244" s="13" t="s">
        <v>742</v>
      </c>
      <c r="E244" s="1"/>
      <c r="F244" s="1">
        <v>7.77318834E8</v>
      </c>
      <c r="G244" s="11" t="s">
        <v>411</v>
      </c>
      <c r="H244" s="43"/>
      <c r="I244" s="16" t="s">
        <v>743</v>
      </c>
      <c r="J244" s="11" t="s">
        <v>233</v>
      </c>
      <c r="K244" s="1" t="b">
        <v>0</v>
      </c>
      <c r="L244" s="1" t="b">
        <v>0</v>
      </c>
      <c r="M244" s="5" t="b">
        <v>0</v>
      </c>
      <c r="N244" s="5" t="b">
        <v>0</v>
      </c>
      <c r="O244" s="5" t="b">
        <v>0</v>
      </c>
      <c r="P244" s="1" t="b">
        <v>0</v>
      </c>
      <c r="Q244" s="1"/>
      <c r="R244" s="5"/>
      <c r="S244" s="5"/>
      <c r="T244" s="5"/>
      <c r="U244" s="5"/>
      <c r="V244" s="5"/>
      <c r="W244" s="5"/>
      <c r="X244" s="5"/>
      <c r="Y244" s="5"/>
      <c r="Z244" s="5"/>
    </row>
    <row r="245" hidden="1">
      <c r="A245" s="5"/>
      <c r="B245" s="11">
        <v>50.0</v>
      </c>
      <c r="C245" s="26">
        <v>45895.0</v>
      </c>
      <c r="D245" s="13" t="s">
        <v>744</v>
      </c>
      <c r="E245" s="1"/>
      <c r="F245" s="1">
        <v>7.84532976E8</v>
      </c>
      <c r="G245" s="11" t="s">
        <v>45</v>
      </c>
      <c r="H245" s="43"/>
      <c r="I245" s="16" t="s">
        <v>745</v>
      </c>
      <c r="J245" s="11" t="s">
        <v>25</v>
      </c>
      <c r="K245" s="1" t="b">
        <v>1</v>
      </c>
      <c r="L245" s="1" t="b">
        <v>0</v>
      </c>
      <c r="M245" s="5" t="b">
        <v>0</v>
      </c>
      <c r="N245" s="5" t="b">
        <v>0</v>
      </c>
      <c r="O245" s="5" t="b">
        <v>0</v>
      </c>
      <c r="P245" s="1" t="b">
        <v>1</v>
      </c>
      <c r="Q245" s="71" t="s">
        <v>746</v>
      </c>
      <c r="R245" s="5"/>
      <c r="S245" s="5"/>
      <c r="T245" s="5"/>
      <c r="U245" s="5"/>
      <c r="V245" s="5"/>
      <c r="W245" s="5"/>
      <c r="X245" s="5"/>
      <c r="Y245" s="5"/>
      <c r="Z245" s="5"/>
    </row>
    <row r="246" hidden="1">
      <c r="A246" s="5"/>
      <c r="B246" s="11">
        <v>51.0</v>
      </c>
      <c r="C246" s="26">
        <v>45895.0</v>
      </c>
      <c r="D246" s="13" t="s">
        <v>747</v>
      </c>
      <c r="E246" s="1" t="s">
        <v>748</v>
      </c>
      <c r="F246" s="1">
        <v>7.75702777E8</v>
      </c>
      <c r="G246" s="11" t="s">
        <v>28</v>
      </c>
      <c r="H246" s="43"/>
      <c r="I246" s="16" t="s">
        <v>749</v>
      </c>
      <c r="J246" s="11" t="s">
        <v>173</v>
      </c>
      <c r="K246" s="1" t="b">
        <v>1</v>
      </c>
      <c r="L246" s="1" t="b">
        <v>0</v>
      </c>
      <c r="M246" s="5" t="b">
        <v>0</v>
      </c>
      <c r="N246" s="5" t="b">
        <v>0</v>
      </c>
      <c r="O246" s="5" t="b">
        <v>0</v>
      </c>
      <c r="P246" s="1" t="b">
        <v>0</v>
      </c>
      <c r="Q246" s="1"/>
      <c r="R246" s="5"/>
      <c r="S246" s="5"/>
      <c r="T246" s="5"/>
      <c r="U246" s="5"/>
      <c r="V246" s="5"/>
      <c r="W246" s="5"/>
      <c r="X246" s="5"/>
      <c r="Y246" s="5"/>
      <c r="Z246" s="5"/>
    </row>
    <row r="247" hidden="1">
      <c r="A247" s="5"/>
      <c r="B247" s="11">
        <v>52.0</v>
      </c>
      <c r="C247" s="26">
        <v>45895.0</v>
      </c>
      <c r="D247" s="13" t="s">
        <v>750</v>
      </c>
      <c r="E247" s="1" t="s">
        <v>688</v>
      </c>
      <c r="F247" s="1"/>
      <c r="G247" s="11" t="s">
        <v>411</v>
      </c>
      <c r="H247" s="43"/>
      <c r="I247" s="16"/>
      <c r="J247" s="11" t="s">
        <v>25</v>
      </c>
      <c r="K247" s="1" t="b">
        <v>1</v>
      </c>
      <c r="L247" s="1" t="b">
        <v>0</v>
      </c>
      <c r="M247" s="5" t="b">
        <v>0</v>
      </c>
      <c r="N247" s="5" t="b">
        <v>0</v>
      </c>
      <c r="O247" s="5" t="b">
        <v>0</v>
      </c>
      <c r="P247" s="1" t="b">
        <v>0</v>
      </c>
      <c r="Q247" s="1" t="s">
        <v>751</v>
      </c>
      <c r="R247" s="5"/>
      <c r="S247" s="5"/>
      <c r="T247" s="5"/>
      <c r="U247" s="5"/>
      <c r="V247" s="5"/>
      <c r="W247" s="5"/>
      <c r="X247" s="5"/>
      <c r="Y247" s="5"/>
      <c r="Z247" s="5"/>
    </row>
    <row r="248" hidden="1">
      <c r="A248" s="5"/>
      <c r="B248" s="11">
        <v>53.0</v>
      </c>
      <c r="C248" s="26">
        <v>45895.0</v>
      </c>
      <c r="D248" s="59" t="s">
        <v>752</v>
      </c>
      <c r="E248" s="1" t="s">
        <v>753</v>
      </c>
      <c r="F248" s="1">
        <v>7.72270293E8</v>
      </c>
      <c r="G248" s="11" t="s">
        <v>28</v>
      </c>
      <c r="H248" s="43"/>
      <c r="I248" s="16" t="s">
        <v>754</v>
      </c>
      <c r="J248" s="11" t="s">
        <v>25</v>
      </c>
      <c r="K248" s="1" t="b">
        <v>1</v>
      </c>
      <c r="L248" s="1" t="b">
        <v>0</v>
      </c>
      <c r="M248" s="5" t="b">
        <v>0</v>
      </c>
      <c r="N248" s="5" t="b">
        <v>0</v>
      </c>
      <c r="O248" s="5" t="b">
        <v>0</v>
      </c>
      <c r="P248" s="1" t="b">
        <v>0</v>
      </c>
      <c r="Q248" s="1"/>
      <c r="R248" s="5"/>
      <c r="S248" s="5"/>
      <c r="T248" s="5"/>
      <c r="U248" s="5"/>
      <c r="V248" s="5"/>
      <c r="W248" s="5"/>
      <c r="X248" s="5"/>
      <c r="Y248" s="5"/>
      <c r="Z248" s="5"/>
    </row>
    <row r="249" hidden="1">
      <c r="A249" s="5"/>
      <c r="B249" s="11">
        <v>54.0</v>
      </c>
      <c r="C249" s="26">
        <v>45895.0</v>
      </c>
      <c r="D249" s="13" t="s">
        <v>115</v>
      </c>
      <c r="E249" s="1"/>
      <c r="F249" s="1"/>
      <c r="G249" s="11" t="s">
        <v>45</v>
      </c>
      <c r="H249" s="43"/>
      <c r="I249" s="16" t="s">
        <v>755</v>
      </c>
      <c r="J249" s="11" t="s">
        <v>233</v>
      </c>
      <c r="K249" s="1" t="b">
        <v>1</v>
      </c>
      <c r="L249" s="1" t="b">
        <v>0</v>
      </c>
      <c r="M249" s="5" t="b">
        <v>0</v>
      </c>
      <c r="N249" s="5" t="b">
        <v>0</v>
      </c>
      <c r="O249" s="5" t="b">
        <v>0</v>
      </c>
      <c r="P249" s="1" t="b">
        <v>0</v>
      </c>
      <c r="Q249" s="1"/>
      <c r="R249" s="5"/>
      <c r="S249" s="5"/>
      <c r="T249" s="5"/>
      <c r="U249" s="5"/>
      <c r="V249" s="5"/>
      <c r="W249" s="5"/>
      <c r="X249" s="5"/>
      <c r="Y249" s="5"/>
      <c r="Z249" s="5"/>
    </row>
    <row r="250" hidden="1">
      <c r="A250" s="5"/>
      <c r="B250" s="11">
        <v>55.0</v>
      </c>
      <c r="C250" s="26">
        <v>45896.0</v>
      </c>
      <c r="D250" s="13" t="s">
        <v>747</v>
      </c>
      <c r="E250" s="1" t="s">
        <v>756</v>
      </c>
      <c r="F250" s="1">
        <v>7.75702777E8</v>
      </c>
      <c r="G250" s="11" t="s">
        <v>45</v>
      </c>
      <c r="H250" s="43"/>
      <c r="I250" s="16" t="s">
        <v>757</v>
      </c>
      <c r="J250" s="11" t="s">
        <v>25</v>
      </c>
      <c r="K250" s="1" t="b">
        <v>1</v>
      </c>
      <c r="L250" s="1" t="b">
        <v>0</v>
      </c>
      <c r="M250" s="5" t="b">
        <v>0</v>
      </c>
      <c r="N250" s="1" t="b">
        <v>1</v>
      </c>
      <c r="O250" s="5" t="b">
        <v>0</v>
      </c>
      <c r="P250" s="1" t="b">
        <v>0</v>
      </c>
      <c r="Q250" s="1" t="s">
        <v>758</v>
      </c>
      <c r="R250" s="5"/>
      <c r="S250" s="5"/>
      <c r="T250" s="5"/>
      <c r="U250" s="5"/>
      <c r="V250" s="5"/>
      <c r="W250" s="5"/>
      <c r="X250" s="5"/>
      <c r="Y250" s="5"/>
      <c r="Z250" s="5"/>
    </row>
    <row r="251" hidden="1">
      <c r="A251" s="5"/>
      <c r="B251" s="11">
        <v>56.0</v>
      </c>
      <c r="C251" s="26">
        <v>45896.0</v>
      </c>
      <c r="D251" s="13" t="s">
        <v>759</v>
      </c>
      <c r="E251" s="1" t="s">
        <v>760</v>
      </c>
      <c r="F251" s="1"/>
      <c r="G251" s="11" t="s">
        <v>28</v>
      </c>
      <c r="H251" s="43"/>
      <c r="I251" s="16" t="s">
        <v>761</v>
      </c>
      <c r="J251" s="11" t="s">
        <v>25</v>
      </c>
      <c r="K251" s="1" t="b">
        <v>1</v>
      </c>
      <c r="L251" s="1" t="b">
        <v>0</v>
      </c>
      <c r="M251" s="5" t="b">
        <v>0</v>
      </c>
      <c r="N251" s="5" t="b">
        <v>0</v>
      </c>
      <c r="O251" s="5" t="b">
        <v>0</v>
      </c>
      <c r="P251" s="1" t="b">
        <v>1</v>
      </c>
      <c r="Q251" s="1" t="s">
        <v>762</v>
      </c>
      <c r="R251" s="5"/>
      <c r="S251" s="5"/>
      <c r="T251" s="5"/>
      <c r="U251" s="5"/>
      <c r="V251" s="5"/>
      <c r="W251" s="5"/>
      <c r="X251" s="5"/>
      <c r="Y251" s="5"/>
      <c r="Z251" s="5"/>
    </row>
    <row r="252" hidden="1">
      <c r="A252" s="5"/>
      <c r="B252" s="11">
        <v>57.0</v>
      </c>
      <c r="C252" s="26">
        <v>45897.0</v>
      </c>
      <c r="D252" s="13" t="s">
        <v>763</v>
      </c>
      <c r="E252" s="1" t="s">
        <v>764</v>
      </c>
      <c r="F252" s="1">
        <v>7.72252774E8</v>
      </c>
      <c r="G252" s="11" t="s">
        <v>411</v>
      </c>
      <c r="H252" s="43"/>
      <c r="I252" s="16" t="s">
        <v>765</v>
      </c>
      <c r="J252" s="11" t="s">
        <v>233</v>
      </c>
      <c r="K252" s="1" t="b">
        <v>0</v>
      </c>
      <c r="L252" s="1" t="b">
        <v>1</v>
      </c>
      <c r="M252" s="5" t="b">
        <v>0</v>
      </c>
      <c r="N252" s="5" t="b">
        <v>0</v>
      </c>
      <c r="O252" s="5" t="b">
        <v>0</v>
      </c>
      <c r="P252" s="1" t="b">
        <v>0</v>
      </c>
      <c r="Q252" s="1" t="s">
        <v>766</v>
      </c>
      <c r="R252" s="5"/>
      <c r="S252" s="5"/>
      <c r="T252" s="5"/>
      <c r="U252" s="5"/>
      <c r="V252" s="5"/>
      <c r="W252" s="5"/>
      <c r="X252" s="5"/>
      <c r="Y252" s="5"/>
      <c r="Z252" s="5"/>
    </row>
    <row r="253" hidden="1">
      <c r="A253" s="5"/>
      <c r="B253" s="11">
        <v>58.0</v>
      </c>
      <c r="C253" s="26">
        <v>45897.0</v>
      </c>
      <c r="D253" s="13" t="s">
        <v>767</v>
      </c>
      <c r="E253" s="1" t="s">
        <v>768</v>
      </c>
      <c r="F253" s="1">
        <v>7.85098012E8</v>
      </c>
      <c r="G253" s="11" t="s">
        <v>411</v>
      </c>
      <c r="H253" s="43"/>
      <c r="I253" s="16" t="s">
        <v>769</v>
      </c>
      <c r="J253" s="11" t="s">
        <v>233</v>
      </c>
      <c r="K253" s="1" t="b">
        <v>1</v>
      </c>
      <c r="L253" s="1" t="b">
        <v>1</v>
      </c>
      <c r="M253" s="5" t="b">
        <v>0</v>
      </c>
      <c r="N253" s="5" t="b">
        <v>0</v>
      </c>
      <c r="O253" s="5" t="b">
        <v>0</v>
      </c>
      <c r="P253" s="1" t="b">
        <v>0</v>
      </c>
      <c r="Q253" s="1"/>
      <c r="R253" s="5"/>
      <c r="S253" s="5"/>
      <c r="T253" s="5"/>
      <c r="U253" s="5"/>
      <c r="V253" s="5"/>
      <c r="W253" s="5"/>
      <c r="X253" s="5"/>
      <c r="Y253" s="5"/>
      <c r="Z253" s="5"/>
    </row>
    <row r="254" hidden="1">
      <c r="A254" s="5"/>
      <c r="B254" s="11">
        <v>59.0</v>
      </c>
      <c r="C254" s="26">
        <v>45897.0</v>
      </c>
      <c r="D254" s="13" t="s">
        <v>770</v>
      </c>
      <c r="E254" s="1" t="s">
        <v>771</v>
      </c>
      <c r="F254" s="1">
        <v>7.72869736E8</v>
      </c>
      <c r="G254" s="11" t="s">
        <v>28</v>
      </c>
      <c r="H254" s="43"/>
      <c r="I254" s="16" t="s">
        <v>772</v>
      </c>
      <c r="J254" s="11" t="s">
        <v>25</v>
      </c>
      <c r="K254" s="1" t="b">
        <v>1</v>
      </c>
      <c r="L254" s="1" t="b">
        <v>0</v>
      </c>
      <c r="M254" s="5" t="b">
        <v>0</v>
      </c>
      <c r="N254" s="5" t="b">
        <v>0</v>
      </c>
      <c r="O254" s="5" t="b">
        <v>0</v>
      </c>
      <c r="P254" s="1" t="b">
        <v>1</v>
      </c>
      <c r="Q254" s="1"/>
      <c r="R254" s="5"/>
      <c r="S254" s="5"/>
      <c r="T254" s="5"/>
      <c r="U254" s="5"/>
      <c r="V254" s="5"/>
      <c r="W254" s="5"/>
      <c r="X254" s="5"/>
      <c r="Y254" s="5"/>
      <c r="Z254" s="5"/>
    </row>
    <row r="255" hidden="1">
      <c r="A255" s="5"/>
      <c r="B255" s="11">
        <v>60.0</v>
      </c>
      <c r="C255" s="26">
        <v>45897.0</v>
      </c>
      <c r="D255" s="13" t="s">
        <v>773</v>
      </c>
      <c r="E255" s="1" t="s">
        <v>774</v>
      </c>
      <c r="F255" s="1"/>
      <c r="G255" s="11" t="s">
        <v>411</v>
      </c>
      <c r="H255" s="43"/>
      <c r="I255" s="16" t="s">
        <v>775</v>
      </c>
      <c r="J255" s="11" t="s">
        <v>233</v>
      </c>
      <c r="K255" s="1" t="b">
        <v>0</v>
      </c>
      <c r="L255" s="1" t="b">
        <v>0</v>
      </c>
      <c r="M255" s="5" t="b">
        <v>0</v>
      </c>
      <c r="N255" s="5" t="b">
        <v>0</v>
      </c>
      <c r="O255" s="5" t="b">
        <v>0</v>
      </c>
      <c r="P255" s="1" t="b">
        <v>0</v>
      </c>
      <c r="Q255" s="1"/>
      <c r="R255" s="5"/>
      <c r="S255" s="5"/>
      <c r="T255" s="5"/>
      <c r="U255" s="5"/>
      <c r="V255" s="5"/>
      <c r="W255" s="5"/>
      <c r="X255" s="5"/>
      <c r="Y255" s="5"/>
      <c r="Z255" s="5"/>
    </row>
    <row r="256" hidden="1">
      <c r="A256" s="5"/>
      <c r="B256" s="11">
        <v>61.0</v>
      </c>
      <c r="C256" s="11" t="s">
        <v>776</v>
      </c>
      <c r="D256" s="13" t="s">
        <v>603</v>
      </c>
      <c r="E256" s="1" t="s">
        <v>777</v>
      </c>
      <c r="F256" s="1"/>
      <c r="G256" s="11" t="s">
        <v>411</v>
      </c>
      <c r="H256" s="26">
        <v>45909.0</v>
      </c>
      <c r="I256" s="16" t="s">
        <v>778</v>
      </c>
      <c r="J256" s="11" t="s">
        <v>25</v>
      </c>
      <c r="K256" s="1" t="b">
        <v>1</v>
      </c>
      <c r="L256" s="1" t="b">
        <v>0</v>
      </c>
      <c r="M256" s="5" t="b">
        <v>0</v>
      </c>
      <c r="N256" s="5" t="b">
        <v>0</v>
      </c>
      <c r="O256" s="1" t="b">
        <v>1</v>
      </c>
      <c r="P256" s="1" t="b">
        <v>1</v>
      </c>
      <c r="Q256" s="1" t="s">
        <v>779</v>
      </c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11">
        <v>62.0</v>
      </c>
      <c r="C257" s="11" t="s">
        <v>776</v>
      </c>
      <c r="D257" s="13" t="s">
        <v>622</v>
      </c>
      <c r="E257" s="1" t="s">
        <v>69</v>
      </c>
      <c r="F257" s="1"/>
      <c r="G257" s="11" t="s">
        <v>411</v>
      </c>
      <c r="H257" s="43"/>
      <c r="I257" s="16" t="s">
        <v>780</v>
      </c>
      <c r="J257" s="11" t="s">
        <v>781</v>
      </c>
      <c r="K257" s="1" t="b">
        <v>0</v>
      </c>
      <c r="L257" s="1" t="b">
        <v>0</v>
      </c>
      <c r="M257" s="5" t="b">
        <v>0</v>
      </c>
      <c r="N257" s="5" t="b">
        <v>0</v>
      </c>
      <c r="O257" s="5" t="b">
        <v>0</v>
      </c>
      <c r="P257" s="1" t="b">
        <v>0</v>
      </c>
      <c r="Q257" s="1"/>
      <c r="R257" s="5"/>
      <c r="S257" s="5"/>
      <c r="T257" s="5"/>
      <c r="U257" s="5"/>
      <c r="V257" s="5"/>
      <c r="W257" s="5"/>
      <c r="X257" s="5"/>
      <c r="Y257" s="5"/>
      <c r="Z257" s="5"/>
    </row>
    <row r="258" hidden="1">
      <c r="A258" s="5"/>
      <c r="B258" s="11">
        <v>63.0</v>
      </c>
      <c r="C258" s="26">
        <v>45904.0</v>
      </c>
      <c r="D258" s="13" t="s">
        <v>580</v>
      </c>
      <c r="E258" s="1" t="s">
        <v>782</v>
      </c>
      <c r="F258" s="1"/>
      <c r="G258" s="11" t="s">
        <v>411</v>
      </c>
      <c r="H258" s="26">
        <v>45905.0</v>
      </c>
      <c r="I258" s="16" t="s">
        <v>783</v>
      </c>
      <c r="J258" s="11" t="s">
        <v>25</v>
      </c>
      <c r="K258" s="1" t="b">
        <v>1</v>
      </c>
      <c r="L258" s="1" t="b">
        <v>1</v>
      </c>
      <c r="M258" s="1" t="b">
        <v>1</v>
      </c>
      <c r="N258" s="1" t="b">
        <v>1</v>
      </c>
      <c r="O258" s="1" t="b">
        <v>1</v>
      </c>
      <c r="P258" s="1" t="b">
        <v>1</v>
      </c>
      <c r="Q258" s="1" t="s">
        <v>784</v>
      </c>
      <c r="R258" s="5"/>
      <c r="S258" s="5"/>
      <c r="T258" s="5"/>
      <c r="U258" s="5"/>
      <c r="V258" s="5"/>
      <c r="W258" s="5"/>
      <c r="X258" s="5"/>
      <c r="Y258" s="5"/>
      <c r="Z258" s="5"/>
    </row>
    <row r="259" hidden="1">
      <c r="A259" s="5"/>
      <c r="B259" s="11">
        <v>64.0</v>
      </c>
      <c r="C259" s="26">
        <v>45904.0</v>
      </c>
      <c r="D259" s="13" t="s">
        <v>687</v>
      </c>
      <c r="E259" s="1" t="s">
        <v>54</v>
      </c>
      <c r="F259" s="1"/>
      <c r="G259" s="11" t="s">
        <v>411</v>
      </c>
      <c r="H259" s="43"/>
      <c r="I259" s="16" t="s">
        <v>785</v>
      </c>
      <c r="J259" s="11" t="s">
        <v>25</v>
      </c>
      <c r="K259" s="1" t="b">
        <v>1</v>
      </c>
      <c r="L259" s="1" t="b">
        <v>0</v>
      </c>
      <c r="M259" s="5" t="b">
        <v>0</v>
      </c>
      <c r="N259" s="5" t="b">
        <v>0</v>
      </c>
      <c r="O259" s="5" t="b">
        <v>0</v>
      </c>
      <c r="P259" s="1" t="b">
        <v>1</v>
      </c>
      <c r="Q259" s="1"/>
      <c r="R259" s="5"/>
      <c r="S259" s="5"/>
      <c r="T259" s="5"/>
      <c r="U259" s="5"/>
      <c r="V259" s="5"/>
      <c r="W259" s="5"/>
      <c r="X259" s="5"/>
      <c r="Y259" s="5"/>
      <c r="Z259" s="5"/>
    </row>
    <row r="260" hidden="1">
      <c r="A260" s="5"/>
      <c r="B260" s="11">
        <v>65.0</v>
      </c>
      <c r="C260" s="26">
        <v>45908.0</v>
      </c>
      <c r="D260" s="13" t="s">
        <v>786</v>
      </c>
      <c r="E260" s="1" t="s">
        <v>787</v>
      </c>
      <c r="F260" s="1"/>
      <c r="G260" s="11" t="s">
        <v>411</v>
      </c>
      <c r="H260" s="43"/>
      <c r="I260" s="16" t="s">
        <v>788</v>
      </c>
      <c r="J260" s="11" t="s">
        <v>233</v>
      </c>
      <c r="K260" s="1" t="b">
        <v>1</v>
      </c>
      <c r="L260" s="1" t="b">
        <v>1</v>
      </c>
      <c r="M260" s="5" t="b">
        <v>0</v>
      </c>
      <c r="N260" s="5" t="b">
        <v>0</v>
      </c>
      <c r="O260" s="5" t="b">
        <v>0</v>
      </c>
      <c r="P260" s="1" t="b">
        <v>0</v>
      </c>
      <c r="Q260" s="1"/>
      <c r="R260" s="5"/>
      <c r="S260" s="5"/>
      <c r="T260" s="5"/>
      <c r="U260" s="5"/>
      <c r="V260" s="5"/>
      <c r="W260" s="5"/>
      <c r="X260" s="5"/>
      <c r="Y260" s="5"/>
      <c r="Z260" s="5"/>
    </row>
    <row r="261" hidden="1">
      <c r="A261" s="5"/>
      <c r="B261" s="11">
        <v>66.0</v>
      </c>
      <c r="C261" s="26">
        <v>45909.0</v>
      </c>
      <c r="D261" s="13" t="s">
        <v>773</v>
      </c>
      <c r="E261" s="1" t="s">
        <v>774</v>
      </c>
      <c r="F261" s="1"/>
      <c r="G261" s="11" t="s">
        <v>411</v>
      </c>
      <c r="H261" s="43"/>
      <c r="I261" s="16" t="s">
        <v>789</v>
      </c>
      <c r="J261" s="11" t="s">
        <v>233</v>
      </c>
      <c r="K261" s="1" t="b">
        <v>0</v>
      </c>
      <c r="L261" s="1" t="b">
        <v>1</v>
      </c>
      <c r="M261" s="5" t="b">
        <v>0</v>
      </c>
      <c r="N261" s="5" t="b">
        <v>0</v>
      </c>
      <c r="O261" s="5" t="b">
        <v>0</v>
      </c>
      <c r="P261" s="1" t="b">
        <v>0</v>
      </c>
      <c r="Q261" s="1" t="s">
        <v>790</v>
      </c>
      <c r="R261" s="5"/>
      <c r="S261" s="5"/>
      <c r="T261" s="5"/>
      <c r="U261" s="5"/>
      <c r="V261" s="5"/>
      <c r="W261" s="5"/>
      <c r="X261" s="5"/>
      <c r="Y261" s="5"/>
      <c r="Z261" s="5"/>
    </row>
    <row r="262" hidden="1">
      <c r="A262" s="5"/>
      <c r="B262" s="11">
        <v>67.0</v>
      </c>
      <c r="C262" s="26">
        <v>45910.0</v>
      </c>
      <c r="D262" s="13" t="s">
        <v>791</v>
      </c>
      <c r="E262" s="1" t="s">
        <v>792</v>
      </c>
      <c r="F262" s="1"/>
      <c r="G262" s="11" t="s">
        <v>28</v>
      </c>
      <c r="H262" s="43"/>
      <c r="I262" s="16" t="s">
        <v>793</v>
      </c>
      <c r="J262" s="11" t="s">
        <v>25</v>
      </c>
      <c r="K262" s="1" t="b">
        <v>1</v>
      </c>
      <c r="L262" s="1" t="b">
        <v>0</v>
      </c>
      <c r="M262" s="5" t="b">
        <v>0</v>
      </c>
      <c r="N262" s="5" t="b">
        <v>0</v>
      </c>
      <c r="O262" s="5" t="b">
        <v>0</v>
      </c>
      <c r="P262" s="1" t="b">
        <v>1</v>
      </c>
      <c r="Q262" s="1"/>
      <c r="R262" s="5"/>
      <c r="S262" s="5"/>
      <c r="T262" s="5"/>
      <c r="U262" s="5"/>
      <c r="V262" s="5"/>
      <c r="W262" s="5"/>
      <c r="X262" s="5"/>
      <c r="Y262" s="5"/>
      <c r="Z262" s="5"/>
    </row>
    <row r="263" hidden="1">
      <c r="A263" s="5"/>
      <c r="B263" s="11">
        <v>68.0</v>
      </c>
      <c r="C263" s="26">
        <v>45910.0</v>
      </c>
      <c r="D263" s="13" t="s">
        <v>794</v>
      </c>
      <c r="E263" s="1" t="s">
        <v>141</v>
      </c>
      <c r="F263" s="1"/>
      <c r="G263" s="11" t="s">
        <v>411</v>
      </c>
      <c r="H263" s="43"/>
      <c r="I263" s="16" t="s">
        <v>795</v>
      </c>
      <c r="J263" s="11" t="s">
        <v>25</v>
      </c>
      <c r="K263" s="1" t="b">
        <v>1</v>
      </c>
      <c r="L263" s="1" t="b">
        <v>0</v>
      </c>
      <c r="M263" s="5" t="b">
        <v>0</v>
      </c>
      <c r="N263" s="5" t="b">
        <v>0</v>
      </c>
      <c r="O263" s="5" t="b">
        <v>0</v>
      </c>
      <c r="P263" s="1" t="b">
        <v>0</v>
      </c>
      <c r="Q263" s="1"/>
      <c r="R263" s="5"/>
      <c r="S263" s="5"/>
      <c r="T263" s="5"/>
      <c r="U263" s="5"/>
      <c r="V263" s="5"/>
      <c r="W263" s="5"/>
      <c r="X263" s="5"/>
      <c r="Y263" s="5"/>
      <c r="Z263" s="5"/>
    </row>
    <row r="264" hidden="1">
      <c r="A264" s="5"/>
      <c r="B264" s="11">
        <v>69.0</v>
      </c>
      <c r="C264" s="26">
        <v>45910.0</v>
      </c>
      <c r="D264" s="13" t="s">
        <v>796</v>
      </c>
      <c r="E264" s="1" t="s">
        <v>797</v>
      </c>
      <c r="F264" s="1">
        <f>41798940793</f>
        <v>41798940793</v>
      </c>
      <c r="G264" s="11" t="s">
        <v>411</v>
      </c>
      <c r="H264" s="43"/>
      <c r="I264" s="16"/>
      <c r="J264" s="11" t="s">
        <v>233</v>
      </c>
      <c r="K264" s="1" t="b">
        <v>0</v>
      </c>
      <c r="L264" s="1" t="b">
        <v>0</v>
      </c>
      <c r="M264" s="5" t="b">
        <v>0</v>
      </c>
      <c r="N264" s="5" t="b">
        <v>0</v>
      </c>
      <c r="O264" s="5" t="b">
        <v>0</v>
      </c>
      <c r="P264" s="1" t="b">
        <v>0</v>
      </c>
      <c r="Q264" s="1"/>
      <c r="R264" s="5"/>
      <c r="S264" s="5"/>
      <c r="T264" s="5"/>
      <c r="U264" s="5"/>
      <c r="V264" s="5"/>
      <c r="W264" s="5"/>
      <c r="X264" s="5"/>
      <c r="Y264" s="5"/>
      <c r="Z264" s="5"/>
    </row>
    <row r="265" hidden="1">
      <c r="A265" s="5"/>
      <c r="B265" s="11">
        <v>70.0</v>
      </c>
      <c r="C265" s="26">
        <v>45910.0</v>
      </c>
      <c r="D265" s="13"/>
      <c r="E265" s="1" t="s">
        <v>798</v>
      </c>
      <c r="F265" s="1">
        <v>7.73049801E8</v>
      </c>
      <c r="G265" s="11" t="s">
        <v>411</v>
      </c>
      <c r="H265" s="43"/>
      <c r="I265" s="16" t="s">
        <v>799</v>
      </c>
      <c r="J265" s="11" t="s">
        <v>173</v>
      </c>
      <c r="K265" s="1" t="b">
        <v>0</v>
      </c>
      <c r="L265" s="1" t="b">
        <v>0</v>
      </c>
      <c r="M265" s="5" t="b">
        <v>0</v>
      </c>
      <c r="N265" s="5" t="b">
        <v>0</v>
      </c>
      <c r="O265" s="5" t="b">
        <v>0</v>
      </c>
      <c r="P265" s="1" t="b">
        <v>0</v>
      </c>
      <c r="Q265" s="1" t="s">
        <v>800</v>
      </c>
      <c r="R265" s="5"/>
      <c r="S265" s="5"/>
      <c r="T265" s="5"/>
      <c r="U265" s="5"/>
      <c r="V265" s="5"/>
      <c r="W265" s="5"/>
      <c r="X265" s="5"/>
      <c r="Y265" s="5"/>
      <c r="Z265" s="5"/>
    </row>
    <row r="266" hidden="1">
      <c r="A266" s="5"/>
      <c r="B266" s="11">
        <v>71.0</v>
      </c>
      <c r="C266" s="26">
        <v>45911.0</v>
      </c>
      <c r="D266" s="13" t="s">
        <v>801</v>
      </c>
      <c r="E266" s="1" t="s">
        <v>802</v>
      </c>
      <c r="F266" s="1">
        <v>7.72279051E8</v>
      </c>
      <c r="G266" s="11" t="s">
        <v>411</v>
      </c>
      <c r="H266" s="43"/>
      <c r="I266" s="16" t="s">
        <v>803</v>
      </c>
      <c r="J266" s="11" t="s">
        <v>25</v>
      </c>
      <c r="K266" s="1" t="b">
        <v>1</v>
      </c>
      <c r="L266" s="1" t="b">
        <v>0</v>
      </c>
      <c r="M266" s="5" t="b">
        <v>0</v>
      </c>
      <c r="N266" s="5" t="b">
        <v>0</v>
      </c>
      <c r="O266" s="5" t="b">
        <v>0</v>
      </c>
      <c r="P266" s="1" t="b">
        <v>0</v>
      </c>
      <c r="Q266" s="1" t="s">
        <v>804</v>
      </c>
      <c r="R266" s="5"/>
      <c r="S266" s="5"/>
      <c r="T266" s="5"/>
      <c r="U266" s="5"/>
      <c r="V266" s="5"/>
      <c r="W266" s="5"/>
      <c r="X266" s="5"/>
      <c r="Y266" s="5"/>
      <c r="Z266" s="5"/>
    </row>
    <row r="267" hidden="1">
      <c r="A267" s="5"/>
      <c r="B267" s="11">
        <v>73.0</v>
      </c>
      <c r="C267" s="26">
        <v>45915.0</v>
      </c>
      <c r="D267" s="59" t="s">
        <v>57</v>
      </c>
      <c r="E267" s="1" t="s">
        <v>805</v>
      </c>
      <c r="F267" s="1"/>
      <c r="G267" s="11" t="s">
        <v>411</v>
      </c>
      <c r="H267" s="43"/>
      <c r="I267" s="16" t="s">
        <v>806</v>
      </c>
      <c r="J267" s="11" t="s">
        <v>25</v>
      </c>
      <c r="K267" s="1" t="b">
        <v>1</v>
      </c>
      <c r="L267" s="1" t="b">
        <v>1</v>
      </c>
      <c r="M267" s="1" t="b">
        <v>1</v>
      </c>
      <c r="N267" s="1" t="b">
        <v>1</v>
      </c>
      <c r="O267" s="1" t="b">
        <v>1</v>
      </c>
      <c r="P267" s="1" t="b">
        <v>0</v>
      </c>
      <c r="Q267" s="1"/>
      <c r="R267" s="5"/>
      <c r="S267" s="5"/>
      <c r="T267" s="5"/>
      <c r="U267" s="5"/>
      <c r="V267" s="5"/>
      <c r="W267" s="5"/>
      <c r="X267" s="5"/>
      <c r="Y267" s="5"/>
      <c r="Z267" s="5"/>
    </row>
    <row r="268" hidden="1">
      <c r="A268" s="5"/>
      <c r="B268" s="11">
        <v>74.0</v>
      </c>
      <c r="C268" s="26">
        <v>45916.0</v>
      </c>
      <c r="D268" s="13" t="s">
        <v>807</v>
      </c>
      <c r="E268" s="1" t="s">
        <v>808</v>
      </c>
      <c r="F268" s="1"/>
      <c r="G268" s="11" t="s">
        <v>411</v>
      </c>
      <c r="H268" s="43"/>
      <c r="I268" s="16" t="s">
        <v>809</v>
      </c>
      <c r="J268" s="11" t="s">
        <v>233</v>
      </c>
      <c r="K268" s="1" t="b">
        <v>1</v>
      </c>
      <c r="L268" s="1" t="b">
        <v>0</v>
      </c>
      <c r="M268" s="5" t="b">
        <v>0</v>
      </c>
      <c r="N268" s="5" t="b">
        <v>0</v>
      </c>
      <c r="O268" s="5" t="b">
        <v>0</v>
      </c>
      <c r="P268" s="1" t="b">
        <v>0</v>
      </c>
      <c r="Q268" s="1" t="s">
        <v>810</v>
      </c>
      <c r="R268" s="5"/>
      <c r="S268" s="5"/>
      <c r="T268" s="5"/>
      <c r="U268" s="5"/>
      <c r="V268" s="5"/>
      <c r="W268" s="5"/>
      <c r="X268" s="5"/>
      <c r="Y268" s="5"/>
      <c r="Z268" s="5"/>
    </row>
    <row r="269" hidden="1">
      <c r="A269" s="5"/>
      <c r="B269" s="11">
        <v>75.0</v>
      </c>
      <c r="C269" s="26">
        <v>45916.0</v>
      </c>
      <c r="D269" s="13" t="s">
        <v>603</v>
      </c>
      <c r="E269" s="1" t="s">
        <v>811</v>
      </c>
      <c r="F269" s="1"/>
      <c r="G269" s="11" t="s">
        <v>411</v>
      </c>
      <c r="H269" s="43"/>
      <c r="I269" s="16" t="s">
        <v>812</v>
      </c>
      <c r="J269" s="11" t="s">
        <v>813</v>
      </c>
      <c r="K269" s="1" t="b">
        <v>1</v>
      </c>
      <c r="L269" s="1" t="b">
        <v>0</v>
      </c>
      <c r="M269" s="5" t="b">
        <v>0</v>
      </c>
      <c r="N269" s="5" t="b">
        <v>0</v>
      </c>
      <c r="O269" s="5" t="b">
        <v>0</v>
      </c>
      <c r="P269" s="1" t="b">
        <v>0</v>
      </c>
      <c r="Q269" s="1" t="s">
        <v>814</v>
      </c>
      <c r="R269" s="5"/>
      <c r="S269" s="5"/>
      <c r="T269" s="5"/>
      <c r="U269" s="5"/>
      <c r="V269" s="5"/>
      <c r="W269" s="5"/>
      <c r="X269" s="5"/>
      <c r="Y269" s="5"/>
      <c r="Z269" s="5"/>
    </row>
    <row r="270" hidden="1">
      <c r="A270" s="5"/>
      <c r="B270" s="11">
        <v>77.0</v>
      </c>
      <c r="C270" s="26">
        <v>45917.0</v>
      </c>
      <c r="D270" s="13" t="s">
        <v>584</v>
      </c>
      <c r="E270" s="1" t="s">
        <v>815</v>
      </c>
      <c r="F270" s="1"/>
      <c r="G270" s="11" t="s">
        <v>411</v>
      </c>
      <c r="H270" s="26">
        <v>45930.0</v>
      </c>
      <c r="I270" s="16" t="s">
        <v>816</v>
      </c>
      <c r="J270" s="11" t="s">
        <v>813</v>
      </c>
      <c r="K270" s="1" t="b">
        <v>1</v>
      </c>
      <c r="L270" s="1" t="b">
        <v>0</v>
      </c>
      <c r="M270" s="5" t="b">
        <v>0</v>
      </c>
      <c r="N270" s="5" t="b">
        <v>0</v>
      </c>
      <c r="O270" s="5" t="b">
        <v>0</v>
      </c>
      <c r="P270" s="1" t="b">
        <v>0</v>
      </c>
      <c r="Q270" s="1" t="s">
        <v>817</v>
      </c>
      <c r="R270" s="5"/>
      <c r="S270" s="5"/>
      <c r="T270" s="5"/>
      <c r="U270" s="5"/>
      <c r="V270" s="5"/>
      <c r="W270" s="5"/>
      <c r="X270" s="5"/>
      <c r="Y270" s="5"/>
      <c r="Z270" s="5"/>
    </row>
    <row r="271" hidden="1">
      <c r="A271" s="5"/>
      <c r="B271" s="11">
        <v>78.0</v>
      </c>
      <c r="C271" s="26">
        <v>45918.0</v>
      </c>
      <c r="D271" s="13" t="s">
        <v>818</v>
      </c>
      <c r="E271" s="1" t="s">
        <v>819</v>
      </c>
      <c r="F271" s="1"/>
      <c r="G271" s="11" t="s">
        <v>411</v>
      </c>
      <c r="H271" s="43"/>
      <c r="I271" s="16" t="s">
        <v>137</v>
      </c>
      <c r="J271" s="11" t="s">
        <v>25</v>
      </c>
      <c r="K271" s="1" t="b">
        <v>0</v>
      </c>
      <c r="L271" s="1" t="b">
        <v>0</v>
      </c>
      <c r="M271" s="5" t="b">
        <v>0</v>
      </c>
      <c r="N271" s="5" t="b">
        <v>0</v>
      </c>
      <c r="O271" s="5" t="b">
        <v>0</v>
      </c>
      <c r="P271" s="1" t="b">
        <v>0</v>
      </c>
      <c r="Q271" s="1" t="s">
        <v>820</v>
      </c>
      <c r="R271" s="5"/>
      <c r="S271" s="5"/>
      <c r="T271" s="5"/>
      <c r="U271" s="5"/>
      <c r="V271" s="5"/>
      <c r="W271" s="5"/>
      <c r="X271" s="5"/>
      <c r="Y271" s="5"/>
      <c r="Z271" s="5"/>
    </row>
    <row r="272" hidden="1">
      <c r="A272" s="5"/>
      <c r="B272" s="11">
        <v>79.0</v>
      </c>
      <c r="C272" s="26">
        <v>45918.0</v>
      </c>
      <c r="D272" s="13" t="s">
        <v>821</v>
      </c>
      <c r="E272" s="1" t="s">
        <v>77</v>
      </c>
      <c r="F272" s="1"/>
      <c r="G272" s="11" t="s">
        <v>411</v>
      </c>
      <c r="H272" s="43"/>
      <c r="I272" s="16" t="s">
        <v>822</v>
      </c>
      <c r="J272" s="11" t="s">
        <v>25</v>
      </c>
      <c r="K272" s="1" t="b">
        <v>1</v>
      </c>
      <c r="L272" s="1" t="b">
        <v>1</v>
      </c>
      <c r="M272" s="1" t="b">
        <v>1</v>
      </c>
      <c r="N272" s="5" t="b">
        <v>0</v>
      </c>
      <c r="O272" s="1" t="b">
        <v>1</v>
      </c>
      <c r="P272" s="1" t="b">
        <v>1</v>
      </c>
      <c r="Q272" s="1" t="s">
        <v>823</v>
      </c>
      <c r="R272" s="5"/>
      <c r="S272" s="5"/>
      <c r="T272" s="5"/>
      <c r="U272" s="5"/>
      <c r="V272" s="5"/>
      <c r="W272" s="5"/>
      <c r="X272" s="5"/>
      <c r="Y272" s="5"/>
      <c r="Z272" s="5"/>
    </row>
    <row r="273" hidden="1">
      <c r="A273" s="5"/>
      <c r="B273" s="11">
        <v>80.0</v>
      </c>
      <c r="C273" s="26">
        <v>45919.0</v>
      </c>
      <c r="D273" s="13" t="s">
        <v>824</v>
      </c>
      <c r="E273" s="1" t="s">
        <v>825</v>
      </c>
      <c r="F273" s="1"/>
      <c r="G273" s="11" t="s">
        <v>411</v>
      </c>
      <c r="H273" s="43"/>
      <c r="I273" s="16" t="s">
        <v>826</v>
      </c>
      <c r="J273" s="11" t="s">
        <v>813</v>
      </c>
      <c r="K273" s="1" t="b">
        <v>0</v>
      </c>
      <c r="L273" s="1" t="b">
        <v>0</v>
      </c>
      <c r="M273" s="5" t="b">
        <v>0</v>
      </c>
      <c r="N273" s="5" t="b">
        <v>0</v>
      </c>
      <c r="O273" s="5" t="b">
        <v>0</v>
      </c>
      <c r="P273" s="1" t="b">
        <v>0</v>
      </c>
      <c r="Q273" s="1" t="s">
        <v>827</v>
      </c>
      <c r="R273" s="5"/>
      <c r="S273" s="5"/>
      <c r="T273" s="5"/>
      <c r="U273" s="5"/>
      <c r="V273" s="5"/>
      <c r="W273" s="5"/>
      <c r="X273" s="5"/>
      <c r="Y273" s="5"/>
      <c r="Z273" s="5"/>
    </row>
    <row r="274" hidden="1">
      <c r="A274" s="5"/>
      <c r="B274" s="11">
        <v>81.0</v>
      </c>
      <c r="C274" s="26">
        <v>45920.0</v>
      </c>
      <c r="D274" s="13" t="s">
        <v>828</v>
      </c>
      <c r="E274" s="1" t="s">
        <v>829</v>
      </c>
      <c r="F274" s="1"/>
      <c r="G274" s="11" t="s">
        <v>411</v>
      </c>
      <c r="H274" s="43"/>
      <c r="I274" s="16"/>
      <c r="J274" s="11" t="s">
        <v>813</v>
      </c>
      <c r="K274" s="1" t="b">
        <v>0</v>
      </c>
      <c r="L274" s="1" t="b">
        <v>0</v>
      </c>
      <c r="M274" s="5" t="b">
        <v>0</v>
      </c>
      <c r="N274" s="5" t="b">
        <v>0</v>
      </c>
      <c r="O274" s="5" t="b">
        <v>0</v>
      </c>
      <c r="P274" s="1" t="b">
        <v>0</v>
      </c>
      <c r="Q274" s="1" t="s">
        <v>830</v>
      </c>
      <c r="R274" s="5"/>
      <c r="S274" s="5"/>
      <c r="T274" s="5"/>
      <c r="U274" s="5"/>
      <c r="V274" s="5"/>
      <c r="W274" s="5"/>
      <c r="X274" s="5"/>
      <c r="Y274" s="5"/>
      <c r="Z274" s="5"/>
    </row>
    <row r="275" hidden="1">
      <c r="A275" s="5"/>
      <c r="B275" s="11">
        <v>82.0</v>
      </c>
      <c r="C275" s="26">
        <v>45921.0</v>
      </c>
      <c r="D275" s="13" t="s">
        <v>831</v>
      </c>
      <c r="E275" s="1"/>
      <c r="F275" s="1"/>
      <c r="G275" s="11" t="s">
        <v>28</v>
      </c>
      <c r="H275" s="43"/>
      <c r="I275" s="16" t="s">
        <v>90</v>
      </c>
      <c r="J275" s="11" t="s">
        <v>25</v>
      </c>
      <c r="K275" s="1" t="b">
        <v>0</v>
      </c>
      <c r="L275" s="1" t="b">
        <v>0</v>
      </c>
      <c r="M275" s="5" t="b">
        <v>0</v>
      </c>
      <c r="N275" s="5" t="b">
        <v>0</v>
      </c>
      <c r="O275" s="5" t="b">
        <v>0</v>
      </c>
      <c r="P275" s="1" t="b">
        <v>0</v>
      </c>
      <c r="Q275" s="1"/>
      <c r="R275" s="5"/>
      <c r="S275" s="5"/>
      <c r="T275" s="5"/>
      <c r="U275" s="5"/>
      <c r="V275" s="5"/>
      <c r="W275" s="5"/>
      <c r="X275" s="5"/>
      <c r="Y275" s="5"/>
      <c r="Z275" s="5"/>
    </row>
    <row r="276" hidden="1">
      <c r="A276" s="5"/>
      <c r="B276" s="11">
        <v>83.0</v>
      </c>
      <c r="C276" s="26">
        <v>45922.0</v>
      </c>
      <c r="D276" s="13" t="s">
        <v>832</v>
      </c>
      <c r="E276" s="1"/>
      <c r="F276" s="1"/>
      <c r="G276" s="11" t="s">
        <v>411</v>
      </c>
      <c r="H276" s="43"/>
      <c r="I276" s="16"/>
      <c r="J276" s="11" t="s">
        <v>233</v>
      </c>
      <c r="K276" s="1" t="b">
        <v>0</v>
      </c>
      <c r="L276" s="1" t="b">
        <v>0</v>
      </c>
      <c r="M276" s="5" t="b">
        <v>0</v>
      </c>
      <c r="N276" s="5" t="b">
        <v>0</v>
      </c>
      <c r="O276" s="5" t="b">
        <v>0</v>
      </c>
      <c r="P276" s="1" t="b">
        <v>0</v>
      </c>
      <c r="Q276" s="1" t="s">
        <v>833</v>
      </c>
      <c r="R276" s="5"/>
      <c r="S276" s="5"/>
      <c r="T276" s="5"/>
      <c r="U276" s="5"/>
      <c r="V276" s="5"/>
      <c r="W276" s="5"/>
      <c r="X276" s="5"/>
      <c r="Y276" s="5"/>
      <c r="Z276" s="5"/>
    </row>
    <row r="277" hidden="1">
      <c r="A277" s="5"/>
      <c r="B277" s="11">
        <v>84.0</v>
      </c>
      <c r="C277" s="26">
        <v>45923.0</v>
      </c>
      <c r="D277" s="13" t="s">
        <v>834</v>
      </c>
      <c r="E277" s="1"/>
      <c r="F277" s="1"/>
      <c r="G277" s="11" t="s">
        <v>411</v>
      </c>
      <c r="H277" s="43"/>
      <c r="I277" s="16"/>
      <c r="J277" s="11" t="s">
        <v>233</v>
      </c>
      <c r="K277" s="1" t="b">
        <v>0</v>
      </c>
      <c r="L277" s="1" t="b">
        <v>0</v>
      </c>
      <c r="M277" s="5" t="b">
        <v>0</v>
      </c>
      <c r="N277" s="5" t="b">
        <v>0</v>
      </c>
      <c r="O277" s="5" t="b">
        <v>0</v>
      </c>
      <c r="P277" s="1" t="b">
        <v>0</v>
      </c>
      <c r="Q277" s="1" t="s">
        <v>835</v>
      </c>
      <c r="R277" s="5"/>
      <c r="S277" s="5"/>
      <c r="T277" s="5"/>
      <c r="U277" s="5"/>
      <c r="V277" s="5"/>
      <c r="W277" s="5"/>
      <c r="X277" s="5"/>
      <c r="Y277" s="5"/>
      <c r="Z277" s="5"/>
    </row>
    <row r="278" hidden="1">
      <c r="A278" s="5"/>
      <c r="B278" s="11">
        <v>85.0</v>
      </c>
      <c r="C278" s="26">
        <v>45924.0</v>
      </c>
      <c r="D278" s="59" t="s">
        <v>622</v>
      </c>
      <c r="E278" s="1" t="s">
        <v>836</v>
      </c>
      <c r="F278" s="1"/>
      <c r="G278" s="11" t="s">
        <v>411</v>
      </c>
      <c r="H278" s="43"/>
      <c r="I278" s="16" t="s">
        <v>837</v>
      </c>
      <c r="J278" s="11" t="s">
        <v>25</v>
      </c>
      <c r="K278" s="1" t="b">
        <v>1</v>
      </c>
      <c r="L278" s="1" t="b">
        <v>1</v>
      </c>
      <c r="M278" s="1" t="b">
        <v>1</v>
      </c>
      <c r="N278" s="1" t="b">
        <v>1</v>
      </c>
      <c r="O278" s="5" t="b">
        <v>0</v>
      </c>
      <c r="P278" s="1" t="b">
        <v>0</v>
      </c>
      <c r="Q278" s="1" t="s">
        <v>838</v>
      </c>
      <c r="R278" s="5"/>
      <c r="S278" s="5"/>
      <c r="T278" s="5"/>
      <c r="U278" s="5"/>
      <c r="V278" s="5"/>
      <c r="W278" s="5"/>
      <c r="X278" s="5"/>
      <c r="Y278" s="5"/>
      <c r="Z278" s="5"/>
    </row>
    <row r="279" hidden="1">
      <c r="A279" s="5"/>
      <c r="B279" s="11">
        <v>86.0</v>
      </c>
      <c r="C279" s="26">
        <v>45925.0</v>
      </c>
      <c r="D279" s="13" t="s">
        <v>707</v>
      </c>
      <c r="E279" s="1" t="s">
        <v>839</v>
      </c>
      <c r="F279" s="1"/>
      <c r="G279" s="11" t="s">
        <v>411</v>
      </c>
      <c r="H279" s="26">
        <v>45946.0</v>
      </c>
      <c r="I279" s="16" t="s">
        <v>840</v>
      </c>
      <c r="J279" s="11" t="s">
        <v>841</v>
      </c>
      <c r="K279" s="1" t="b">
        <v>0</v>
      </c>
      <c r="L279" s="1" t="b">
        <v>0</v>
      </c>
      <c r="M279" s="5" t="b">
        <v>0</v>
      </c>
      <c r="N279" s="5" t="b">
        <v>0</v>
      </c>
      <c r="O279" s="5" t="b">
        <v>0</v>
      </c>
      <c r="P279" s="1" t="b">
        <v>0</v>
      </c>
      <c r="Q279" s="1"/>
      <c r="R279" s="5"/>
      <c r="S279" s="5"/>
      <c r="T279" s="5"/>
      <c r="U279" s="5"/>
      <c r="V279" s="5"/>
      <c r="W279" s="5"/>
      <c r="X279" s="5"/>
      <c r="Y279" s="5"/>
      <c r="Z279" s="5"/>
    </row>
    <row r="280" hidden="1">
      <c r="A280" s="5"/>
      <c r="B280" s="11">
        <v>87.0</v>
      </c>
      <c r="C280" s="26"/>
      <c r="D280" s="13" t="s">
        <v>842</v>
      </c>
      <c r="E280" s="1"/>
      <c r="F280" s="1"/>
      <c r="G280" s="11"/>
      <c r="H280" s="43"/>
      <c r="I280" s="16" t="s">
        <v>843</v>
      </c>
      <c r="J280" s="11" t="s">
        <v>25</v>
      </c>
      <c r="K280" s="1" t="b">
        <v>0</v>
      </c>
      <c r="L280" s="1" t="b">
        <v>0</v>
      </c>
      <c r="M280" s="5" t="b">
        <v>0</v>
      </c>
      <c r="N280" s="5" t="b">
        <v>0</v>
      </c>
      <c r="O280" s="5" t="b">
        <v>0</v>
      </c>
      <c r="P280" s="1" t="b">
        <v>0</v>
      </c>
      <c r="Q280" s="1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11">
        <v>88.0</v>
      </c>
      <c r="C281" s="11" t="s">
        <v>844</v>
      </c>
      <c r="D281" s="13" t="s">
        <v>227</v>
      </c>
      <c r="E281" s="1" t="s">
        <v>550</v>
      </c>
      <c r="F281" s="1"/>
      <c r="G281" s="11" t="s">
        <v>28</v>
      </c>
      <c r="H281" s="43"/>
      <c r="I281" s="16" t="s">
        <v>845</v>
      </c>
      <c r="J281" s="11" t="s">
        <v>846</v>
      </c>
      <c r="K281" s="1" t="b">
        <v>1</v>
      </c>
      <c r="L281" s="1" t="b">
        <v>0</v>
      </c>
      <c r="M281" s="5" t="b">
        <v>0</v>
      </c>
      <c r="N281" s="5" t="b">
        <v>0</v>
      </c>
      <c r="O281" s="1" t="b">
        <v>1</v>
      </c>
      <c r="P281" s="1" t="b">
        <v>1</v>
      </c>
      <c r="Q281" s="1"/>
      <c r="R281" s="5"/>
      <c r="S281" s="5"/>
      <c r="T281" s="5"/>
      <c r="U281" s="5"/>
      <c r="V281" s="5"/>
      <c r="W281" s="5"/>
      <c r="X281" s="5"/>
      <c r="Y281" s="5"/>
      <c r="Z281" s="5"/>
    </row>
    <row r="282" hidden="1">
      <c r="A282" s="5"/>
      <c r="B282" s="11">
        <v>89.0</v>
      </c>
      <c r="C282" s="11" t="s">
        <v>847</v>
      </c>
      <c r="D282" s="13" t="s">
        <v>707</v>
      </c>
      <c r="E282" s="1"/>
      <c r="F282" s="1"/>
      <c r="G282" s="11" t="s">
        <v>411</v>
      </c>
      <c r="H282" s="26">
        <v>45945.0</v>
      </c>
      <c r="I282" s="16" t="s">
        <v>848</v>
      </c>
      <c r="J282" s="11" t="s">
        <v>25</v>
      </c>
      <c r="K282" s="1" t="b">
        <v>1</v>
      </c>
      <c r="L282" s="1" t="b">
        <v>0</v>
      </c>
      <c r="M282" s="5" t="b">
        <v>0</v>
      </c>
      <c r="N282" s="5" t="b">
        <v>0</v>
      </c>
      <c r="O282" s="5" t="b">
        <v>0</v>
      </c>
      <c r="P282" s="1" t="b">
        <v>0</v>
      </c>
      <c r="Q282" s="1" t="s">
        <v>849</v>
      </c>
      <c r="R282" s="5"/>
      <c r="S282" s="5"/>
      <c r="T282" s="5"/>
      <c r="U282" s="5"/>
      <c r="V282" s="5"/>
      <c r="W282" s="5"/>
      <c r="X282" s="5"/>
      <c r="Y282" s="5"/>
      <c r="Z282" s="5"/>
    </row>
    <row r="283" hidden="1">
      <c r="A283" s="5"/>
      <c r="B283" s="11">
        <v>90.0</v>
      </c>
      <c r="C283" s="11" t="s">
        <v>844</v>
      </c>
      <c r="D283" s="13" t="s">
        <v>850</v>
      </c>
      <c r="E283" s="1"/>
      <c r="F283" s="1"/>
      <c r="G283" s="11"/>
      <c r="H283" s="43"/>
      <c r="I283" s="16" t="s">
        <v>851</v>
      </c>
      <c r="J283" s="11" t="s">
        <v>25</v>
      </c>
      <c r="K283" s="1" t="b">
        <v>0</v>
      </c>
      <c r="L283" s="1" t="b">
        <v>0</v>
      </c>
      <c r="M283" s="5" t="b">
        <v>0</v>
      </c>
      <c r="N283" s="5" t="b">
        <v>0</v>
      </c>
      <c r="O283" s="5" t="b">
        <v>0</v>
      </c>
      <c r="P283" s="1" t="b">
        <v>1</v>
      </c>
      <c r="Q283" s="1" t="s">
        <v>852</v>
      </c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11">
        <v>91.0</v>
      </c>
      <c r="C284" s="11" t="s">
        <v>853</v>
      </c>
      <c r="D284" s="13" t="s">
        <v>854</v>
      </c>
      <c r="E284" s="1" t="s">
        <v>855</v>
      </c>
      <c r="F284" s="72">
        <v>7.72317499E8</v>
      </c>
      <c r="G284" s="11" t="s">
        <v>28</v>
      </c>
      <c r="H284" s="43"/>
      <c r="I284" s="16" t="s">
        <v>856</v>
      </c>
      <c r="J284" s="11" t="s">
        <v>739</v>
      </c>
      <c r="K284" s="1" t="b">
        <v>1</v>
      </c>
      <c r="L284" s="1" t="b">
        <v>0</v>
      </c>
      <c r="M284" s="5" t="b">
        <v>0</v>
      </c>
      <c r="N284" s="5" t="b">
        <v>0</v>
      </c>
      <c r="O284" s="5" t="b">
        <v>0</v>
      </c>
      <c r="P284" s="1" t="b">
        <v>0</v>
      </c>
      <c r="Q284" s="1"/>
      <c r="R284" s="5"/>
      <c r="S284" s="5"/>
      <c r="T284" s="5"/>
      <c r="U284" s="5"/>
      <c r="V284" s="5"/>
      <c r="W284" s="5"/>
      <c r="X284" s="5"/>
      <c r="Y284" s="5"/>
      <c r="Z284" s="5"/>
    </row>
    <row r="285" hidden="1">
      <c r="A285" s="5"/>
      <c r="B285" s="11">
        <v>92.0</v>
      </c>
      <c r="C285" s="11" t="s">
        <v>857</v>
      </c>
      <c r="D285" s="13" t="s">
        <v>707</v>
      </c>
      <c r="E285" s="1" t="s">
        <v>858</v>
      </c>
      <c r="F285" s="1"/>
      <c r="G285" s="11" t="s">
        <v>411</v>
      </c>
      <c r="H285" s="43"/>
      <c r="I285" s="16" t="s">
        <v>859</v>
      </c>
      <c r="J285" s="11" t="s">
        <v>813</v>
      </c>
      <c r="K285" s="1" t="b">
        <v>1</v>
      </c>
      <c r="L285" s="1" t="b">
        <v>0</v>
      </c>
      <c r="M285" s="5" t="b">
        <v>0</v>
      </c>
      <c r="N285" s="5" t="b">
        <v>0</v>
      </c>
      <c r="O285" s="5" t="b">
        <v>0</v>
      </c>
      <c r="P285" s="1" t="b">
        <v>0</v>
      </c>
      <c r="Q285" s="1" t="s">
        <v>860</v>
      </c>
      <c r="R285" s="5"/>
      <c r="S285" s="5"/>
      <c r="T285" s="5"/>
      <c r="U285" s="5"/>
      <c r="V285" s="5"/>
      <c r="W285" s="5"/>
      <c r="X285" s="5"/>
      <c r="Y285" s="5"/>
      <c r="Z285" s="5"/>
    </row>
    <row r="286" hidden="1">
      <c r="A286" s="5"/>
      <c r="B286" s="11">
        <v>93.0</v>
      </c>
      <c r="C286" s="11" t="s">
        <v>857</v>
      </c>
      <c r="D286" s="13" t="s">
        <v>861</v>
      </c>
      <c r="E286" s="1"/>
      <c r="F286" s="1"/>
      <c r="G286" s="11" t="s">
        <v>411</v>
      </c>
      <c r="H286" s="43"/>
      <c r="I286" s="16"/>
      <c r="J286" s="11" t="s">
        <v>233</v>
      </c>
      <c r="K286" s="1" t="b">
        <v>0</v>
      </c>
      <c r="L286" s="1" t="b">
        <v>0</v>
      </c>
      <c r="M286" s="5" t="b">
        <v>0</v>
      </c>
      <c r="N286" s="5" t="b">
        <v>0</v>
      </c>
      <c r="O286" s="5" t="b">
        <v>0</v>
      </c>
      <c r="P286" s="1" t="b">
        <v>0</v>
      </c>
      <c r="Q286" s="1"/>
      <c r="R286" s="5"/>
      <c r="S286" s="5"/>
      <c r="T286" s="5"/>
      <c r="U286" s="5"/>
      <c r="V286" s="5"/>
      <c r="W286" s="5"/>
      <c r="X286" s="5"/>
      <c r="Y286" s="5"/>
      <c r="Z286" s="5"/>
    </row>
    <row r="287" hidden="1">
      <c r="A287" s="5"/>
      <c r="B287" s="11">
        <v>92.0</v>
      </c>
      <c r="C287" s="11" t="s">
        <v>857</v>
      </c>
      <c r="D287" s="13" t="s">
        <v>707</v>
      </c>
      <c r="E287" s="1" t="s">
        <v>858</v>
      </c>
      <c r="F287" s="1"/>
      <c r="G287" s="11" t="s">
        <v>411</v>
      </c>
      <c r="H287" s="43"/>
      <c r="I287" s="16" t="s">
        <v>859</v>
      </c>
      <c r="J287" s="11" t="s">
        <v>25</v>
      </c>
      <c r="K287" s="1" t="b">
        <v>1</v>
      </c>
      <c r="L287" s="1" t="b">
        <v>0</v>
      </c>
      <c r="M287" s="5" t="b">
        <v>0</v>
      </c>
      <c r="N287" s="5" t="b">
        <v>0</v>
      </c>
      <c r="O287" s="1" t="b">
        <v>1</v>
      </c>
      <c r="P287" s="1" t="b">
        <v>1</v>
      </c>
      <c r="Q287" s="1" t="s">
        <v>862</v>
      </c>
      <c r="R287" s="5"/>
      <c r="S287" s="5"/>
      <c r="T287" s="5"/>
      <c r="U287" s="5"/>
      <c r="V287" s="5"/>
      <c r="W287" s="5"/>
      <c r="X287" s="5"/>
      <c r="Y287" s="5"/>
      <c r="Z287" s="5"/>
    </row>
    <row r="288" hidden="1">
      <c r="A288" s="5"/>
      <c r="B288" s="11">
        <v>94.0</v>
      </c>
      <c r="C288" s="11" t="s">
        <v>863</v>
      </c>
      <c r="D288" s="13" t="s">
        <v>801</v>
      </c>
      <c r="E288" s="1"/>
      <c r="F288" s="1"/>
      <c r="G288" s="11" t="s">
        <v>411</v>
      </c>
      <c r="H288" s="43"/>
      <c r="I288" s="16" t="s">
        <v>864</v>
      </c>
      <c r="J288" s="11" t="s">
        <v>25</v>
      </c>
      <c r="K288" s="1" t="b">
        <v>1</v>
      </c>
      <c r="L288" s="1" t="b">
        <v>0</v>
      </c>
      <c r="M288" s="5" t="b">
        <v>0</v>
      </c>
      <c r="N288" s="5" t="b">
        <v>0</v>
      </c>
      <c r="O288" s="5" t="b">
        <v>0</v>
      </c>
      <c r="P288" s="1" t="b">
        <v>1</v>
      </c>
      <c r="Q288" s="1" t="s">
        <v>865</v>
      </c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11">
        <v>95.0</v>
      </c>
      <c r="C289" s="11" t="s">
        <v>863</v>
      </c>
      <c r="D289" s="13" t="s">
        <v>622</v>
      </c>
      <c r="E289" s="1"/>
      <c r="F289" s="1"/>
      <c r="G289" s="11" t="s">
        <v>411</v>
      </c>
      <c r="H289" s="43"/>
      <c r="I289" s="16" t="s">
        <v>866</v>
      </c>
      <c r="J289" s="11" t="s">
        <v>867</v>
      </c>
      <c r="K289" s="1" t="b">
        <v>1</v>
      </c>
      <c r="L289" s="1" t="b">
        <v>0</v>
      </c>
      <c r="M289" s="5" t="b">
        <v>0</v>
      </c>
      <c r="N289" s="5" t="b">
        <v>0</v>
      </c>
      <c r="O289" s="5" t="b">
        <v>0</v>
      </c>
      <c r="P289" s="1" t="b">
        <v>0</v>
      </c>
      <c r="Q289" s="1"/>
      <c r="R289" s="5"/>
      <c r="S289" s="5"/>
      <c r="T289" s="5"/>
      <c r="U289" s="5"/>
      <c r="V289" s="5"/>
      <c r="W289" s="5"/>
      <c r="X289" s="5"/>
      <c r="Y289" s="5"/>
      <c r="Z289" s="5"/>
    </row>
    <row r="290" hidden="1">
      <c r="A290" s="5"/>
      <c r="B290" s="11">
        <v>96.0</v>
      </c>
      <c r="C290" s="26">
        <v>45930.0</v>
      </c>
      <c r="D290" s="13" t="s">
        <v>868</v>
      </c>
      <c r="E290" s="1"/>
      <c r="F290" s="1"/>
      <c r="G290" s="11" t="s">
        <v>411</v>
      </c>
      <c r="H290" s="43"/>
      <c r="I290" s="16" t="s">
        <v>869</v>
      </c>
      <c r="J290" s="11" t="s">
        <v>25</v>
      </c>
      <c r="K290" s="1" t="b">
        <v>1</v>
      </c>
      <c r="L290" s="1" t="b">
        <v>0</v>
      </c>
      <c r="M290" s="5" t="b">
        <v>0</v>
      </c>
      <c r="N290" s="5" t="b">
        <v>0</v>
      </c>
      <c r="O290" s="1" t="b">
        <v>1</v>
      </c>
      <c r="P290" s="1" t="b">
        <v>1</v>
      </c>
      <c r="Q290" s="1" t="s">
        <v>870</v>
      </c>
      <c r="R290" s="5"/>
      <c r="S290" s="5"/>
      <c r="T290" s="5"/>
      <c r="U290" s="5"/>
      <c r="V290" s="5"/>
      <c r="W290" s="5"/>
      <c r="X290" s="5"/>
      <c r="Y290" s="5"/>
      <c r="Z290" s="5"/>
    </row>
    <row r="291" hidden="1">
      <c r="A291" s="5"/>
      <c r="B291" s="11">
        <v>97.0</v>
      </c>
      <c r="C291" s="26">
        <v>45930.0</v>
      </c>
      <c r="D291" s="13" t="s">
        <v>871</v>
      </c>
      <c r="E291" s="1" t="s">
        <v>166</v>
      </c>
      <c r="F291" s="1"/>
      <c r="G291" s="11" t="s">
        <v>411</v>
      </c>
      <c r="H291" s="43"/>
      <c r="I291" s="16" t="s">
        <v>872</v>
      </c>
      <c r="J291" s="11" t="s">
        <v>813</v>
      </c>
      <c r="K291" s="1" t="b">
        <v>0</v>
      </c>
      <c r="L291" s="1" t="b">
        <v>0</v>
      </c>
      <c r="M291" s="5" t="b">
        <v>0</v>
      </c>
      <c r="N291" s="5" t="b">
        <v>0</v>
      </c>
      <c r="O291" s="5" t="b">
        <v>0</v>
      </c>
      <c r="P291" s="1" t="b">
        <v>0</v>
      </c>
      <c r="Q291" s="1" t="s">
        <v>873</v>
      </c>
      <c r="R291" s="5"/>
      <c r="S291" s="5"/>
      <c r="T291" s="5"/>
      <c r="U291" s="5"/>
      <c r="V291" s="5"/>
      <c r="W291" s="5"/>
      <c r="X291" s="5"/>
      <c r="Y291" s="5"/>
      <c r="Z291" s="5"/>
    </row>
    <row r="292" hidden="1">
      <c r="A292" s="5"/>
      <c r="B292" s="11">
        <v>98.0</v>
      </c>
      <c r="C292" s="26">
        <v>45932.0</v>
      </c>
      <c r="D292" s="59" t="s">
        <v>874</v>
      </c>
      <c r="E292" s="1" t="s">
        <v>875</v>
      </c>
      <c r="F292" s="1">
        <v>7.86252039E8</v>
      </c>
      <c r="G292" s="11" t="s">
        <v>411</v>
      </c>
      <c r="H292" s="26">
        <v>45954.0</v>
      </c>
      <c r="I292" s="16" t="s">
        <v>876</v>
      </c>
      <c r="J292" s="11" t="s">
        <v>25</v>
      </c>
      <c r="K292" s="1" t="b">
        <v>1</v>
      </c>
      <c r="L292" s="1" t="b">
        <v>0</v>
      </c>
      <c r="M292" s="5" t="b">
        <v>0</v>
      </c>
      <c r="N292" s="5" t="b">
        <v>0</v>
      </c>
      <c r="O292" s="5" t="b">
        <v>0</v>
      </c>
      <c r="P292" s="1" t="b">
        <v>1</v>
      </c>
      <c r="Q292" s="1" t="s">
        <v>877</v>
      </c>
      <c r="R292" s="5"/>
      <c r="S292" s="5"/>
      <c r="T292" s="5"/>
      <c r="U292" s="5"/>
      <c r="V292" s="5"/>
      <c r="W292" s="5"/>
      <c r="X292" s="5"/>
      <c r="Y292" s="5"/>
      <c r="Z292" s="5"/>
    </row>
    <row r="293" hidden="1">
      <c r="A293" s="5"/>
      <c r="B293" s="11">
        <v>99.0</v>
      </c>
      <c r="C293" s="26">
        <v>45932.0</v>
      </c>
      <c r="D293" s="59" t="s">
        <v>580</v>
      </c>
      <c r="E293" s="1" t="s">
        <v>878</v>
      </c>
      <c r="F293" s="1"/>
      <c r="G293" s="11" t="s">
        <v>411</v>
      </c>
      <c r="H293" s="26">
        <v>45933.0</v>
      </c>
      <c r="I293" s="16" t="s">
        <v>879</v>
      </c>
      <c r="J293" s="11" t="s">
        <v>25</v>
      </c>
      <c r="K293" s="1" t="b">
        <v>1</v>
      </c>
      <c r="L293" s="1" t="b">
        <v>0</v>
      </c>
      <c r="M293" s="5" t="b">
        <v>0</v>
      </c>
      <c r="N293" s="5" t="b">
        <v>0</v>
      </c>
      <c r="O293" s="5" t="b">
        <v>0</v>
      </c>
      <c r="P293" s="1" t="b">
        <v>0</v>
      </c>
      <c r="Q293" s="1" t="s">
        <v>880</v>
      </c>
      <c r="R293" s="5"/>
      <c r="S293" s="5"/>
      <c r="T293" s="5"/>
      <c r="U293" s="5"/>
      <c r="V293" s="5"/>
      <c r="W293" s="5"/>
      <c r="X293" s="5"/>
      <c r="Y293" s="5"/>
      <c r="Z293" s="5"/>
    </row>
    <row r="294" hidden="1">
      <c r="A294" s="5"/>
      <c r="B294" s="11">
        <v>100.0</v>
      </c>
      <c r="C294" s="26"/>
      <c r="D294" s="13" t="s">
        <v>344</v>
      </c>
      <c r="E294" s="1"/>
      <c r="F294" s="1"/>
      <c r="G294" s="11" t="s">
        <v>28</v>
      </c>
      <c r="H294" s="43"/>
      <c r="I294" s="16" t="s">
        <v>724</v>
      </c>
      <c r="J294" s="11" t="s">
        <v>25</v>
      </c>
      <c r="K294" s="1" t="b">
        <v>1</v>
      </c>
      <c r="L294" s="1" t="b">
        <v>1</v>
      </c>
      <c r="M294" s="1" t="b">
        <v>1</v>
      </c>
      <c r="N294" s="5" t="b">
        <v>0</v>
      </c>
      <c r="O294" s="5" t="b">
        <v>0</v>
      </c>
      <c r="P294" s="1" t="b">
        <v>1</v>
      </c>
      <c r="Q294" s="1"/>
      <c r="R294" s="5"/>
      <c r="S294" s="5"/>
      <c r="T294" s="5"/>
      <c r="U294" s="5"/>
      <c r="V294" s="5"/>
      <c r="W294" s="5"/>
      <c r="X294" s="5"/>
      <c r="Y294" s="5"/>
      <c r="Z294" s="5"/>
    </row>
    <row r="295" hidden="1">
      <c r="A295" s="5"/>
      <c r="B295" s="11">
        <v>101.0</v>
      </c>
      <c r="C295" s="26">
        <v>45933.0</v>
      </c>
      <c r="D295" s="13" t="s">
        <v>881</v>
      </c>
      <c r="E295" s="1"/>
      <c r="F295" s="1"/>
      <c r="G295" s="11" t="s">
        <v>411</v>
      </c>
      <c r="H295" s="26">
        <v>45957.0</v>
      </c>
      <c r="I295" s="16" t="s">
        <v>882</v>
      </c>
      <c r="J295" s="11" t="s">
        <v>25</v>
      </c>
      <c r="K295" s="1" t="b">
        <v>1</v>
      </c>
      <c r="L295" s="1" t="b">
        <v>1</v>
      </c>
      <c r="M295" s="1" t="b">
        <v>1</v>
      </c>
      <c r="N295" s="1" t="b">
        <v>1</v>
      </c>
      <c r="O295" s="5" t="b">
        <v>0</v>
      </c>
      <c r="P295" s="1" t="b">
        <v>1</v>
      </c>
      <c r="Q295" s="1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11">
        <v>102.0</v>
      </c>
      <c r="C296" s="26">
        <v>45934.0</v>
      </c>
      <c r="D296" s="13" t="s">
        <v>883</v>
      </c>
      <c r="E296" s="1"/>
      <c r="F296" s="1"/>
      <c r="G296" s="11" t="s">
        <v>411</v>
      </c>
      <c r="H296" s="43"/>
      <c r="I296" s="16" t="s">
        <v>884</v>
      </c>
      <c r="J296" s="11" t="s">
        <v>734</v>
      </c>
      <c r="K296" s="1" t="b">
        <v>0</v>
      </c>
      <c r="L296" s="1" t="b">
        <v>0</v>
      </c>
      <c r="M296" s="5" t="b">
        <v>0</v>
      </c>
      <c r="N296" s="5" t="b">
        <v>0</v>
      </c>
      <c r="O296" s="5" t="b">
        <v>0</v>
      </c>
      <c r="P296" s="1" t="b">
        <v>0</v>
      </c>
      <c r="Q296" s="1" t="s">
        <v>885</v>
      </c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11">
        <v>103.0</v>
      </c>
      <c r="C297" s="26">
        <v>45938.0</v>
      </c>
      <c r="D297" s="13" t="s">
        <v>82</v>
      </c>
      <c r="E297" s="1"/>
      <c r="F297" s="1"/>
      <c r="G297" s="11" t="s">
        <v>23</v>
      </c>
      <c r="H297" s="43"/>
      <c r="I297" s="16" t="s">
        <v>886</v>
      </c>
      <c r="J297" s="11" t="s">
        <v>734</v>
      </c>
      <c r="K297" s="1" t="b">
        <v>0</v>
      </c>
      <c r="L297" s="1" t="b">
        <v>0</v>
      </c>
      <c r="M297" s="5" t="b">
        <v>0</v>
      </c>
      <c r="N297" s="5" t="b">
        <v>0</v>
      </c>
      <c r="O297" s="5" t="b">
        <v>0</v>
      </c>
      <c r="P297" s="1" t="b">
        <v>0</v>
      </c>
      <c r="Q297" s="1"/>
      <c r="R297" s="5"/>
      <c r="S297" s="5"/>
      <c r="T297" s="5"/>
      <c r="U297" s="5"/>
      <c r="V297" s="5"/>
      <c r="W297" s="5"/>
      <c r="X297" s="5"/>
      <c r="Y297" s="5"/>
      <c r="Z297" s="5"/>
    </row>
    <row r="298" hidden="1">
      <c r="A298" s="5"/>
      <c r="B298" s="11"/>
      <c r="C298" s="26"/>
      <c r="D298" s="13" t="s">
        <v>887</v>
      </c>
      <c r="E298" s="1"/>
      <c r="F298" s="1"/>
      <c r="G298" s="11" t="s">
        <v>411</v>
      </c>
      <c r="H298" s="43"/>
      <c r="I298" s="16" t="s">
        <v>888</v>
      </c>
      <c r="J298" s="11" t="s">
        <v>233</v>
      </c>
      <c r="K298" s="1" t="b">
        <v>0</v>
      </c>
      <c r="L298" s="1" t="b">
        <v>0</v>
      </c>
      <c r="M298" s="5" t="b">
        <v>0</v>
      </c>
      <c r="N298" s="5" t="b">
        <v>0</v>
      </c>
      <c r="O298" s="5" t="b">
        <v>0</v>
      </c>
      <c r="P298" s="1" t="b">
        <v>0</v>
      </c>
      <c r="Q298" s="1"/>
      <c r="R298" s="5"/>
      <c r="S298" s="5"/>
      <c r="T298" s="5"/>
      <c r="U298" s="5"/>
      <c r="V298" s="5"/>
      <c r="W298" s="5"/>
      <c r="X298" s="5"/>
      <c r="Y298" s="5"/>
      <c r="Z298" s="5"/>
    </row>
    <row r="299" hidden="1">
      <c r="A299" s="5"/>
      <c r="B299" s="11">
        <v>105.0</v>
      </c>
      <c r="C299" s="26">
        <v>45944.0</v>
      </c>
      <c r="D299" s="13" t="s">
        <v>889</v>
      </c>
      <c r="E299" s="1"/>
      <c r="F299" s="1"/>
      <c r="G299" s="11" t="s">
        <v>411</v>
      </c>
      <c r="H299" s="43"/>
      <c r="I299" s="16" t="s">
        <v>890</v>
      </c>
      <c r="J299" s="11" t="s">
        <v>25</v>
      </c>
      <c r="K299" s="1" t="b">
        <v>0</v>
      </c>
      <c r="L299" s="1" t="b">
        <v>0</v>
      </c>
      <c r="M299" s="5" t="b">
        <v>0</v>
      </c>
      <c r="N299" s="5" t="b">
        <v>0</v>
      </c>
      <c r="O299" s="5" t="b">
        <v>0</v>
      </c>
      <c r="P299" s="1" t="b">
        <v>1</v>
      </c>
      <c r="Q299" s="1"/>
      <c r="R299" s="5"/>
      <c r="S299" s="5"/>
      <c r="T299" s="5"/>
      <c r="U299" s="5"/>
      <c r="V299" s="5"/>
      <c r="W299" s="5"/>
      <c r="X299" s="5"/>
      <c r="Y299" s="5"/>
      <c r="Z299" s="5"/>
    </row>
    <row r="300" hidden="1">
      <c r="A300" s="5"/>
      <c r="B300" s="11">
        <v>106.0</v>
      </c>
      <c r="C300" s="26">
        <v>45945.0</v>
      </c>
      <c r="D300" s="13" t="s">
        <v>891</v>
      </c>
      <c r="E300" s="1"/>
      <c r="F300" s="1"/>
      <c r="G300" s="11" t="s">
        <v>411</v>
      </c>
      <c r="H300" s="43"/>
      <c r="I300" s="16" t="s">
        <v>892</v>
      </c>
      <c r="J300" s="11" t="s">
        <v>25</v>
      </c>
      <c r="K300" s="1" t="b">
        <v>1</v>
      </c>
      <c r="L300" s="1" t="b">
        <v>0</v>
      </c>
      <c r="M300" s="5" t="b">
        <v>0</v>
      </c>
      <c r="N300" s="5" t="b">
        <v>0</v>
      </c>
      <c r="O300" s="5" t="b">
        <v>0</v>
      </c>
      <c r="P300" s="1" t="b">
        <v>1</v>
      </c>
      <c r="Q300" s="1" t="s">
        <v>893</v>
      </c>
      <c r="R300" s="5"/>
      <c r="S300" s="5"/>
      <c r="T300" s="5"/>
      <c r="U300" s="5"/>
      <c r="V300" s="5"/>
      <c r="W300" s="5"/>
      <c r="X300" s="5"/>
      <c r="Y300" s="5"/>
      <c r="Z300" s="5"/>
    </row>
    <row r="301" hidden="1">
      <c r="A301" s="5"/>
      <c r="B301" s="11">
        <v>107.0</v>
      </c>
      <c r="C301" s="26">
        <v>45946.0</v>
      </c>
      <c r="D301" s="13" t="s">
        <v>894</v>
      </c>
      <c r="E301" s="1"/>
      <c r="F301" s="1"/>
      <c r="G301" s="11" t="s">
        <v>28</v>
      </c>
      <c r="H301" s="43"/>
      <c r="I301" s="16" t="s">
        <v>561</v>
      </c>
      <c r="J301" s="11" t="s">
        <v>25</v>
      </c>
      <c r="K301" s="1" t="b">
        <v>1</v>
      </c>
      <c r="L301" s="1" t="b">
        <v>0</v>
      </c>
      <c r="M301" s="5" t="b">
        <v>0</v>
      </c>
      <c r="N301" s="5" t="b">
        <v>0</v>
      </c>
      <c r="O301" s="5" t="b">
        <v>0</v>
      </c>
      <c r="P301" s="1" t="b">
        <v>1</v>
      </c>
      <c r="Q301" s="1"/>
      <c r="R301" s="5"/>
      <c r="S301" s="5"/>
      <c r="T301" s="5"/>
      <c r="U301" s="5"/>
      <c r="V301" s="5"/>
      <c r="W301" s="5"/>
      <c r="X301" s="5"/>
      <c r="Y301" s="5"/>
      <c r="Z301" s="5"/>
    </row>
    <row r="302" hidden="1">
      <c r="A302" s="5"/>
      <c r="B302" s="11">
        <v>108.0</v>
      </c>
      <c r="C302" s="26">
        <v>45947.0</v>
      </c>
      <c r="D302" s="13" t="s">
        <v>584</v>
      </c>
      <c r="E302" s="1"/>
      <c r="F302" s="1"/>
      <c r="G302" s="11" t="s">
        <v>411</v>
      </c>
      <c r="H302" s="26">
        <v>45954.0</v>
      </c>
      <c r="I302" s="16" t="s">
        <v>895</v>
      </c>
      <c r="J302" s="11" t="s">
        <v>25</v>
      </c>
      <c r="K302" s="1" t="b">
        <v>1</v>
      </c>
      <c r="L302" s="1" t="b">
        <v>0</v>
      </c>
      <c r="M302" s="5" t="b">
        <v>0</v>
      </c>
      <c r="N302" s="5" t="b">
        <v>0</v>
      </c>
      <c r="O302" s="1" t="b">
        <v>1</v>
      </c>
      <c r="P302" s="1" t="b">
        <v>1</v>
      </c>
      <c r="Q302" s="1" t="s">
        <v>896</v>
      </c>
      <c r="R302" s="5"/>
      <c r="S302" s="5"/>
      <c r="T302" s="5"/>
      <c r="U302" s="5"/>
      <c r="V302" s="5"/>
      <c r="W302" s="5"/>
      <c r="X302" s="5"/>
      <c r="Y302" s="5"/>
      <c r="Z302" s="5"/>
    </row>
    <row r="303" hidden="1">
      <c r="A303" s="5"/>
      <c r="B303" s="11">
        <v>109.0</v>
      </c>
      <c r="C303" s="26">
        <v>45951.0</v>
      </c>
      <c r="D303" s="13" t="s">
        <v>897</v>
      </c>
      <c r="E303" s="1"/>
      <c r="F303" s="1"/>
      <c r="G303" s="11" t="s">
        <v>28</v>
      </c>
      <c r="H303" s="43"/>
      <c r="I303" s="16" t="s">
        <v>898</v>
      </c>
      <c r="J303" s="11" t="s">
        <v>25</v>
      </c>
      <c r="K303" s="1" t="b">
        <v>1</v>
      </c>
      <c r="L303" s="1" t="b">
        <v>1</v>
      </c>
      <c r="M303" s="5" t="b">
        <v>0</v>
      </c>
      <c r="N303" s="5" t="b">
        <v>0</v>
      </c>
      <c r="O303" s="1" t="b">
        <v>1</v>
      </c>
      <c r="P303" s="1" t="b">
        <v>1</v>
      </c>
      <c r="Q303" s="1"/>
      <c r="R303" s="5"/>
      <c r="S303" s="5"/>
      <c r="T303" s="5"/>
      <c r="U303" s="5"/>
      <c r="V303" s="5"/>
      <c r="W303" s="5"/>
      <c r="X303" s="5"/>
      <c r="Y303" s="5"/>
      <c r="Z303" s="5"/>
    </row>
    <row r="304" hidden="1">
      <c r="A304" s="5"/>
      <c r="B304" s="11">
        <v>110.0</v>
      </c>
      <c r="C304" s="26">
        <v>45952.0</v>
      </c>
      <c r="D304" s="13" t="s">
        <v>899</v>
      </c>
      <c r="E304" s="1"/>
      <c r="F304" s="1"/>
      <c r="G304" s="11" t="s">
        <v>28</v>
      </c>
      <c r="H304" s="26"/>
      <c r="I304" s="16" t="s">
        <v>840</v>
      </c>
      <c r="J304" s="11" t="s">
        <v>25</v>
      </c>
      <c r="K304" s="1" t="b">
        <v>1</v>
      </c>
      <c r="L304" s="1" t="b">
        <v>0</v>
      </c>
      <c r="M304" s="5" t="b">
        <v>0</v>
      </c>
      <c r="N304" s="5" t="b">
        <v>0</v>
      </c>
      <c r="O304" s="5" t="b">
        <v>0</v>
      </c>
      <c r="P304" s="1" t="b">
        <v>1</v>
      </c>
      <c r="Q304" s="1"/>
      <c r="R304" s="5"/>
      <c r="S304" s="5"/>
      <c r="T304" s="5"/>
      <c r="U304" s="5"/>
      <c r="V304" s="5"/>
      <c r="W304" s="5"/>
      <c r="X304" s="5"/>
      <c r="Y304" s="5"/>
      <c r="Z304" s="5"/>
    </row>
    <row r="305" hidden="1">
      <c r="A305" s="5"/>
      <c r="B305" s="11">
        <v>111.0</v>
      </c>
      <c r="C305" s="26">
        <v>45953.0</v>
      </c>
      <c r="D305" s="13" t="s">
        <v>900</v>
      </c>
      <c r="E305" s="1" t="s">
        <v>77</v>
      </c>
      <c r="F305" s="1"/>
      <c r="G305" s="11" t="s">
        <v>411</v>
      </c>
      <c r="H305" s="26"/>
      <c r="I305" s="16" t="s">
        <v>719</v>
      </c>
      <c r="J305" s="11" t="s">
        <v>25</v>
      </c>
      <c r="K305" s="1" t="b">
        <v>0</v>
      </c>
      <c r="L305" s="1" t="b">
        <v>0</v>
      </c>
      <c r="M305" s="5" t="b">
        <v>0</v>
      </c>
      <c r="N305" s="5" t="b">
        <v>0</v>
      </c>
      <c r="O305" s="1" t="b">
        <v>1</v>
      </c>
      <c r="P305" s="1" t="b">
        <v>0</v>
      </c>
      <c r="Q305" s="1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11">
        <v>112.0</v>
      </c>
      <c r="C306" s="26">
        <v>45958.0</v>
      </c>
      <c r="D306" s="13" t="s">
        <v>901</v>
      </c>
      <c r="E306" s="1"/>
      <c r="F306" s="1"/>
      <c r="G306" s="11" t="s">
        <v>28</v>
      </c>
      <c r="H306" s="26"/>
      <c r="I306" s="16" t="s">
        <v>902</v>
      </c>
      <c r="J306" s="11" t="s">
        <v>739</v>
      </c>
      <c r="K306" s="1" t="b">
        <v>1</v>
      </c>
      <c r="L306" s="1" t="b">
        <v>0</v>
      </c>
      <c r="M306" s="5" t="b">
        <v>0</v>
      </c>
      <c r="N306" s="5" t="b">
        <v>0</v>
      </c>
      <c r="O306" s="5" t="b">
        <v>0</v>
      </c>
      <c r="P306" s="1" t="b">
        <v>0</v>
      </c>
      <c r="Q306" s="1"/>
      <c r="R306" s="5"/>
      <c r="S306" s="5"/>
      <c r="T306" s="5"/>
      <c r="U306" s="5"/>
      <c r="V306" s="5"/>
      <c r="W306" s="5"/>
      <c r="X306" s="5"/>
      <c r="Y306" s="5"/>
      <c r="Z306" s="5"/>
    </row>
    <row r="307" hidden="1">
      <c r="A307" s="5"/>
      <c r="B307" s="11">
        <v>113.0</v>
      </c>
      <c r="C307" s="26">
        <v>45958.0</v>
      </c>
      <c r="D307" s="13" t="s">
        <v>903</v>
      </c>
      <c r="E307" s="1" t="s">
        <v>904</v>
      </c>
      <c r="F307" s="1"/>
      <c r="G307" s="11" t="s">
        <v>28</v>
      </c>
      <c r="H307" s="11" t="s">
        <v>905</v>
      </c>
      <c r="I307" s="16" t="s">
        <v>906</v>
      </c>
      <c r="J307" s="11" t="s">
        <v>25</v>
      </c>
      <c r="K307" s="1" t="b">
        <v>1</v>
      </c>
      <c r="L307" s="1" t="b">
        <v>1</v>
      </c>
      <c r="M307" s="1" t="b">
        <v>1</v>
      </c>
      <c r="N307" s="5" t="b">
        <v>0</v>
      </c>
      <c r="O307" s="1" t="b">
        <v>1</v>
      </c>
      <c r="P307" s="1" t="b">
        <v>1</v>
      </c>
      <c r="Q307" s="1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11">
        <v>114.0</v>
      </c>
      <c r="C308" s="26">
        <v>45961.0</v>
      </c>
      <c r="D308" s="13" t="s">
        <v>807</v>
      </c>
      <c r="E308" s="1" t="s">
        <v>54</v>
      </c>
      <c r="F308" s="1">
        <v>7.73915586E8</v>
      </c>
      <c r="G308" s="11" t="s">
        <v>411</v>
      </c>
      <c r="H308" s="26">
        <v>45972.0</v>
      </c>
      <c r="I308" s="16" t="s">
        <v>907</v>
      </c>
      <c r="J308" s="11" t="s">
        <v>908</v>
      </c>
      <c r="K308" s="1" t="b">
        <v>0</v>
      </c>
      <c r="L308" s="1" t="b">
        <v>0</v>
      </c>
      <c r="M308" s="5" t="b">
        <v>0</v>
      </c>
      <c r="N308" s="5" t="b">
        <v>0</v>
      </c>
      <c r="O308" s="5" t="b">
        <v>0</v>
      </c>
      <c r="P308" s="1" t="b">
        <v>0</v>
      </c>
      <c r="Q308" s="1" t="s">
        <v>909</v>
      </c>
      <c r="R308" s="5"/>
      <c r="S308" s="5"/>
      <c r="T308" s="5"/>
      <c r="U308" s="5"/>
      <c r="V308" s="5"/>
      <c r="W308" s="5"/>
      <c r="X308" s="5"/>
      <c r="Y308" s="5"/>
      <c r="Z308" s="5"/>
    </row>
    <row r="309" hidden="1">
      <c r="A309" s="5"/>
      <c r="B309" s="11">
        <v>115.0</v>
      </c>
      <c r="C309" s="26">
        <v>45961.0</v>
      </c>
      <c r="D309" s="13" t="s">
        <v>910</v>
      </c>
      <c r="E309" s="1" t="s">
        <v>911</v>
      </c>
      <c r="F309" s="1"/>
      <c r="G309" s="11" t="s">
        <v>411</v>
      </c>
      <c r="H309" s="26"/>
      <c r="I309" s="16" t="s">
        <v>912</v>
      </c>
      <c r="J309" s="11" t="s">
        <v>841</v>
      </c>
      <c r="K309" s="1" t="b">
        <v>0</v>
      </c>
      <c r="L309" s="1" t="b">
        <v>0</v>
      </c>
      <c r="M309" s="5" t="b">
        <v>0</v>
      </c>
      <c r="N309" s="5" t="b">
        <v>0</v>
      </c>
      <c r="O309" s="5" t="b">
        <v>0</v>
      </c>
      <c r="P309" s="1" t="b">
        <v>0</v>
      </c>
      <c r="Q309" s="1" t="s">
        <v>913</v>
      </c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11">
        <v>116.0</v>
      </c>
      <c r="C310" s="26">
        <v>45964.0</v>
      </c>
      <c r="D310" s="73" t="s">
        <v>914</v>
      </c>
      <c r="E310" s="1" t="s">
        <v>537</v>
      </c>
      <c r="F310" s="1"/>
      <c r="G310" s="11" t="s">
        <v>411</v>
      </c>
      <c r="H310" s="26"/>
      <c r="I310" s="74" t="s">
        <v>915</v>
      </c>
      <c r="J310" s="11" t="s">
        <v>867</v>
      </c>
      <c r="K310" s="1" t="b">
        <v>1</v>
      </c>
      <c r="L310" s="1" t="b">
        <v>0</v>
      </c>
      <c r="M310" s="5" t="b">
        <v>0</v>
      </c>
      <c r="N310" s="5" t="b">
        <v>0</v>
      </c>
      <c r="O310" s="5" t="b">
        <v>0</v>
      </c>
      <c r="P310" s="1" t="b">
        <v>0</v>
      </c>
      <c r="Q310" s="1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42"/>
      <c r="B311" s="60">
        <v>117.0</v>
      </c>
      <c r="C311" s="61">
        <v>45965.0</v>
      </c>
      <c r="D311" s="62" t="s">
        <v>506</v>
      </c>
      <c r="E311" s="75"/>
      <c r="F311" s="75"/>
      <c r="G311" s="60" t="s">
        <v>45</v>
      </c>
      <c r="H311" s="61">
        <v>45991.0</v>
      </c>
      <c r="I311" s="65" t="s">
        <v>916</v>
      </c>
      <c r="J311" s="60" t="s">
        <v>781</v>
      </c>
      <c r="K311" s="67" t="b">
        <v>0</v>
      </c>
      <c r="L311" s="67" t="b">
        <v>0</v>
      </c>
      <c r="M311" s="68" t="b">
        <v>0</v>
      </c>
      <c r="N311" s="68" t="b">
        <v>0</v>
      </c>
      <c r="O311" s="68" t="b">
        <v>0</v>
      </c>
      <c r="P311" s="67" t="b">
        <v>0</v>
      </c>
      <c r="Q311" s="75"/>
      <c r="R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42"/>
      <c r="B312" s="60">
        <v>119.0</v>
      </c>
      <c r="C312" s="61">
        <v>45965.0</v>
      </c>
      <c r="D312" s="62" t="s">
        <v>917</v>
      </c>
      <c r="E312" s="63" t="s">
        <v>918</v>
      </c>
      <c r="F312" s="64">
        <v>7.78278512E8</v>
      </c>
      <c r="G312" s="60" t="s">
        <v>411</v>
      </c>
      <c r="H312" s="61">
        <v>45975.0</v>
      </c>
      <c r="I312" s="65" t="s">
        <v>919</v>
      </c>
      <c r="J312" s="60" t="s">
        <v>734</v>
      </c>
      <c r="K312" s="67" t="b">
        <v>1</v>
      </c>
      <c r="L312" s="67" t="b">
        <v>0</v>
      </c>
      <c r="M312" s="68" t="b">
        <v>0</v>
      </c>
      <c r="N312" s="68" t="b">
        <v>0</v>
      </c>
      <c r="O312" s="68" t="b">
        <v>0</v>
      </c>
      <c r="P312" s="67" t="b">
        <v>0</v>
      </c>
      <c r="Q312" s="63" t="s">
        <v>920</v>
      </c>
      <c r="R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5"/>
      <c r="B313" s="11">
        <v>125.0</v>
      </c>
      <c r="C313" s="26">
        <v>45967.0</v>
      </c>
      <c r="D313" s="76" t="s">
        <v>622</v>
      </c>
      <c r="E313" s="1" t="s">
        <v>537</v>
      </c>
      <c r="F313" s="1"/>
      <c r="G313" s="11" t="s">
        <v>411</v>
      </c>
      <c r="H313" s="26"/>
      <c r="I313" s="77" t="s">
        <v>921</v>
      </c>
      <c r="J313" s="11"/>
      <c r="K313" s="1" t="b">
        <v>1</v>
      </c>
      <c r="L313" s="1" t="b">
        <v>0</v>
      </c>
      <c r="M313" s="5" t="b">
        <v>0</v>
      </c>
      <c r="N313" s="5" t="b">
        <v>0</v>
      </c>
      <c r="O313" s="5" t="b">
        <v>0</v>
      </c>
      <c r="P313" s="1" t="b">
        <v>0</v>
      </c>
      <c r="Q313" s="1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42"/>
      <c r="B314" s="60">
        <v>127.0</v>
      </c>
      <c r="C314" s="61">
        <v>45968.0</v>
      </c>
      <c r="D314" s="62" t="s">
        <v>922</v>
      </c>
      <c r="E314" s="63" t="s">
        <v>923</v>
      </c>
      <c r="F314" s="75"/>
      <c r="G314" s="60" t="s">
        <v>28</v>
      </c>
      <c r="H314" s="78"/>
      <c r="I314" s="65" t="s">
        <v>924</v>
      </c>
      <c r="J314" s="60" t="s">
        <v>739</v>
      </c>
      <c r="K314" s="67" t="b">
        <v>1</v>
      </c>
      <c r="L314" s="67" t="b">
        <v>0</v>
      </c>
      <c r="M314" s="68" t="b">
        <v>0</v>
      </c>
      <c r="N314" s="68" t="b">
        <v>0</v>
      </c>
      <c r="O314" s="68" t="b">
        <v>0</v>
      </c>
      <c r="P314" s="67" t="b">
        <v>1</v>
      </c>
      <c r="Q314" s="75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42"/>
      <c r="B315" s="60">
        <v>128.0</v>
      </c>
      <c r="C315" s="61">
        <v>45968.0</v>
      </c>
      <c r="D315" s="62" t="s">
        <v>925</v>
      </c>
      <c r="E315" s="63" t="s">
        <v>926</v>
      </c>
      <c r="F315" s="75"/>
      <c r="G315" s="60" t="s">
        <v>411</v>
      </c>
      <c r="H315" s="78"/>
      <c r="I315" s="65" t="s">
        <v>927</v>
      </c>
      <c r="J315" s="60" t="s">
        <v>928</v>
      </c>
      <c r="K315" s="67" t="b">
        <v>1</v>
      </c>
      <c r="L315" s="67" t="b">
        <v>0</v>
      </c>
      <c r="M315" s="68" t="b">
        <v>0</v>
      </c>
      <c r="N315" s="68" t="b">
        <v>0</v>
      </c>
      <c r="O315" s="68" t="b">
        <v>0</v>
      </c>
      <c r="P315" s="67" t="b">
        <v>0</v>
      </c>
      <c r="Q315" s="63" t="s">
        <v>929</v>
      </c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42"/>
      <c r="B316" s="60">
        <v>130.0</v>
      </c>
      <c r="C316" s="61">
        <v>45968.0</v>
      </c>
      <c r="D316" s="62" t="s">
        <v>930</v>
      </c>
      <c r="E316" s="63" t="s">
        <v>931</v>
      </c>
      <c r="F316" s="75"/>
      <c r="G316" s="60" t="s">
        <v>411</v>
      </c>
      <c r="H316" s="61">
        <v>45988.0</v>
      </c>
      <c r="I316" s="65" t="s">
        <v>932</v>
      </c>
      <c r="J316" s="60" t="s">
        <v>739</v>
      </c>
      <c r="K316" s="67" t="b">
        <v>1</v>
      </c>
      <c r="L316" s="67" t="b">
        <v>0</v>
      </c>
      <c r="M316" s="68" t="b">
        <v>0</v>
      </c>
      <c r="N316" s="68" t="b">
        <v>0</v>
      </c>
      <c r="O316" s="68" t="b">
        <v>1</v>
      </c>
      <c r="P316" s="67" t="b">
        <v>1</v>
      </c>
      <c r="Q316" s="63" t="s">
        <v>933</v>
      </c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42"/>
      <c r="B317" s="60">
        <v>131.0</v>
      </c>
      <c r="C317" s="61">
        <v>45972.0</v>
      </c>
      <c r="D317" s="62" t="s">
        <v>934</v>
      </c>
      <c r="E317" s="75"/>
      <c r="F317" s="75"/>
      <c r="G317" s="60" t="s">
        <v>28</v>
      </c>
      <c r="H317" s="78"/>
      <c r="I317" s="65" t="s">
        <v>630</v>
      </c>
      <c r="J317" s="60" t="s">
        <v>935</v>
      </c>
      <c r="K317" s="67" t="b">
        <v>1</v>
      </c>
      <c r="L317" s="67" t="b">
        <v>0</v>
      </c>
      <c r="M317" s="68" t="b">
        <v>0</v>
      </c>
      <c r="N317" s="68" t="b">
        <v>0</v>
      </c>
      <c r="O317" s="68" t="b">
        <v>0</v>
      </c>
      <c r="P317" s="67" t="b">
        <v>0</v>
      </c>
      <c r="Q317" s="75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42"/>
      <c r="B318" s="60">
        <v>132.0</v>
      </c>
      <c r="C318" s="61">
        <v>45972.0</v>
      </c>
      <c r="D318" s="62" t="s">
        <v>310</v>
      </c>
      <c r="E318" s="75"/>
      <c r="F318" s="75"/>
      <c r="G318" s="60" t="s">
        <v>28</v>
      </c>
      <c r="H318" s="78"/>
      <c r="I318" s="65" t="s">
        <v>668</v>
      </c>
      <c r="J318" s="60" t="s">
        <v>935</v>
      </c>
      <c r="K318" s="67" t="b">
        <v>1</v>
      </c>
      <c r="L318" s="67" t="b">
        <v>0</v>
      </c>
      <c r="M318" s="68" t="b">
        <v>0</v>
      </c>
      <c r="N318" s="68" t="b">
        <v>0</v>
      </c>
      <c r="O318" s="68" t="b">
        <v>0</v>
      </c>
      <c r="P318" s="67" t="b">
        <v>1</v>
      </c>
      <c r="Q318" s="75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42"/>
      <c r="B319" s="60">
        <v>134.0</v>
      </c>
      <c r="C319" s="61">
        <v>45972.0</v>
      </c>
      <c r="D319" s="62" t="s">
        <v>43</v>
      </c>
      <c r="E319" s="63" t="s">
        <v>936</v>
      </c>
      <c r="F319" s="75"/>
      <c r="G319" s="60" t="s">
        <v>411</v>
      </c>
      <c r="H319" s="78"/>
      <c r="I319" s="75"/>
      <c r="J319" s="75"/>
      <c r="K319" s="67" t="b">
        <v>0</v>
      </c>
      <c r="L319" s="67" t="b">
        <v>0</v>
      </c>
      <c r="M319" s="68" t="b">
        <v>0</v>
      </c>
      <c r="N319" s="68" t="b">
        <v>0</v>
      </c>
      <c r="O319" s="68" t="b">
        <v>0</v>
      </c>
      <c r="P319" s="67" t="b">
        <v>0</v>
      </c>
      <c r="Q319" s="63" t="s">
        <v>937</v>
      </c>
      <c r="R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42"/>
      <c r="B320" s="60">
        <v>135.0</v>
      </c>
      <c r="C320" s="61">
        <v>45973.0</v>
      </c>
      <c r="D320" s="62" t="s">
        <v>938</v>
      </c>
      <c r="E320" s="63" t="s">
        <v>939</v>
      </c>
      <c r="F320" s="75"/>
      <c r="G320" s="60" t="s">
        <v>28</v>
      </c>
      <c r="H320" s="78"/>
      <c r="I320" s="65" t="s">
        <v>940</v>
      </c>
      <c r="J320" s="60" t="s">
        <v>935</v>
      </c>
      <c r="K320" s="67" t="b">
        <v>0</v>
      </c>
      <c r="L320" s="67" t="b">
        <v>0</v>
      </c>
      <c r="M320" s="68" t="b">
        <v>0</v>
      </c>
      <c r="N320" s="68" t="b">
        <v>0</v>
      </c>
      <c r="O320" s="68" t="b">
        <v>0</v>
      </c>
      <c r="P320" s="67" t="b">
        <v>1</v>
      </c>
      <c r="Q320" s="63" t="s">
        <v>941</v>
      </c>
      <c r="R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42"/>
      <c r="B321" s="60">
        <v>136.0</v>
      </c>
      <c r="C321" s="61">
        <v>45973.0</v>
      </c>
      <c r="D321" s="62" t="s">
        <v>707</v>
      </c>
      <c r="E321" s="63" t="s">
        <v>942</v>
      </c>
      <c r="F321" s="75"/>
      <c r="G321" s="60" t="s">
        <v>411</v>
      </c>
      <c r="H321" s="78"/>
      <c r="I321" s="65" t="s">
        <v>943</v>
      </c>
      <c r="J321" s="75"/>
      <c r="K321" s="67" t="b">
        <v>1</v>
      </c>
      <c r="L321" s="67" t="b">
        <v>0</v>
      </c>
      <c r="M321" s="68" t="b">
        <v>0</v>
      </c>
      <c r="N321" s="68" t="b">
        <v>0</v>
      </c>
      <c r="O321" s="68" t="b">
        <v>0</v>
      </c>
      <c r="P321" s="67" t="b">
        <v>0</v>
      </c>
      <c r="Q321" s="75" t="s">
        <v>944</v>
      </c>
      <c r="R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42"/>
      <c r="B322" s="60">
        <v>137.0</v>
      </c>
      <c r="C322" s="61">
        <v>45974.0</v>
      </c>
      <c r="D322" s="62" t="s">
        <v>945</v>
      </c>
      <c r="E322" s="63" t="s">
        <v>946</v>
      </c>
      <c r="F322" s="75"/>
      <c r="G322" s="60" t="s">
        <v>28</v>
      </c>
      <c r="H322" s="78"/>
      <c r="I322" s="65" t="s">
        <v>947</v>
      </c>
      <c r="J322" s="75"/>
      <c r="K322" s="67" t="b">
        <v>0</v>
      </c>
      <c r="L322" s="67" t="b">
        <v>0</v>
      </c>
      <c r="M322" s="68" t="b">
        <v>0</v>
      </c>
      <c r="N322" s="68" t="b">
        <v>0</v>
      </c>
      <c r="O322" s="68" t="b">
        <v>0</v>
      </c>
      <c r="P322" s="67" t="b">
        <v>0</v>
      </c>
      <c r="Q322" s="75"/>
      <c r="R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42"/>
      <c r="B323" s="60">
        <v>138.0</v>
      </c>
      <c r="C323" s="61">
        <v>45979.0</v>
      </c>
      <c r="D323" s="62" t="s">
        <v>948</v>
      </c>
      <c r="E323" s="75"/>
      <c r="F323" s="75"/>
      <c r="G323" s="60" t="s">
        <v>28</v>
      </c>
      <c r="H323" s="78"/>
      <c r="I323" s="65" t="s">
        <v>949</v>
      </c>
      <c r="J323" s="60" t="s">
        <v>950</v>
      </c>
      <c r="K323" s="67" t="b">
        <v>0</v>
      </c>
      <c r="L323" s="67" t="b">
        <v>0</v>
      </c>
      <c r="M323" s="68" t="b">
        <v>0</v>
      </c>
      <c r="N323" s="68" t="b">
        <v>0</v>
      </c>
      <c r="O323" s="68" t="b">
        <v>0</v>
      </c>
      <c r="P323" s="67" t="b">
        <v>0</v>
      </c>
      <c r="Q323" s="63" t="s">
        <v>951</v>
      </c>
      <c r="R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42"/>
      <c r="B324" s="60">
        <v>139.0</v>
      </c>
      <c r="C324" s="61">
        <v>45979.0</v>
      </c>
      <c r="D324" s="62" t="s">
        <v>408</v>
      </c>
      <c r="E324" s="75"/>
      <c r="F324" s="75"/>
      <c r="G324" s="75"/>
      <c r="H324" s="78"/>
      <c r="I324" s="65" t="s">
        <v>952</v>
      </c>
      <c r="J324" s="75" t="s">
        <v>739</v>
      </c>
      <c r="K324" s="67" t="b">
        <v>0</v>
      </c>
      <c r="L324" s="67" t="b">
        <v>0</v>
      </c>
      <c r="M324" s="68" t="b">
        <v>0</v>
      </c>
      <c r="N324" s="68" t="b">
        <v>0</v>
      </c>
      <c r="O324" s="68" t="b">
        <v>0</v>
      </c>
      <c r="P324" s="67" t="b">
        <v>0</v>
      </c>
      <c r="Q324" s="63" t="s">
        <v>953</v>
      </c>
      <c r="R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42"/>
      <c r="B325" s="60">
        <v>140.0</v>
      </c>
      <c r="C325" s="61">
        <v>45979.0</v>
      </c>
      <c r="D325" s="62" t="s">
        <v>954</v>
      </c>
      <c r="E325" s="63" t="s">
        <v>955</v>
      </c>
      <c r="F325" s="75"/>
      <c r="G325" s="60" t="s">
        <v>411</v>
      </c>
      <c r="H325" s="78"/>
      <c r="I325" s="79" t="s">
        <v>956</v>
      </c>
      <c r="J325" s="75" t="s">
        <v>739</v>
      </c>
      <c r="K325" s="67" t="b">
        <v>0</v>
      </c>
      <c r="L325" s="67" t="b">
        <v>0</v>
      </c>
      <c r="M325" s="68" t="b">
        <v>0</v>
      </c>
      <c r="N325" s="68" t="b">
        <v>0</v>
      </c>
      <c r="O325" s="68" t="b">
        <v>0</v>
      </c>
      <c r="P325" s="67" t="b">
        <v>0</v>
      </c>
      <c r="Q325" s="63" t="s">
        <v>957</v>
      </c>
      <c r="R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42"/>
      <c r="B326" s="60">
        <v>141.0</v>
      </c>
      <c r="C326" s="61">
        <v>45980.0</v>
      </c>
      <c r="D326" s="62" t="s">
        <v>227</v>
      </c>
      <c r="E326" s="63" t="s">
        <v>550</v>
      </c>
      <c r="F326" s="75"/>
      <c r="G326" s="75"/>
      <c r="H326" s="78"/>
      <c r="I326" s="65" t="s">
        <v>958</v>
      </c>
      <c r="J326" s="60" t="s">
        <v>739</v>
      </c>
      <c r="K326" s="79" t="b">
        <v>1</v>
      </c>
      <c r="L326" s="75"/>
      <c r="M326" s="42"/>
      <c r="N326" s="42"/>
      <c r="O326" s="80" t="b">
        <v>1</v>
      </c>
      <c r="P326" s="79" t="b">
        <v>1</v>
      </c>
      <c r="Q326" s="75"/>
      <c r="R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42"/>
      <c r="B327" s="60">
        <v>143.0</v>
      </c>
      <c r="C327" s="61">
        <v>45981.0</v>
      </c>
      <c r="D327" s="62" t="s">
        <v>622</v>
      </c>
      <c r="E327" s="63" t="s">
        <v>537</v>
      </c>
      <c r="F327" s="75"/>
      <c r="G327" s="75" t="s">
        <v>411</v>
      </c>
      <c r="H327" s="81">
        <v>45993.0</v>
      </c>
      <c r="I327" s="79" t="s">
        <v>959</v>
      </c>
      <c r="J327" s="75" t="s">
        <v>960</v>
      </c>
      <c r="K327" s="67" t="b">
        <v>1</v>
      </c>
      <c r="L327" s="67" t="b">
        <v>0</v>
      </c>
      <c r="M327" s="68" t="b">
        <v>0</v>
      </c>
      <c r="N327" s="68" t="b">
        <v>0</v>
      </c>
      <c r="O327" s="68" t="b">
        <v>0</v>
      </c>
      <c r="P327" s="67" t="b">
        <v>0</v>
      </c>
      <c r="Q327" s="75"/>
      <c r="R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42"/>
      <c r="B328" s="60">
        <v>144.0</v>
      </c>
      <c r="C328" s="61">
        <v>45981.0</v>
      </c>
      <c r="D328" s="62" t="s">
        <v>961</v>
      </c>
      <c r="E328" s="75"/>
      <c r="F328" s="75"/>
      <c r="G328" s="60" t="s">
        <v>28</v>
      </c>
      <c r="H328" s="78"/>
      <c r="I328" s="65" t="s">
        <v>962</v>
      </c>
      <c r="J328" s="75"/>
      <c r="K328" s="67" t="b">
        <v>0</v>
      </c>
      <c r="L328" s="67" t="b">
        <v>0</v>
      </c>
      <c r="M328" s="68" t="b">
        <v>0</v>
      </c>
      <c r="N328" s="68" t="b">
        <v>0</v>
      </c>
      <c r="O328" s="68" t="b">
        <v>0</v>
      </c>
      <c r="P328" s="67" t="b">
        <v>0</v>
      </c>
      <c r="Q328" s="63" t="s">
        <v>963</v>
      </c>
      <c r="R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42"/>
      <c r="B329" s="60">
        <v>145.0</v>
      </c>
      <c r="C329" s="61">
        <v>45981.0</v>
      </c>
      <c r="D329" s="62" t="s">
        <v>899</v>
      </c>
      <c r="E329" s="63" t="s">
        <v>964</v>
      </c>
      <c r="F329" s="75"/>
      <c r="G329" s="60" t="s">
        <v>411</v>
      </c>
      <c r="H329" s="78"/>
      <c r="I329" s="65" t="s">
        <v>965</v>
      </c>
      <c r="J329" s="75"/>
      <c r="K329" s="67" t="b">
        <v>1</v>
      </c>
      <c r="L329" s="67" t="b">
        <v>0</v>
      </c>
      <c r="M329" s="68" t="b">
        <v>0</v>
      </c>
      <c r="N329" s="68" t="b">
        <v>0</v>
      </c>
      <c r="O329" s="68" t="b">
        <v>0</v>
      </c>
      <c r="P329" s="67" t="b">
        <v>0</v>
      </c>
      <c r="Q329" s="63" t="s">
        <v>966</v>
      </c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42"/>
      <c r="B330" s="60">
        <v>146.0</v>
      </c>
      <c r="C330" s="61">
        <v>45981.0</v>
      </c>
      <c r="D330" s="62" t="s">
        <v>320</v>
      </c>
      <c r="E330" s="63" t="s">
        <v>321</v>
      </c>
      <c r="F330" s="75"/>
      <c r="G330" s="60" t="s">
        <v>411</v>
      </c>
      <c r="H330" s="78"/>
      <c r="I330" s="65" t="s">
        <v>967</v>
      </c>
      <c r="J330" s="60" t="s">
        <v>739</v>
      </c>
      <c r="K330" s="67" t="b">
        <v>1</v>
      </c>
      <c r="L330" s="67" t="b">
        <v>0</v>
      </c>
      <c r="M330" s="68" t="b">
        <v>0</v>
      </c>
      <c r="N330" s="68" t="b">
        <v>0</v>
      </c>
      <c r="O330" s="68" t="b">
        <v>0</v>
      </c>
      <c r="P330" s="67" t="b">
        <v>1</v>
      </c>
      <c r="Q330" s="63" t="s">
        <v>968</v>
      </c>
      <c r="R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5"/>
      <c r="B331" s="11">
        <v>147.0</v>
      </c>
      <c r="C331" s="26">
        <v>45981.0</v>
      </c>
      <c r="D331" s="13" t="s">
        <v>687</v>
      </c>
      <c r="E331" s="1" t="s">
        <v>969</v>
      </c>
      <c r="F331" s="1"/>
      <c r="G331" s="11" t="s">
        <v>411</v>
      </c>
      <c r="H331" s="26"/>
      <c r="I331" s="16" t="s">
        <v>970</v>
      </c>
      <c r="J331" s="11"/>
      <c r="K331" s="82" t="b">
        <v>1</v>
      </c>
      <c r="L331" s="67" t="b">
        <v>0</v>
      </c>
      <c r="M331" s="68" t="b">
        <v>0</v>
      </c>
      <c r="N331" s="68" t="b">
        <v>0</v>
      </c>
      <c r="O331" s="68" t="b">
        <v>0</v>
      </c>
      <c r="P331" s="67" t="b">
        <v>0</v>
      </c>
      <c r="Q331" s="1" t="s">
        <v>971</v>
      </c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11">
        <v>148.0</v>
      </c>
      <c r="C332" s="26">
        <v>45985.0</v>
      </c>
      <c r="D332" s="13" t="s">
        <v>972</v>
      </c>
      <c r="E332" s="1"/>
      <c r="F332" s="1"/>
      <c r="G332" s="11" t="s">
        <v>28</v>
      </c>
      <c r="H332" s="26"/>
      <c r="I332" s="16"/>
      <c r="J332" s="11"/>
      <c r="K332" s="82" t="b">
        <v>1</v>
      </c>
      <c r="L332" s="67" t="b">
        <v>0</v>
      </c>
      <c r="M332" s="68" t="b">
        <v>0</v>
      </c>
      <c r="N332" s="68" t="b">
        <v>0</v>
      </c>
      <c r="O332" s="68" t="b">
        <v>0</v>
      </c>
      <c r="P332" s="67" t="b">
        <v>0</v>
      </c>
      <c r="Q332" s="1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11">
        <v>149.0</v>
      </c>
      <c r="C333" s="26">
        <v>45987.0</v>
      </c>
      <c r="D333" s="13" t="s">
        <v>973</v>
      </c>
      <c r="E333" s="1" t="s">
        <v>974</v>
      </c>
      <c r="F333" s="1"/>
      <c r="G333" s="11" t="s">
        <v>28</v>
      </c>
      <c r="H333" s="26"/>
      <c r="I333" s="16" t="s">
        <v>975</v>
      </c>
      <c r="J333" s="11"/>
      <c r="K333" s="67" t="b">
        <v>0</v>
      </c>
      <c r="L333" s="67" t="b">
        <v>0</v>
      </c>
      <c r="M333" s="68" t="b">
        <v>0</v>
      </c>
      <c r="N333" s="68" t="b">
        <v>0</v>
      </c>
      <c r="O333" s="68" t="b">
        <v>0</v>
      </c>
      <c r="P333" s="67" t="b">
        <v>0</v>
      </c>
      <c r="Q333" s="1" t="s">
        <v>976</v>
      </c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11">
        <v>150.0</v>
      </c>
      <c r="C334" s="26">
        <v>45987.0</v>
      </c>
      <c r="D334" s="13" t="s">
        <v>977</v>
      </c>
      <c r="E334" s="1" t="s">
        <v>815</v>
      </c>
      <c r="F334" s="1">
        <v>7.7901377E8</v>
      </c>
      <c r="G334" s="11" t="s">
        <v>28</v>
      </c>
      <c r="H334" s="26"/>
      <c r="I334" s="16" t="s">
        <v>978</v>
      </c>
      <c r="J334" s="11"/>
      <c r="K334" s="82" t="b">
        <v>1</v>
      </c>
      <c r="L334" s="67" t="b">
        <v>0</v>
      </c>
      <c r="M334" s="68" t="b">
        <v>0</v>
      </c>
      <c r="N334" s="68" t="b">
        <v>0</v>
      </c>
      <c r="O334" s="68" t="b">
        <v>0</v>
      </c>
      <c r="P334" s="67" t="b">
        <v>0</v>
      </c>
      <c r="Q334" s="1" t="s">
        <v>979</v>
      </c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11">
        <v>151.0</v>
      </c>
      <c r="C335" s="26">
        <v>45987.0</v>
      </c>
      <c r="D335" s="13" t="s">
        <v>580</v>
      </c>
      <c r="E335" s="1"/>
      <c r="F335" s="1"/>
      <c r="G335" s="11" t="s">
        <v>28</v>
      </c>
      <c r="H335" s="26"/>
      <c r="I335" s="16" t="s">
        <v>980</v>
      </c>
      <c r="J335" s="11"/>
      <c r="K335" s="82" t="b">
        <v>1</v>
      </c>
      <c r="L335" s="67" t="b">
        <v>0</v>
      </c>
      <c r="M335" s="68" t="b">
        <v>0</v>
      </c>
      <c r="N335" s="68" t="b">
        <v>0</v>
      </c>
      <c r="O335" s="68" t="b">
        <v>0</v>
      </c>
      <c r="P335" s="67" t="b">
        <v>0</v>
      </c>
      <c r="Q335" s="1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11">
        <v>152.0</v>
      </c>
      <c r="C336" s="26">
        <v>45988.0</v>
      </c>
      <c r="D336" s="13" t="s">
        <v>981</v>
      </c>
      <c r="E336" s="1" t="s">
        <v>982</v>
      </c>
      <c r="F336" s="1">
        <v>7.72423883E8</v>
      </c>
      <c r="G336" s="11" t="s">
        <v>411</v>
      </c>
      <c r="H336" s="26"/>
      <c r="I336" s="16" t="s">
        <v>983</v>
      </c>
      <c r="J336" s="11"/>
      <c r="K336" s="82" t="b">
        <v>1</v>
      </c>
      <c r="L336" s="67" t="b">
        <v>0</v>
      </c>
      <c r="M336" s="68" t="b">
        <v>0</v>
      </c>
      <c r="N336" s="68" t="b">
        <v>0</v>
      </c>
      <c r="O336" s="68" t="b">
        <v>0</v>
      </c>
      <c r="P336" s="67" t="b">
        <v>0</v>
      </c>
      <c r="Q336" s="1" t="s">
        <v>984</v>
      </c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11">
        <v>153.0</v>
      </c>
      <c r="C337" s="11" t="s">
        <v>985</v>
      </c>
      <c r="D337" s="13" t="s">
        <v>986</v>
      </c>
      <c r="E337" s="1"/>
      <c r="F337" s="1"/>
      <c r="G337" s="11" t="s">
        <v>411</v>
      </c>
      <c r="H337" s="26"/>
      <c r="I337" s="16"/>
      <c r="J337" s="11"/>
      <c r="K337" s="1" t="b">
        <v>0</v>
      </c>
      <c r="L337" s="1" t="b">
        <v>0</v>
      </c>
      <c r="M337" s="5" t="b">
        <v>0</v>
      </c>
      <c r="N337" s="5" t="b">
        <v>0</v>
      </c>
      <c r="O337" s="5" t="b">
        <v>0</v>
      </c>
      <c r="P337" s="1" t="b">
        <v>0</v>
      </c>
      <c r="Q337" s="1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11"/>
      <c r="C338" s="26"/>
      <c r="D338" s="13"/>
      <c r="E338" s="1"/>
      <c r="F338" s="1"/>
      <c r="G338" s="11"/>
      <c r="H338" s="26"/>
      <c r="I338" s="16"/>
      <c r="J338" s="11"/>
      <c r="K338" s="1" t="b">
        <v>0</v>
      </c>
      <c r="L338" s="1" t="b">
        <v>0</v>
      </c>
      <c r="M338" s="5" t="b">
        <v>0</v>
      </c>
      <c r="N338" s="5" t="b">
        <v>0</v>
      </c>
      <c r="O338" s="5" t="b">
        <v>0</v>
      </c>
      <c r="P338" s="1" t="b">
        <v>0</v>
      </c>
      <c r="Q338" s="1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11"/>
      <c r="C339" s="26"/>
      <c r="D339" s="13"/>
      <c r="E339" s="1"/>
      <c r="F339" s="1"/>
      <c r="G339" s="11"/>
      <c r="H339" s="26"/>
      <c r="I339" s="16"/>
      <c r="J339" s="11"/>
      <c r="K339" s="1" t="b">
        <v>0</v>
      </c>
      <c r="L339" s="1" t="b">
        <v>0</v>
      </c>
      <c r="M339" s="5" t="b">
        <v>0</v>
      </c>
      <c r="N339" s="5" t="b">
        <v>0</v>
      </c>
      <c r="O339" s="5" t="b">
        <v>0</v>
      </c>
      <c r="P339" s="1" t="b">
        <v>0</v>
      </c>
      <c r="Q339" s="1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11"/>
      <c r="C340" s="26"/>
      <c r="D340" s="13"/>
      <c r="E340" s="1"/>
      <c r="F340" s="1"/>
      <c r="G340" s="11"/>
      <c r="H340" s="26"/>
      <c r="I340" s="16"/>
      <c r="J340" s="11"/>
      <c r="K340" s="1" t="b">
        <v>0</v>
      </c>
      <c r="L340" s="1" t="b">
        <v>0</v>
      </c>
      <c r="M340" s="5" t="b">
        <v>0</v>
      </c>
      <c r="N340" s="5" t="b">
        <v>0</v>
      </c>
      <c r="O340" s="5" t="b">
        <v>0</v>
      </c>
      <c r="P340" s="1" t="b">
        <v>0</v>
      </c>
      <c r="Q340" s="1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11"/>
      <c r="C341" s="26"/>
      <c r="D341" s="13"/>
      <c r="E341" s="1"/>
      <c r="F341" s="1"/>
      <c r="G341" s="11"/>
      <c r="H341" s="26"/>
      <c r="I341" s="16"/>
      <c r="J341" s="11"/>
      <c r="K341" s="1" t="b">
        <v>0</v>
      </c>
      <c r="L341" s="1" t="b">
        <v>0</v>
      </c>
      <c r="M341" s="5" t="b">
        <v>0</v>
      </c>
      <c r="N341" s="5" t="b">
        <v>0</v>
      </c>
      <c r="O341" s="5" t="b">
        <v>0</v>
      </c>
      <c r="P341" s="1" t="b">
        <v>0</v>
      </c>
      <c r="Q341" s="1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11"/>
      <c r="C342" s="26"/>
      <c r="D342" s="13"/>
      <c r="E342" s="1"/>
      <c r="F342" s="1"/>
      <c r="G342" s="11"/>
      <c r="H342" s="26"/>
      <c r="I342" s="16"/>
      <c r="J342" s="11"/>
      <c r="K342" s="1" t="b">
        <v>0</v>
      </c>
      <c r="L342" s="1" t="b">
        <v>0</v>
      </c>
      <c r="M342" s="5" t="b">
        <v>0</v>
      </c>
      <c r="N342" s="5" t="b">
        <v>0</v>
      </c>
      <c r="O342" s="5" t="b">
        <v>0</v>
      </c>
      <c r="P342" s="1" t="b">
        <v>0</v>
      </c>
      <c r="Q342" s="1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11"/>
      <c r="C343" s="26"/>
      <c r="D343" s="13"/>
      <c r="E343" s="1"/>
      <c r="F343" s="1"/>
      <c r="G343" s="11"/>
      <c r="H343" s="26"/>
      <c r="I343" s="16"/>
      <c r="J343" s="11"/>
      <c r="K343" s="1" t="b">
        <v>0</v>
      </c>
      <c r="L343" s="1" t="b">
        <v>0</v>
      </c>
      <c r="M343" s="5" t="b">
        <v>0</v>
      </c>
      <c r="N343" s="5" t="b">
        <v>0</v>
      </c>
      <c r="O343" s="5" t="b">
        <v>0</v>
      </c>
      <c r="P343" s="1" t="b">
        <v>0</v>
      </c>
      <c r="Q343" s="1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11"/>
      <c r="C344" s="26"/>
      <c r="D344" s="13"/>
      <c r="E344" s="1"/>
      <c r="F344" s="1"/>
      <c r="G344" s="11"/>
      <c r="H344" s="26"/>
      <c r="I344" s="16"/>
      <c r="J344" s="11"/>
      <c r="K344" s="1" t="b">
        <v>0</v>
      </c>
      <c r="L344" s="1" t="b">
        <v>0</v>
      </c>
      <c r="M344" s="5" t="b">
        <v>0</v>
      </c>
      <c r="N344" s="5" t="b">
        <v>0</v>
      </c>
      <c r="O344" s="5" t="b">
        <v>0</v>
      </c>
      <c r="P344" s="1" t="b">
        <v>0</v>
      </c>
      <c r="Q344" s="1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11"/>
      <c r="C345" s="26"/>
      <c r="D345" s="13"/>
      <c r="E345" s="1"/>
      <c r="F345" s="1"/>
      <c r="G345" s="11"/>
      <c r="H345" s="26"/>
      <c r="I345" s="16"/>
      <c r="J345" s="11"/>
      <c r="K345" s="1" t="b">
        <v>0</v>
      </c>
      <c r="L345" s="1" t="b">
        <v>0</v>
      </c>
      <c r="M345" s="5" t="b">
        <v>0</v>
      </c>
      <c r="N345" s="5" t="b">
        <v>0</v>
      </c>
      <c r="O345" s="5" t="b">
        <v>0</v>
      </c>
      <c r="P345" s="1" t="b">
        <v>0</v>
      </c>
      <c r="Q345" s="1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11"/>
      <c r="C346" s="26"/>
      <c r="D346" s="13"/>
      <c r="E346" s="1"/>
      <c r="F346" s="1"/>
      <c r="G346" s="11"/>
      <c r="H346" s="26"/>
      <c r="I346" s="16"/>
      <c r="J346" s="11"/>
      <c r="K346" s="1" t="b">
        <v>0</v>
      </c>
      <c r="L346" s="1" t="b">
        <v>0</v>
      </c>
      <c r="M346" s="5" t="b">
        <v>0</v>
      </c>
      <c r="N346" s="5" t="b">
        <v>0</v>
      </c>
      <c r="O346" s="5" t="b">
        <v>0</v>
      </c>
      <c r="P346" s="1" t="b">
        <v>0</v>
      </c>
      <c r="Q346" s="1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11"/>
      <c r="C347" s="26"/>
      <c r="D347" s="13"/>
      <c r="E347" s="1"/>
      <c r="F347" s="1"/>
      <c r="G347" s="11"/>
      <c r="H347" s="26"/>
      <c r="I347" s="16"/>
      <c r="J347" s="11"/>
      <c r="K347" s="1"/>
      <c r="L347" s="1"/>
      <c r="M347" s="5"/>
      <c r="N347" s="5"/>
      <c r="O347" s="5"/>
      <c r="P347" s="1"/>
      <c r="Q347" s="1"/>
      <c r="R347" s="5"/>
      <c r="S347" s="5"/>
      <c r="T347" s="5"/>
      <c r="U347" s="5"/>
      <c r="V347" s="5"/>
      <c r="W347" s="5"/>
      <c r="X347" s="5"/>
      <c r="Y347" s="5"/>
      <c r="Z347" s="5"/>
    </row>
    <row r="348" hidden="1">
      <c r="A348" s="5"/>
      <c r="B348" s="11">
        <v>118.0</v>
      </c>
      <c r="C348" s="26">
        <v>45965.0</v>
      </c>
      <c r="D348" s="13" t="s">
        <v>987</v>
      </c>
      <c r="E348" s="1"/>
      <c r="F348" s="1"/>
      <c r="G348" s="11" t="s">
        <v>45</v>
      </c>
      <c r="H348" s="26"/>
      <c r="I348" s="16" t="s">
        <v>324</v>
      </c>
      <c r="J348" s="11" t="s">
        <v>25</v>
      </c>
      <c r="K348" s="1" t="b">
        <v>0</v>
      </c>
      <c r="L348" s="1" t="b">
        <v>0</v>
      </c>
      <c r="M348" s="5" t="b">
        <v>0</v>
      </c>
      <c r="N348" s="5" t="b">
        <v>0</v>
      </c>
      <c r="O348" s="5" t="b">
        <v>0</v>
      </c>
      <c r="P348" s="1" t="b">
        <v>0</v>
      </c>
      <c r="Q348" s="1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11"/>
      <c r="C349" s="26"/>
      <c r="D349" s="13"/>
      <c r="E349" s="1"/>
      <c r="F349" s="1"/>
      <c r="G349" s="11"/>
      <c r="H349" s="26"/>
      <c r="I349" s="16"/>
      <c r="J349" s="11"/>
      <c r="K349" s="1"/>
      <c r="L349" s="1"/>
      <c r="M349" s="5"/>
      <c r="N349" s="5"/>
      <c r="O349" s="5"/>
      <c r="P349" s="1"/>
      <c r="Q349" s="1"/>
      <c r="R349" s="5"/>
      <c r="S349" s="5"/>
      <c r="T349" s="5"/>
      <c r="U349" s="5"/>
      <c r="V349" s="5"/>
      <c r="W349" s="5"/>
      <c r="X349" s="5"/>
      <c r="Y349" s="5"/>
      <c r="Z349" s="5"/>
    </row>
    <row r="350" hidden="1">
      <c r="A350" s="5"/>
      <c r="B350" s="11">
        <v>120.0</v>
      </c>
      <c r="C350" s="26">
        <v>45965.0</v>
      </c>
      <c r="D350" s="13" t="s">
        <v>988</v>
      </c>
      <c r="E350" s="1" t="s">
        <v>989</v>
      </c>
      <c r="F350" s="1"/>
      <c r="G350" s="11" t="s">
        <v>28</v>
      </c>
      <c r="H350" s="26"/>
      <c r="I350" s="16" t="s">
        <v>990</v>
      </c>
      <c r="J350" s="11" t="s">
        <v>25</v>
      </c>
      <c r="K350" s="1" t="b">
        <v>1</v>
      </c>
      <c r="L350" s="1" t="b">
        <v>1</v>
      </c>
      <c r="M350" s="1" t="b">
        <v>1</v>
      </c>
      <c r="N350" s="5" t="b">
        <v>0</v>
      </c>
      <c r="O350" s="5" t="b">
        <v>0</v>
      </c>
      <c r="P350" s="1" t="b">
        <v>0</v>
      </c>
      <c r="Q350" s="1"/>
      <c r="R350" s="5"/>
      <c r="S350" s="5"/>
      <c r="T350" s="5"/>
      <c r="U350" s="5"/>
      <c r="V350" s="5"/>
      <c r="W350" s="5"/>
      <c r="X350" s="5"/>
      <c r="Y350" s="5"/>
      <c r="Z350" s="5"/>
    </row>
    <row r="351" hidden="1">
      <c r="A351" s="5"/>
      <c r="B351" s="11">
        <v>121.0</v>
      </c>
      <c r="C351" s="26">
        <v>45965.0</v>
      </c>
      <c r="D351" s="13" t="s">
        <v>977</v>
      </c>
      <c r="E351" s="1"/>
      <c r="F351" s="1"/>
      <c r="G351" s="11" t="s">
        <v>28</v>
      </c>
      <c r="H351" s="26"/>
      <c r="I351" s="16" t="s">
        <v>991</v>
      </c>
      <c r="J351" s="11" t="s">
        <v>25</v>
      </c>
      <c r="K351" s="1" t="b">
        <v>1</v>
      </c>
      <c r="L351" s="1" t="b">
        <v>0</v>
      </c>
      <c r="M351" s="5" t="b">
        <v>0</v>
      </c>
      <c r="N351" s="5" t="b">
        <v>0</v>
      </c>
      <c r="O351" s="1" t="b">
        <v>1</v>
      </c>
      <c r="P351" s="1" t="b">
        <v>1</v>
      </c>
      <c r="Q351" s="1"/>
      <c r="R351" s="5"/>
      <c r="S351" s="5"/>
      <c r="T351" s="5"/>
      <c r="U351" s="5"/>
      <c r="V351" s="5"/>
      <c r="W351" s="5"/>
      <c r="X351" s="5"/>
      <c r="Y351" s="5"/>
      <c r="Z351" s="5"/>
    </row>
    <row r="352" hidden="1">
      <c r="A352" s="5"/>
      <c r="B352" s="11">
        <v>122.0</v>
      </c>
      <c r="C352" s="26">
        <v>45965.0</v>
      </c>
      <c r="D352" s="13" t="s">
        <v>316</v>
      </c>
      <c r="E352" s="1" t="s">
        <v>992</v>
      </c>
      <c r="F352" s="1"/>
      <c r="G352" s="11" t="s">
        <v>45</v>
      </c>
      <c r="H352" s="26">
        <v>45973.0</v>
      </c>
      <c r="I352" s="16" t="s">
        <v>993</v>
      </c>
      <c r="J352" s="11" t="s">
        <v>25</v>
      </c>
      <c r="K352" s="1" t="b">
        <v>0</v>
      </c>
      <c r="L352" s="1" t="b">
        <v>0</v>
      </c>
      <c r="M352" s="5" t="b">
        <v>0</v>
      </c>
      <c r="N352" s="5" t="b">
        <v>0</v>
      </c>
      <c r="O352" s="5" t="b">
        <v>0</v>
      </c>
      <c r="P352" s="1" t="b">
        <v>0</v>
      </c>
      <c r="Q352" s="1"/>
      <c r="R352" s="5"/>
      <c r="S352" s="5"/>
      <c r="T352" s="5"/>
      <c r="U352" s="5"/>
      <c r="V352" s="5"/>
      <c r="W352" s="5"/>
      <c r="X352" s="5"/>
      <c r="Y352" s="5"/>
      <c r="Z352" s="5"/>
    </row>
    <row r="353" hidden="1">
      <c r="A353" s="5"/>
      <c r="B353" s="11">
        <v>123.0</v>
      </c>
      <c r="C353" s="26">
        <v>45966.0</v>
      </c>
      <c r="D353" s="13" t="s">
        <v>917</v>
      </c>
      <c r="E353" s="1" t="s">
        <v>918</v>
      </c>
      <c r="F353" s="1">
        <v>7.78278512E8</v>
      </c>
      <c r="G353" s="11" t="s">
        <v>411</v>
      </c>
      <c r="H353" s="26">
        <v>45978.0</v>
      </c>
      <c r="I353" s="16" t="s">
        <v>994</v>
      </c>
      <c r="J353" s="11" t="s">
        <v>25</v>
      </c>
      <c r="K353" s="1" t="b">
        <v>1</v>
      </c>
      <c r="L353" s="1" t="b">
        <v>0</v>
      </c>
      <c r="M353" s="5" t="b">
        <v>0</v>
      </c>
      <c r="N353" s="5" t="b">
        <v>0</v>
      </c>
      <c r="O353" s="1" t="b">
        <v>1</v>
      </c>
      <c r="P353" s="1" t="b">
        <v>1</v>
      </c>
      <c r="Q353" s="1"/>
      <c r="R353" s="5"/>
      <c r="S353" s="5"/>
      <c r="T353" s="5"/>
      <c r="U353" s="5"/>
      <c r="V353" s="5"/>
      <c r="W353" s="5"/>
      <c r="X353" s="5"/>
      <c r="Y353" s="5"/>
      <c r="Z353" s="5"/>
    </row>
    <row r="354" hidden="1">
      <c r="A354" s="5"/>
      <c r="B354" s="11">
        <v>124.0</v>
      </c>
      <c r="C354" s="26">
        <v>45966.0</v>
      </c>
      <c r="D354" s="13" t="s">
        <v>995</v>
      </c>
      <c r="E354" s="1" t="s">
        <v>996</v>
      </c>
      <c r="F354" s="1"/>
      <c r="G354" s="11" t="s">
        <v>411</v>
      </c>
      <c r="H354" s="26"/>
      <c r="I354" s="16" t="s">
        <v>997</v>
      </c>
      <c r="J354" s="11" t="s">
        <v>233</v>
      </c>
      <c r="K354" s="1" t="b">
        <v>1</v>
      </c>
      <c r="L354" s="1" t="b">
        <v>0</v>
      </c>
      <c r="M354" s="5" t="b">
        <v>0</v>
      </c>
      <c r="N354" s="5" t="b">
        <v>0</v>
      </c>
      <c r="O354" s="1" t="b">
        <v>1</v>
      </c>
      <c r="P354" s="1" t="b">
        <v>1</v>
      </c>
      <c r="Q354" s="1" t="s">
        <v>998</v>
      </c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11"/>
      <c r="C355" s="26"/>
      <c r="D355" s="76"/>
      <c r="E355" s="1"/>
      <c r="F355" s="1"/>
      <c r="G355" s="11"/>
      <c r="H355" s="26"/>
      <c r="I355" s="77"/>
      <c r="J355" s="11"/>
      <c r="K355" s="1"/>
      <c r="L355" s="1"/>
      <c r="M355" s="5"/>
      <c r="N355" s="5"/>
      <c r="O355" s="5"/>
      <c r="P355" s="1"/>
      <c r="Q355" s="1"/>
      <c r="R355" s="5"/>
      <c r="S355" s="5"/>
      <c r="T355" s="5"/>
      <c r="U355" s="5"/>
      <c r="V355" s="5"/>
      <c r="W355" s="5"/>
      <c r="X355" s="5"/>
      <c r="Y355" s="5"/>
      <c r="Z355" s="5"/>
    </row>
    <row r="356" hidden="1">
      <c r="A356" s="5"/>
      <c r="B356" s="11">
        <v>126.0</v>
      </c>
      <c r="C356" s="26">
        <v>45967.0</v>
      </c>
      <c r="D356" s="13" t="s">
        <v>731</v>
      </c>
      <c r="E356" s="1" t="s">
        <v>999</v>
      </c>
      <c r="F356" s="1"/>
      <c r="G356" s="11" t="s">
        <v>411</v>
      </c>
      <c r="H356" s="26"/>
      <c r="I356" s="16" t="s">
        <v>1000</v>
      </c>
      <c r="J356" s="11" t="s">
        <v>841</v>
      </c>
      <c r="K356" s="1" t="b">
        <v>0</v>
      </c>
      <c r="L356" s="1" t="b">
        <v>0</v>
      </c>
      <c r="M356" s="5" t="b">
        <v>0</v>
      </c>
      <c r="N356" s="5" t="b">
        <v>0</v>
      </c>
      <c r="O356" s="5" t="b">
        <v>0</v>
      </c>
      <c r="P356" s="1" t="b">
        <v>0</v>
      </c>
      <c r="Q356" s="1" t="s">
        <v>1001</v>
      </c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11"/>
      <c r="C357" s="26"/>
      <c r="D357" s="13"/>
      <c r="E357" s="1"/>
      <c r="F357" s="1"/>
      <c r="G357" s="11"/>
      <c r="H357" s="26"/>
      <c r="I357" s="16"/>
      <c r="J357" s="11"/>
      <c r="K357" s="1"/>
      <c r="L357" s="1"/>
      <c r="M357" s="5"/>
      <c r="N357" s="5"/>
      <c r="O357" s="5"/>
      <c r="P357" s="1"/>
      <c r="Q357" s="1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11"/>
      <c r="C358" s="26"/>
      <c r="D358" s="13"/>
      <c r="E358" s="1"/>
      <c r="F358" s="1"/>
      <c r="G358" s="11"/>
      <c r="H358" s="26"/>
      <c r="I358" s="16"/>
      <c r="J358" s="11"/>
      <c r="K358" s="1"/>
      <c r="L358" s="1"/>
      <c r="M358" s="5"/>
      <c r="N358" s="5"/>
      <c r="O358" s="5"/>
      <c r="P358" s="1"/>
      <c r="Q358" s="1"/>
      <c r="R358" s="5"/>
      <c r="S358" s="5"/>
      <c r="T358" s="5"/>
      <c r="U358" s="5"/>
      <c r="V358" s="5"/>
      <c r="W358" s="5"/>
      <c r="X358" s="5"/>
      <c r="Y358" s="5"/>
      <c r="Z358" s="5"/>
    </row>
    <row r="359" hidden="1">
      <c r="A359" s="5"/>
      <c r="B359" s="11">
        <v>129.0</v>
      </c>
      <c r="C359" s="26">
        <v>45968.0</v>
      </c>
      <c r="D359" s="13" t="s">
        <v>1002</v>
      </c>
      <c r="E359" s="1" t="s">
        <v>1003</v>
      </c>
      <c r="F359" s="1"/>
      <c r="G359" s="11" t="s">
        <v>411</v>
      </c>
      <c r="H359" s="26"/>
      <c r="I359" s="16" t="s">
        <v>1004</v>
      </c>
      <c r="J359" s="11" t="s">
        <v>233</v>
      </c>
      <c r="K359" s="1" t="b">
        <v>1</v>
      </c>
      <c r="L359" s="1" t="b">
        <v>0</v>
      </c>
      <c r="M359" s="5" t="b">
        <v>0</v>
      </c>
      <c r="N359" s="5" t="b">
        <v>0</v>
      </c>
      <c r="O359" s="5" t="b">
        <v>0</v>
      </c>
      <c r="P359" s="1" t="b">
        <v>0</v>
      </c>
      <c r="Q359" s="1" t="s">
        <v>1005</v>
      </c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11"/>
      <c r="C360" s="26"/>
      <c r="D360" s="13"/>
      <c r="E360" s="1"/>
      <c r="F360" s="1"/>
      <c r="G360" s="11"/>
      <c r="H360" s="26"/>
      <c r="I360" s="16"/>
      <c r="J360" s="11"/>
      <c r="K360" s="1"/>
      <c r="L360" s="1"/>
      <c r="M360" s="5"/>
      <c r="N360" s="5"/>
      <c r="O360" s="1"/>
      <c r="P360" s="1"/>
      <c r="Q360" s="1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11"/>
      <c r="C361" s="26"/>
      <c r="D361" s="13"/>
      <c r="E361" s="1"/>
      <c r="F361" s="1"/>
      <c r="G361" s="11"/>
      <c r="H361" s="26"/>
      <c r="I361" s="16"/>
      <c r="J361" s="11"/>
      <c r="K361" s="1"/>
      <c r="L361" s="1"/>
      <c r="M361" s="5"/>
      <c r="N361" s="5"/>
      <c r="O361" s="5"/>
      <c r="P361" s="1"/>
      <c r="Q361" s="1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11"/>
      <c r="C362" s="26"/>
      <c r="D362" s="13"/>
      <c r="E362" s="1"/>
      <c r="F362" s="1"/>
      <c r="G362" s="11"/>
      <c r="H362" s="26"/>
      <c r="I362" s="16"/>
      <c r="J362" s="11"/>
      <c r="K362" s="1"/>
      <c r="L362" s="1"/>
      <c r="M362" s="5"/>
      <c r="N362" s="5"/>
      <c r="O362" s="5"/>
      <c r="P362" s="1"/>
      <c r="Q362" s="1"/>
      <c r="R362" s="5"/>
      <c r="S362" s="5"/>
      <c r="T362" s="5"/>
      <c r="U362" s="5"/>
      <c r="V362" s="5"/>
      <c r="W362" s="5"/>
      <c r="X362" s="5"/>
      <c r="Y362" s="5"/>
      <c r="Z362" s="5"/>
    </row>
    <row r="363" hidden="1">
      <c r="A363" s="5"/>
      <c r="B363" s="11">
        <v>133.0</v>
      </c>
      <c r="C363" s="26">
        <v>45972.0</v>
      </c>
      <c r="D363" s="13" t="s">
        <v>1006</v>
      </c>
      <c r="E363" s="1"/>
      <c r="F363" s="1"/>
      <c r="G363" s="11"/>
      <c r="H363" s="26"/>
      <c r="I363" s="16"/>
      <c r="J363" s="11" t="s">
        <v>25</v>
      </c>
      <c r="K363" s="1" t="b">
        <v>0</v>
      </c>
      <c r="L363" s="1" t="b">
        <v>0</v>
      </c>
      <c r="M363" s="5" t="b">
        <v>0</v>
      </c>
      <c r="N363" s="5" t="b">
        <v>0</v>
      </c>
      <c r="O363" s="5" t="b">
        <v>0</v>
      </c>
      <c r="P363" s="1" t="b">
        <v>0</v>
      </c>
      <c r="Q363" s="1" t="s">
        <v>1007</v>
      </c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11"/>
      <c r="C364" s="26"/>
      <c r="D364" s="13"/>
      <c r="E364" s="1"/>
      <c r="F364" s="1"/>
      <c r="G364" s="11"/>
      <c r="H364" s="26"/>
      <c r="I364" s="16"/>
      <c r="J364" s="11"/>
      <c r="K364" s="1"/>
      <c r="L364" s="1"/>
      <c r="M364" s="5"/>
      <c r="N364" s="5"/>
      <c r="O364" s="5"/>
      <c r="P364" s="1"/>
      <c r="Q364" s="1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42"/>
      <c r="B365" s="60"/>
      <c r="C365" s="61"/>
      <c r="D365" s="62"/>
      <c r="E365" s="63"/>
      <c r="F365" s="75"/>
      <c r="G365" s="60"/>
      <c r="H365" s="78"/>
      <c r="I365" s="65"/>
      <c r="J365" s="60"/>
      <c r="K365" s="67"/>
      <c r="L365" s="67"/>
      <c r="M365" s="68"/>
      <c r="N365" s="68"/>
      <c r="O365" s="68"/>
      <c r="P365" s="67"/>
      <c r="Q365" s="63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42"/>
      <c r="B366" s="60"/>
      <c r="C366" s="61"/>
      <c r="D366" s="62"/>
      <c r="E366" s="63"/>
      <c r="F366" s="75"/>
      <c r="G366" s="60"/>
      <c r="H366" s="78"/>
      <c r="I366" s="65"/>
      <c r="J366" s="75"/>
      <c r="K366" s="67"/>
      <c r="L366" s="67"/>
      <c r="M366" s="68"/>
      <c r="N366" s="68"/>
      <c r="O366" s="68"/>
      <c r="P366" s="67"/>
      <c r="Q366" s="83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42"/>
      <c r="B367" s="60"/>
      <c r="C367" s="61"/>
      <c r="D367" s="62"/>
      <c r="E367" s="63"/>
      <c r="F367" s="75"/>
      <c r="G367" s="60"/>
      <c r="H367" s="78"/>
      <c r="I367" s="65"/>
      <c r="J367" s="75"/>
      <c r="K367" s="67"/>
      <c r="L367" s="67"/>
      <c r="M367" s="68"/>
      <c r="N367" s="68"/>
      <c r="O367" s="68"/>
      <c r="P367" s="67"/>
      <c r="Q367" s="75"/>
      <c r="R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42"/>
      <c r="B368" s="60"/>
      <c r="C368" s="61"/>
      <c r="D368" s="62"/>
      <c r="E368" s="75"/>
      <c r="F368" s="75"/>
      <c r="G368" s="60"/>
      <c r="H368" s="78"/>
      <c r="I368" s="65"/>
      <c r="J368" s="66"/>
      <c r="K368" s="67"/>
      <c r="L368" s="67"/>
      <c r="M368" s="68"/>
      <c r="N368" s="68"/>
      <c r="O368" s="68"/>
      <c r="P368" s="67"/>
      <c r="Q368" s="84"/>
      <c r="R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42"/>
      <c r="B369" s="60"/>
      <c r="C369" s="61"/>
      <c r="D369" s="62"/>
      <c r="E369" s="75"/>
      <c r="F369" s="75"/>
      <c r="G369" s="75"/>
      <c r="H369" s="78"/>
      <c r="I369" s="85"/>
      <c r="J369" s="83"/>
      <c r="K369" s="67"/>
      <c r="L369" s="67"/>
      <c r="M369" s="68"/>
      <c r="N369" s="68"/>
      <c r="O369" s="68"/>
      <c r="P369" s="67"/>
      <c r="Q369" s="84"/>
      <c r="R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42"/>
      <c r="B370" s="60"/>
      <c r="C370" s="61"/>
      <c r="D370" s="62"/>
      <c r="E370" s="63"/>
      <c r="F370" s="75"/>
      <c r="G370" s="60"/>
      <c r="H370" s="78"/>
      <c r="I370" s="86"/>
      <c r="J370" s="83"/>
      <c r="K370" s="67"/>
      <c r="L370" s="67"/>
      <c r="M370" s="68"/>
      <c r="N370" s="68"/>
      <c r="O370" s="68"/>
      <c r="P370" s="67"/>
      <c r="Q370" s="84"/>
      <c r="R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42"/>
      <c r="B371" s="60"/>
      <c r="C371" s="61"/>
      <c r="D371" s="62"/>
      <c r="E371" s="63"/>
      <c r="F371" s="75"/>
      <c r="G371" s="75"/>
      <c r="H371" s="78"/>
      <c r="I371" s="85"/>
      <c r="J371" s="60"/>
      <c r="K371" s="83"/>
      <c r="L371" s="75"/>
      <c r="M371" s="42"/>
      <c r="N371" s="42"/>
      <c r="O371" s="83"/>
      <c r="P371" s="83"/>
      <c r="Q371" s="75"/>
      <c r="R371" s="42"/>
      <c r="S371" s="42"/>
      <c r="T371" s="42"/>
      <c r="U371" s="42"/>
      <c r="V371" s="42"/>
      <c r="W371" s="42"/>
      <c r="X371" s="42"/>
      <c r="Y371" s="42"/>
      <c r="Z371" s="42"/>
    </row>
    <row r="372" hidden="1">
      <c r="A372" s="42"/>
      <c r="B372" s="60">
        <v>142.0</v>
      </c>
      <c r="C372" s="61">
        <v>45981.0</v>
      </c>
      <c r="D372" s="62" t="s">
        <v>1008</v>
      </c>
      <c r="E372" s="63" t="s">
        <v>409</v>
      </c>
      <c r="F372" s="75"/>
      <c r="G372" s="60" t="s">
        <v>411</v>
      </c>
      <c r="H372" s="87">
        <v>45993.0</v>
      </c>
      <c r="I372" s="85" t="s">
        <v>1009</v>
      </c>
      <c r="J372" s="83" t="s">
        <v>173</v>
      </c>
      <c r="K372" s="75"/>
      <c r="L372" s="75"/>
      <c r="M372" s="42"/>
      <c r="N372" s="42"/>
      <c r="O372" s="42"/>
      <c r="P372" s="75"/>
      <c r="Q372" s="84" t="s">
        <v>1010</v>
      </c>
      <c r="R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42"/>
      <c r="B373" s="60"/>
      <c r="C373" s="61"/>
      <c r="D373" s="62"/>
      <c r="E373" s="63"/>
      <c r="F373" s="75"/>
      <c r="G373" s="83"/>
      <c r="H373" s="87"/>
      <c r="I373" s="86"/>
      <c r="J373" s="83"/>
      <c r="K373" s="82"/>
      <c r="L373" s="67"/>
      <c r="M373" s="68"/>
      <c r="N373" s="68"/>
      <c r="O373" s="68"/>
      <c r="P373" s="67"/>
      <c r="Q373" s="75"/>
      <c r="R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5"/>
      <c r="B374" s="11"/>
      <c r="C374" s="88"/>
      <c r="D374" s="13"/>
      <c r="E374" s="1"/>
      <c r="F374" s="1"/>
      <c r="G374" s="11"/>
      <c r="H374" s="26"/>
      <c r="I374" s="16"/>
      <c r="J374" s="11"/>
      <c r="K374" s="67"/>
      <c r="L374" s="67"/>
      <c r="M374" s="68"/>
      <c r="N374" s="68"/>
      <c r="O374" s="68"/>
      <c r="P374" s="67"/>
      <c r="Q374" s="1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11"/>
      <c r="C375" s="26"/>
      <c r="D375" s="13"/>
      <c r="E375" s="1"/>
      <c r="F375" s="1"/>
      <c r="G375" s="11"/>
      <c r="H375" s="26"/>
      <c r="I375" s="16"/>
      <c r="J375" s="11"/>
      <c r="K375" s="82"/>
      <c r="L375" s="67"/>
      <c r="M375" s="68"/>
      <c r="N375" s="68"/>
      <c r="O375" s="68"/>
      <c r="P375" s="67"/>
      <c r="Q375" s="1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11"/>
      <c r="C376" s="26"/>
      <c r="D376" s="13"/>
      <c r="E376" s="1"/>
      <c r="F376" s="1"/>
      <c r="G376" s="11"/>
      <c r="H376" s="26"/>
      <c r="I376" s="16"/>
      <c r="J376" s="11"/>
      <c r="K376" s="82"/>
      <c r="L376" s="67"/>
      <c r="M376" s="68"/>
      <c r="N376" s="68"/>
      <c r="O376" s="68"/>
      <c r="P376" s="82"/>
      <c r="Q376" s="1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11"/>
      <c r="C377" s="26"/>
      <c r="D377" s="13"/>
      <c r="E377" s="1"/>
      <c r="F377" s="1"/>
      <c r="G377" s="11"/>
      <c r="H377" s="26"/>
      <c r="I377" s="16"/>
      <c r="J377" s="11"/>
      <c r="K377" s="82"/>
      <c r="L377" s="67"/>
      <c r="M377" s="68"/>
      <c r="N377" s="68"/>
      <c r="O377" s="68"/>
      <c r="P377" s="67"/>
      <c r="Q377" s="1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11"/>
      <c r="C378" s="26"/>
      <c r="D378" s="13"/>
      <c r="E378" s="1"/>
      <c r="F378" s="1"/>
      <c r="G378" s="11"/>
      <c r="H378" s="26"/>
      <c r="I378" s="16"/>
      <c r="J378" s="11"/>
      <c r="K378" s="82"/>
      <c r="L378" s="67"/>
      <c r="M378" s="68"/>
      <c r="N378" s="68"/>
      <c r="O378" s="68"/>
      <c r="P378" s="67"/>
      <c r="Q378" s="1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11"/>
      <c r="C379" s="26"/>
      <c r="D379" s="13"/>
      <c r="E379" s="1"/>
      <c r="F379" s="1"/>
      <c r="G379" s="11"/>
      <c r="H379" s="26"/>
      <c r="I379" s="16"/>
      <c r="J379" s="11"/>
      <c r="K379" s="67"/>
      <c r="L379" s="67"/>
      <c r="M379" s="68"/>
      <c r="N379" s="68"/>
      <c r="O379" s="68"/>
      <c r="P379" s="67"/>
      <c r="Q379" s="1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11"/>
      <c r="C380" s="26"/>
      <c r="D380" s="13"/>
      <c r="E380" s="1"/>
      <c r="F380" s="1"/>
      <c r="G380" s="11"/>
      <c r="H380" s="26"/>
      <c r="I380" s="16"/>
      <c r="J380" s="11"/>
      <c r="K380" s="82"/>
      <c r="L380" s="67"/>
      <c r="M380" s="68"/>
      <c r="N380" s="68"/>
      <c r="O380" s="68"/>
      <c r="P380" s="67"/>
      <c r="Q380" s="1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11"/>
      <c r="C381" s="26"/>
      <c r="D381" s="13"/>
      <c r="E381" s="1"/>
      <c r="F381" s="1"/>
      <c r="G381" s="11"/>
      <c r="H381" s="26"/>
      <c r="I381" s="16"/>
      <c r="J381" s="11"/>
      <c r="K381" s="82"/>
      <c r="L381" s="67"/>
      <c r="M381" s="68"/>
      <c r="N381" s="68"/>
      <c r="O381" s="68"/>
      <c r="P381" s="67"/>
      <c r="Q381" s="1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11"/>
      <c r="C382" s="26"/>
      <c r="D382" s="13"/>
      <c r="E382" s="1"/>
      <c r="F382" s="1"/>
      <c r="G382" s="11"/>
      <c r="H382" s="26"/>
      <c r="I382" s="16"/>
      <c r="J382" s="11"/>
      <c r="K382" s="67"/>
      <c r="L382" s="67"/>
      <c r="M382" s="68"/>
      <c r="N382" s="68"/>
      <c r="O382" s="68"/>
      <c r="P382" s="67"/>
      <c r="Q382" s="1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11"/>
      <c r="C383" s="26"/>
      <c r="D383" s="13"/>
      <c r="E383" s="1"/>
      <c r="F383" s="1"/>
      <c r="G383" s="11"/>
      <c r="H383" s="26"/>
      <c r="I383" s="16"/>
      <c r="J383" s="11"/>
      <c r="K383" s="67" t="b">
        <v>0</v>
      </c>
      <c r="L383" s="67" t="b">
        <v>0</v>
      </c>
      <c r="M383" s="68" t="b">
        <v>0</v>
      </c>
      <c r="N383" s="68" t="b">
        <v>0</v>
      </c>
      <c r="O383" s="68" t="b">
        <v>0</v>
      </c>
      <c r="P383" s="67" t="b">
        <v>0</v>
      </c>
      <c r="Q383" s="1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11"/>
      <c r="C384" s="26"/>
      <c r="D384" s="13"/>
      <c r="E384" s="1"/>
      <c r="F384" s="1"/>
      <c r="G384" s="11"/>
      <c r="H384" s="26"/>
      <c r="I384" s="16"/>
      <c r="J384" s="11"/>
      <c r="K384" s="67" t="b">
        <v>0</v>
      </c>
      <c r="L384" s="67" t="b">
        <v>0</v>
      </c>
      <c r="M384" s="68" t="b">
        <v>0</v>
      </c>
      <c r="N384" s="68" t="b">
        <v>0</v>
      </c>
      <c r="O384" s="68" t="b">
        <v>0</v>
      </c>
      <c r="P384" s="67" t="b">
        <v>0</v>
      </c>
      <c r="Q384" s="1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11"/>
      <c r="C385" s="26"/>
      <c r="D385" s="13"/>
      <c r="E385" s="1"/>
      <c r="F385" s="1"/>
      <c r="G385" s="11"/>
      <c r="H385" s="26"/>
      <c r="I385" s="16"/>
      <c r="J385" s="11"/>
      <c r="K385" s="67" t="b">
        <v>0</v>
      </c>
      <c r="L385" s="67" t="b">
        <v>0</v>
      </c>
      <c r="M385" s="68" t="b">
        <v>0</v>
      </c>
      <c r="N385" s="68" t="b">
        <v>0</v>
      </c>
      <c r="O385" s="68" t="b">
        <v>0</v>
      </c>
      <c r="P385" s="67" t="b">
        <v>0</v>
      </c>
      <c r="Q385" s="1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11"/>
      <c r="C386" s="26"/>
      <c r="D386" s="13"/>
      <c r="E386" s="1"/>
      <c r="F386" s="1"/>
      <c r="G386" s="11"/>
      <c r="H386" s="26"/>
      <c r="I386" s="16"/>
      <c r="J386" s="11"/>
      <c r="K386" s="67" t="b">
        <v>0</v>
      </c>
      <c r="L386" s="67" t="b">
        <v>0</v>
      </c>
      <c r="M386" s="68" t="b">
        <v>0</v>
      </c>
      <c r="N386" s="68" t="b">
        <v>0</v>
      </c>
      <c r="O386" s="68" t="b">
        <v>0</v>
      </c>
      <c r="P386" s="67" t="b">
        <v>0</v>
      </c>
      <c r="Q386" s="1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11"/>
      <c r="C387" s="26"/>
      <c r="D387" s="13"/>
      <c r="E387" s="1"/>
      <c r="F387" s="1"/>
      <c r="G387" s="11"/>
      <c r="H387" s="26"/>
      <c r="I387" s="16"/>
      <c r="J387" s="11"/>
      <c r="K387" s="67" t="b">
        <v>0</v>
      </c>
      <c r="L387" s="67" t="b">
        <v>0</v>
      </c>
      <c r="M387" s="68" t="b">
        <v>0</v>
      </c>
      <c r="N387" s="68" t="b">
        <v>0</v>
      </c>
      <c r="O387" s="68" t="b">
        <v>0</v>
      </c>
      <c r="P387" s="67" t="b">
        <v>0</v>
      </c>
      <c r="Q387" s="1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11"/>
      <c r="C388" s="26"/>
      <c r="D388" s="13"/>
      <c r="E388" s="1"/>
      <c r="F388" s="1"/>
      <c r="G388" s="11"/>
      <c r="H388" s="26"/>
      <c r="I388" s="16"/>
      <c r="J388" s="11"/>
      <c r="K388" s="67" t="b">
        <v>0</v>
      </c>
      <c r="L388" s="67" t="b">
        <v>0</v>
      </c>
      <c r="M388" s="68" t="b">
        <v>0</v>
      </c>
      <c r="N388" s="68" t="b">
        <v>0</v>
      </c>
      <c r="O388" s="68" t="b">
        <v>0</v>
      </c>
      <c r="P388" s="67" t="b">
        <v>0</v>
      </c>
      <c r="Q388" s="1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11"/>
      <c r="C389" s="26"/>
      <c r="D389" s="13"/>
      <c r="E389" s="1"/>
      <c r="F389" s="1"/>
      <c r="G389" s="11"/>
      <c r="H389" s="26"/>
      <c r="I389" s="16"/>
      <c r="J389" s="11"/>
      <c r="K389" s="67" t="b">
        <v>0</v>
      </c>
      <c r="L389" s="67" t="b">
        <v>0</v>
      </c>
      <c r="M389" s="68" t="b">
        <v>0</v>
      </c>
      <c r="N389" s="68" t="b">
        <v>0</v>
      </c>
      <c r="O389" s="68" t="b">
        <v>0</v>
      </c>
      <c r="P389" s="67" t="b">
        <v>0</v>
      </c>
      <c r="Q389" s="1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11"/>
      <c r="C390" s="26"/>
      <c r="D390" s="13"/>
      <c r="E390" s="1"/>
      <c r="F390" s="1"/>
      <c r="G390" s="11"/>
      <c r="H390" s="26"/>
      <c r="I390" s="16"/>
      <c r="J390" s="11"/>
      <c r="K390" s="67" t="b">
        <v>0</v>
      </c>
      <c r="L390" s="67" t="b">
        <v>0</v>
      </c>
      <c r="M390" s="68" t="b">
        <v>0</v>
      </c>
      <c r="N390" s="68" t="b">
        <v>0</v>
      </c>
      <c r="O390" s="68" t="b">
        <v>0</v>
      </c>
      <c r="P390" s="67" t="b">
        <v>0</v>
      </c>
      <c r="Q390" s="1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11"/>
      <c r="C391" s="26"/>
      <c r="D391" s="13"/>
      <c r="E391" s="1"/>
      <c r="F391" s="1"/>
      <c r="G391" s="11"/>
      <c r="H391" s="26"/>
      <c r="I391" s="16"/>
      <c r="J391" s="11"/>
      <c r="K391" s="67" t="b">
        <v>0</v>
      </c>
      <c r="L391" s="67" t="b">
        <v>0</v>
      </c>
      <c r="M391" s="68" t="b">
        <v>0</v>
      </c>
      <c r="N391" s="68" t="b">
        <v>0</v>
      </c>
      <c r="O391" s="68" t="b">
        <v>0</v>
      </c>
      <c r="P391" s="67" t="b">
        <v>0</v>
      </c>
      <c r="Q391" s="1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11"/>
      <c r="C392" s="26"/>
      <c r="D392" s="13"/>
      <c r="E392" s="1"/>
      <c r="F392" s="1"/>
      <c r="G392" s="11"/>
      <c r="H392" s="26"/>
      <c r="I392" s="16"/>
      <c r="J392" s="11"/>
      <c r="K392" s="67" t="b">
        <v>0</v>
      </c>
      <c r="L392" s="67" t="b">
        <v>0</v>
      </c>
      <c r="M392" s="68" t="b">
        <v>0</v>
      </c>
      <c r="N392" s="68" t="b">
        <v>0</v>
      </c>
      <c r="O392" s="68" t="b">
        <v>0</v>
      </c>
      <c r="P392" s="67" t="b">
        <v>0</v>
      </c>
      <c r="Q392" s="1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11"/>
      <c r="C393" s="26"/>
      <c r="D393" s="13"/>
      <c r="E393" s="1"/>
      <c r="F393" s="1"/>
      <c r="G393" s="11"/>
      <c r="H393" s="26"/>
      <c r="I393" s="16"/>
      <c r="J393" s="11"/>
      <c r="K393" s="67" t="b">
        <v>0</v>
      </c>
      <c r="L393" s="67" t="b">
        <v>0</v>
      </c>
      <c r="M393" s="68" t="b">
        <v>0</v>
      </c>
      <c r="N393" s="68" t="b">
        <v>0</v>
      </c>
      <c r="O393" s="68" t="b">
        <v>0</v>
      </c>
      <c r="P393" s="67" t="b">
        <v>0</v>
      </c>
      <c r="Q393" s="1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11"/>
      <c r="C394" s="26"/>
      <c r="D394" s="13"/>
      <c r="E394" s="1"/>
      <c r="F394" s="1"/>
      <c r="G394" s="11"/>
      <c r="H394" s="26"/>
      <c r="I394" s="16"/>
      <c r="J394" s="11"/>
      <c r="K394" s="67"/>
      <c r="L394" s="67"/>
      <c r="M394" s="68"/>
      <c r="N394" s="68"/>
      <c r="O394" s="68"/>
      <c r="P394" s="67"/>
      <c r="Q394" s="1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11"/>
      <c r="C395" s="26"/>
      <c r="D395" s="13"/>
      <c r="E395" s="1"/>
      <c r="F395" s="1"/>
      <c r="G395" s="11"/>
      <c r="H395" s="26"/>
      <c r="I395" s="16"/>
      <c r="J395" s="11"/>
      <c r="K395" s="67"/>
      <c r="L395" s="67"/>
      <c r="M395" s="68"/>
      <c r="N395" s="68"/>
      <c r="O395" s="68"/>
      <c r="P395" s="67"/>
      <c r="Q395" s="1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11"/>
      <c r="C396" s="26"/>
      <c r="D396" s="13"/>
      <c r="E396" s="1"/>
      <c r="F396" s="1"/>
      <c r="G396" s="11"/>
      <c r="H396" s="26"/>
      <c r="I396" s="16"/>
      <c r="J396" s="11"/>
      <c r="K396" s="67"/>
      <c r="L396" s="67"/>
      <c r="M396" s="68"/>
      <c r="N396" s="68"/>
      <c r="O396" s="68"/>
      <c r="P396" s="67"/>
      <c r="Q396" s="1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11"/>
      <c r="C397" s="26"/>
      <c r="D397" s="13"/>
      <c r="E397" s="1"/>
      <c r="F397" s="1"/>
      <c r="G397" s="11"/>
      <c r="H397" s="26"/>
      <c r="I397" s="16"/>
      <c r="J397" s="11"/>
      <c r="K397" s="67"/>
      <c r="L397" s="67"/>
      <c r="M397" s="68"/>
      <c r="N397" s="68"/>
      <c r="O397" s="68"/>
      <c r="P397" s="67"/>
      <c r="Q397" s="1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11"/>
      <c r="C398" s="26"/>
      <c r="D398" s="13"/>
      <c r="E398" s="1"/>
      <c r="F398" s="1"/>
      <c r="G398" s="11"/>
      <c r="H398" s="26"/>
      <c r="I398" s="16"/>
      <c r="J398" s="11"/>
      <c r="K398" s="67"/>
      <c r="L398" s="67"/>
      <c r="M398" s="68"/>
      <c r="N398" s="68"/>
      <c r="O398" s="68"/>
      <c r="P398" s="67"/>
      <c r="Q398" s="1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11"/>
      <c r="C399" s="26"/>
      <c r="D399" s="13"/>
      <c r="E399" s="1"/>
      <c r="F399" s="1"/>
      <c r="G399" s="11"/>
      <c r="H399" s="26"/>
      <c r="I399" s="16"/>
      <c r="J399" s="11"/>
      <c r="K399" s="67"/>
      <c r="L399" s="67"/>
      <c r="M399" s="68"/>
      <c r="N399" s="68"/>
      <c r="O399" s="68"/>
      <c r="P399" s="67"/>
      <c r="Q399" s="1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11"/>
      <c r="C400" s="26"/>
      <c r="D400" s="13"/>
      <c r="E400" s="1"/>
      <c r="F400" s="5"/>
      <c r="G400" s="11"/>
      <c r="H400" s="43"/>
      <c r="I400" s="7"/>
      <c r="J400" s="11"/>
      <c r="K400" s="67"/>
      <c r="L400" s="67"/>
      <c r="M400" s="68"/>
      <c r="N400" s="68"/>
      <c r="O400" s="68"/>
      <c r="P400" s="67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89" t="s">
        <v>1011</v>
      </c>
      <c r="C401" s="89"/>
      <c r="D401" s="13"/>
      <c r="E401" s="90" t="s">
        <v>1012</v>
      </c>
      <c r="F401" s="90"/>
      <c r="G401" s="89"/>
      <c r="H401" s="43"/>
      <c r="I401" s="91" t="s">
        <v>1013</v>
      </c>
      <c r="J401" s="2"/>
      <c r="K401" s="67"/>
      <c r="L401" s="67"/>
      <c r="M401" s="68"/>
      <c r="N401" s="68"/>
      <c r="O401" s="68"/>
      <c r="P401" s="67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11"/>
      <c r="C402" s="11"/>
      <c r="D402" s="92"/>
      <c r="E402" s="1"/>
      <c r="F402" s="1"/>
      <c r="G402" s="11"/>
      <c r="H402" s="26"/>
      <c r="I402" s="16"/>
      <c r="J402" s="11"/>
      <c r="K402" s="1"/>
      <c r="L402" s="1"/>
      <c r="M402" s="5"/>
      <c r="N402" s="1"/>
      <c r="O402" s="5"/>
      <c r="P402" s="1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11"/>
      <c r="C403" s="11"/>
      <c r="D403" s="16" t="b">
        <v>0</v>
      </c>
      <c r="E403" s="1"/>
      <c r="F403" s="1" t="b">
        <v>0</v>
      </c>
      <c r="G403" s="11"/>
      <c r="H403" s="26"/>
      <c r="I403" s="11" t="s">
        <v>1014</v>
      </c>
      <c r="J403" s="11"/>
      <c r="K403" s="1"/>
      <c r="L403" s="1"/>
      <c r="M403" s="5"/>
      <c r="N403" s="1"/>
      <c r="O403" s="5"/>
      <c r="P403" s="1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11"/>
      <c r="C404" s="11"/>
      <c r="D404" s="16" t="b">
        <v>0</v>
      </c>
      <c r="E404" s="1"/>
      <c r="F404" s="1" t="b">
        <v>0</v>
      </c>
      <c r="G404" s="11"/>
      <c r="H404" s="26"/>
      <c r="I404" s="11"/>
      <c r="J404" s="11"/>
      <c r="K404" s="1"/>
      <c r="L404" s="1"/>
      <c r="M404" s="5"/>
      <c r="N404" s="1"/>
      <c r="O404" s="5"/>
      <c r="P404" s="1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11"/>
      <c r="C405" s="11"/>
      <c r="D405" s="7" t="b">
        <v>0</v>
      </c>
      <c r="E405" s="21"/>
      <c r="F405" s="1" t="b">
        <v>0</v>
      </c>
      <c r="G405" s="11"/>
      <c r="H405" s="26"/>
      <c r="I405" s="16"/>
      <c r="J405" s="2"/>
      <c r="K405" s="1"/>
      <c r="L405" s="1"/>
      <c r="M405" s="5"/>
      <c r="N405" s="1"/>
      <c r="O405" s="5"/>
      <c r="P405" s="1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11" t="s">
        <v>1015</v>
      </c>
      <c r="C406" s="11" t="s">
        <v>1016</v>
      </c>
      <c r="D406" s="4" t="b">
        <v>0</v>
      </c>
      <c r="E406" s="1"/>
      <c r="F406" s="1" t="b">
        <v>0</v>
      </c>
      <c r="G406" s="43"/>
      <c r="H406" s="26"/>
      <c r="I406" s="7"/>
      <c r="J406" s="2"/>
      <c r="K406" s="1"/>
      <c r="L406" s="1"/>
      <c r="M406" s="5"/>
      <c r="N406" s="1"/>
      <c r="O406" s="5"/>
      <c r="P406" s="1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11"/>
      <c r="C407" s="43"/>
      <c r="D407" s="16"/>
      <c r="E407" s="1"/>
      <c r="F407" s="1" t="b">
        <v>0</v>
      </c>
      <c r="G407" s="11"/>
      <c r="H407" s="11"/>
      <c r="I407" s="93" t="s">
        <v>1017</v>
      </c>
      <c r="J407" s="2"/>
      <c r="K407" s="1"/>
      <c r="L407" s="1"/>
      <c r="M407" s="5"/>
      <c r="N407" s="1"/>
      <c r="O407" s="5"/>
      <c r="P407" s="1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11"/>
      <c r="C408" s="43"/>
      <c r="D408" s="92"/>
      <c r="E408" s="1"/>
      <c r="F408" s="1" t="b">
        <v>0</v>
      </c>
      <c r="G408" s="43"/>
      <c r="H408" s="94"/>
      <c r="I408" s="16"/>
      <c r="J408" s="11"/>
      <c r="K408" s="1"/>
      <c r="L408" s="1"/>
      <c r="M408" s="5"/>
      <c r="N408" s="1"/>
      <c r="O408" s="5"/>
      <c r="P408" s="1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11"/>
      <c r="C409" s="43"/>
      <c r="D409" s="16"/>
      <c r="E409" s="1"/>
      <c r="F409" s="1" t="b">
        <v>0</v>
      </c>
      <c r="G409" s="11"/>
      <c r="H409" s="94"/>
      <c r="I409" s="16"/>
      <c r="J409" s="11"/>
      <c r="K409" s="1"/>
      <c r="L409" s="1"/>
      <c r="M409" s="5"/>
      <c r="N409" s="1"/>
      <c r="O409" s="5"/>
      <c r="P409" s="1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11"/>
      <c r="C410" s="43"/>
      <c r="D410" s="16"/>
      <c r="E410" s="1"/>
      <c r="F410" s="1" t="b">
        <v>0</v>
      </c>
      <c r="G410" s="11"/>
      <c r="H410" s="94"/>
      <c r="I410" s="16"/>
      <c r="J410" s="11" t="b">
        <v>0</v>
      </c>
      <c r="K410" s="1"/>
      <c r="L410" s="1"/>
      <c r="M410" s="5"/>
      <c r="N410" s="1"/>
      <c r="O410" s="5"/>
      <c r="P410" s="1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11"/>
      <c r="C411" s="11"/>
      <c r="D411" s="7"/>
      <c r="E411" s="1"/>
      <c r="F411" s="1" t="b">
        <v>0</v>
      </c>
      <c r="G411" s="11"/>
      <c r="H411" s="26"/>
      <c r="I411" s="16"/>
      <c r="J411" s="11" t="b">
        <v>0</v>
      </c>
      <c r="K411" s="1"/>
      <c r="L411" s="1"/>
      <c r="M411" s="5"/>
      <c r="N411" s="1"/>
      <c r="O411" s="5"/>
      <c r="P411" s="1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11"/>
      <c r="C412" s="11"/>
      <c r="D412" s="4"/>
      <c r="E412" s="1"/>
      <c r="F412" s="1"/>
      <c r="G412" s="11"/>
      <c r="H412" s="26"/>
      <c r="I412" s="16"/>
      <c r="J412" s="11" t="b">
        <v>0</v>
      </c>
      <c r="K412" s="1"/>
      <c r="L412" s="1"/>
      <c r="M412" s="5"/>
      <c r="N412" s="1"/>
      <c r="O412" s="5"/>
      <c r="P412" s="1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2"/>
      <c r="C413" s="43"/>
      <c r="D413" s="4"/>
      <c r="E413" s="21"/>
      <c r="F413" s="21"/>
      <c r="G413" s="11"/>
      <c r="H413" s="26"/>
      <c r="I413" s="16"/>
      <c r="J413" s="11" t="b">
        <v>0</v>
      </c>
      <c r="K413" s="1"/>
      <c r="L413" s="1"/>
      <c r="M413" s="5"/>
      <c r="N413" s="1"/>
      <c r="O413" s="5"/>
      <c r="P413" s="1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2"/>
      <c r="C414" s="43"/>
      <c r="D414" s="4"/>
      <c r="E414" s="21"/>
      <c r="F414" s="21"/>
      <c r="G414" s="2"/>
      <c r="H414" s="6"/>
      <c r="I414" s="7"/>
      <c r="J414" s="2"/>
      <c r="K414" s="1"/>
      <c r="L414" s="1"/>
      <c r="M414" s="5"/>
      <c r="N414" s="1"/>
      <c r="O414" s="5"/>
      <c r="P414" s="1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2"/>
      <c r="C415" s="43"/>
      <c r="D415" s="4"/>
      <c r="E415" s="21"/>
      <c r="F415" s="21"/>
      <c r="G415" s="2"/>
      <c r="H415" s="6"/>
      <c r="I415" s="7"/>
      <c r="J415" s="2"/>
      <c r="K415" s="1"/>
      <c r="L415" s="1"/>
      <c r="M415" s="5"/>
      <c r="N415" s="1"/>
      <c r="O415" s="5"/>
      <c r="P415" s="1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2"/>
      <c r="C416" s="43"/>
      <c r="D416" s="4"/>
      <c r="E416" s="90" t="s">
        <v>1018</v>
      </c>
      <c r="F416" s="90"/>
      <c r="G416" s="2"/>
      <c r="H416" s="6"/>
      <c r="I416" s="91" t="s">
        <v>284</v>
      </c>
      <c r="J416" s="2"/>
      <c r="K416" s="1"/>
      <c r="L416" s="1"/>
      <c r="M416" s="5"/>
      <c r="N416" s="1"/>
      <c r="O416" s="5"/>
      <c r="P416" s="1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89" t="s">
        <v>781</v>
      </c>
      <c r="C417" s="89"/>
      <c r="D417" s="4"/>
      <c r="E417" s="1"/>
      <c r="F417" s="1"/>
      <c r="G417" s="95"/>
      <c r="H417" s="11"/>
      <c r="I417" s="16"/>
      <c r="J417" s="2"/>
      <c r="K417" s="1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11"/>
      <c r="C418" s="11" t="b">
        <v>0</v>
      </c>
      <c r="D418" s="4"/>
      <c r="E418" s="1"/>
      <c r="F418" s="1"/>
      <c r="G418" s="96"/>
      <c r="H418" s="11"/>
      <c r="I418" s="16"/>
      <c r="J418" s="2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11"/>
      <c r="C419" s="11" t="b">
        <v>0</v>
      </c>
      <c r="D419" s="13"/>
      <c r="E419" s="1" t="s">
        <v>1019</v>
      </c>
      <c r="F419" s="1"/>
      <c r="G419" s="96"/>
      <c r="H419" s="11" t="b">
        <v>0</v>
      </c>
      <c r="I419" s="7"/>
      <c r="J419" s="2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11"/>
      <c r="C420" s="11" t="b">
        <v>0</v>
      </c>
      <c r="D420" s="4"/>
      <c r="E420" s="1" t="s">
        <v>1020</v>
      </c>
      <c r="F420" s="1"/>
      <c r="G420" s="96"/>
      <c r="H420" s="11" t="b">
        <v>0</v>
      </c>
      <c r="I420" s="7"/>
      <c r="J420" s="2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11"/>
      <c r="C421" s="11" t="b">
        <v>0</v>
      </c>
      <c r="D421" s="4"/>
      <c r="E421" s="1"/>
      <c r="F421" s="1"/>
      <c r="G421" s="96"/>
      <c r="H421" s="11"/>
      <c r="I421" s="7"/>
      <c r="J421" s="2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11"/>
      <c r="C422" s="11" t="b">
        <v>0</v>
      </c>
      <c r="D422" s="4"/>
      <c r="E422" s="1"/>
      <c r="F422" s="1"/>
      <c r="G422" s="75"/>
      <c r="H422" s="11"/>
      <c r="I422" s="7"/>
      <c r="J422" s="2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11"/>
      <c r="C423" s="11" t="b">
        <v>0</v>
      </c>
      <c r="D423" s="4"/>
      <c r="E423" s="1"/>
      <c r="F423" s="1"/>
      <c r="G423" s="2"/>
      <c r="H423" s="6"/>
      <c r="I423" s="7"/>
      <c r="J423" s="2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11"/>
      <c r="C424" s="3"/>
      <c r="D424" s="4"/>
      <c r="E424" s="1"/>
      <c r="F424" s="1"/>
      <c r="G424" s="2"/>
      <c r="H424" s="11"/>
      <c r="I424" s="91" t="s">
        <v>1021</v>
      </c>
      <c r="J424" s="97" t="s">
        <v>45</v>
      </c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11"/>
      <c r="C425" s="3"/>
      <c r="D425" s="4"/>
      <c r="E425" s="1"/>
      <c r="F425" s="1"/>
      <c r="G425" s="2"/>
      <c r="H425" s="11"/>
      <c r="I425" s="16" t="s">
        <v>1022</v>
      </c>
      <c r="J425" s="11" t="s">
        <v>1023</v>
      </c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97" t="s">
        <v>1024</v>
      </c>
      <c r="C426" s="3"/>
      <c r="D426" s="4"/>
      <c r="E426" s="13"/>
      <c r="F426" s="13"/>
      <c r="G426" s="11"/>
      <c r="H426" s="11"/>
      <c r="I426" s="77"/>
      <c r="J426" s="98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11"/>
      <c r="C427" s="11" t="b">
        <v>0</v>
      </c>
      <c r="D427" s="4"/>
      <c r="E427" s="55" t="s">
        <v>1025</v>
      </c>
      <c r="F427" s="1"/>
      <c r="G427" s="2"/>
      <c r="H427" s="4"/>
      <c r="I427" s="77"/>
      <c r="J427" s="98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11"/>
      <c r="C428" s="11"/>
      <c r="D428" s="4"/>
      <c r="E428" s="1" t="s">
        <v>1026</v>
      </c>
      <c r="F428" s="1"/>
      <c r="G428" s="2"/>
      <c r="H428" s="4"/>
      <c r="I428" s="16"/>
      <c r="J428" s="2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11"/>
      <c r="C429" s="11"/>
      <c r="D429" s="4"/>
      <c r="E429" s="1"/>
      <c r="F429" s="1"/>
      <c r="G429" s="11"/>
      <c r="H429" s="4"/>
      <c r="I429" s="16" t="s">
        <v>1027</v>
      </c>
      <c r="J429" s="2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11"/>
      <c r="C430" s="11"/>
      <c r="D430" s="4"/>
      <c r="E430" s="1"/>
      <c r="F430" s="1"/>
      <c r="G430" s="2"/>
      <c r="H430" s="13"/>
      <c r="I430" s="7"/>
      <c r="J430" s="2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11"/>
      <c r="C431" s="11"/>
      <c r="D431" s="4"/>
      <c r="E431" s="1"/>
      <c r="F431" s="1"/>
      <c r="G431" s="2"/>
      <c r="H431" s="6"/>
      <c r="I431" s="7"/>
      <c r="J431" s="2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2"/>
      <c r="C432" s="3"/>
      <c r="D432" s="4"/>
      <c r="E432" s="5"/>
      <c r="F432" s="5"/>
      <c r="G432" s="2"/>
      <c r="H432" s="6"/>
      <c r="I432" s="91" t="s">
        <v>1028</v>
      </c>
      <c r="J432" s="2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2"/>
      <c r="C433" s="3"/>
      <c r="D433" s="4"/>
      <c r="E433" s="99" t="s">
        <v>1029</v>
      </c>
      <c r="F433" s="99"/>
      <c r="G433" s="100"/>
      <c r="H433" s="6"/>
      <c r="I433" s="7"/>
      <c r="J433" s="2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97"/>
      <c r="C434" s="3"/>
      <c r="D434" s="4"/>
      <c r="E434" s="1"/>
      <c r="F434" s="1"/>
      <c r="G434" s="4"/>
      <c r="H434" s="6"/>
      <c r="I434" s="77"/>
      <c r="J434" s="2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11"/>
      <c r="C435" s="11"/>
      <c r="D435" s="4"/>
      <c r="E435" s="1"/>
      <c r="F435" s="1"/>
      <c r="G435" s="4"/>
      <c r="H435" s="6"/>
      <c r="I435" s="16"/>
      <c r="J435" s="2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11"/>
      <c r="C436" s="11" t="b">
        <v>0</v>
      </c>
      <c r="D436" s="13"/>
      <c r="E436" s="1"/>
      <c r="F436" s="1"/>
      <c r="G436" s="13"/>
      <c r="H436" s="6"/>
      <c r="I436" s="77"/>
      <c r="J436" s="2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11"/>
      <c r="C437" s="11" t="b">
        <v>0</v>
      </c>
      <c r="D437" s="13"/>
      <c r="E437" s="1"/>
      <c r="F437" s="1"/>
      <c r="G437" s="4"/>
      <c r="H437" s="6"/>
      <c r="I437" s="77"/>
      <c r="J437" s="2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11"/>
      <c r="C438" s="11" t="b">
        <v>0</v>
      </c>
      <c r="D438" s="4"/>
      <c r="E438" s="1"/>
      <c r="F438" s="1"/>
      <c r="G438" s="4"/>
      <c r="H438" s="6"/>
      <c r="I438" s="7"/>
      <c r="J438" s="2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11"/>
      <c r="C439" s="11" t="b">
        <v>0</v>
      </c>
      <c r="D439" s="13"/>
      <c r="E439" s="5"/>
      <c r="F439" s="5"/>
      <c r="G439" s="4"/>
      <c r="H439" s="6"/>
      <c r="I439" s="7"/>
      <c r="J439" s="2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11"/>
      <c r="C440" s="11"/>
      <c r="D440" s="13"/>
      <c r="E440" s="5"/>
      <c r="F440" s="5"/>
      <c r="G440" s="2"/>
      <c r="H440" s="6"/>
      <c r="I440" s="7"/>
      <c r="J440" s="2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11"/>
      <c r="C441" s="11"/>
      <c r="D441" s="13"/>
      <c r="E441" s="5"/>
      <c r="F441" s="5"/>
      <c r="G441" s="2"/>
      <c r="H441" s="6"/>
      <c r="I441" s="7"/>
      <c r="J441" s="2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11"/>
      <c r="C442" s="11"/>
      <c r="D442" s="4"/>
      <c r="E442" s="5"/>
      <c r="F442" s="5"/>
      <c r="G442" s="2"/>
      <c r="H442" s="6"/>
      <c r="I442" s="7"/>
      <c r="J442" s="2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11"/>
      <c r="C443" s="11"/>
      <c r="D443" s="4"/>
      <c r="E443" s="5"/>
      <c r="F443" s="5"/>
      <c r="G443" s="2"/>
      <c r="H443" s="6"/>
      <c r="I443" s="7"/>
      <c r="J443" s="2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11"/>
      <c r="C444" s="11"/>
      <c r="D444" s="4"/>
      <c r="E444" s="5"/>
      <c r="F444" s="5"/>
      <c r="G444" s="2"/>
      <c r="H444" s="6"/>
      <c r="I444" s="7"/>
      <c r="J444" s="2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11"/>
      <c r="C445" s="11"/>
      <c r="D445" s="4"/>
      <c r="E445" s="5"/>
      <c r="F445" s="5"/>
      <c r="G445" s="2"/>
      <c r="H445" s="6"/>
      <c r="I445" s="7"/>
      <c r="J445" s="2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11"/>
      <c r="C446" s="11"/>
      <c r="D446" s="4"/>
      <c r="E446" s="5"/>
      <c r="F446" s="5"/>
      <c r="G446" s="2"/>
      <c r="H446" s="6"/>
      <c r="I446" s="7"/>
      <c r="J446" s="2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11"/>
      <c r="C447" s="11"/>
      <c r="D447" s="4"/>
      <c r="E447" s="5"/>
      <c r="F447" s="5"/>
      <c r="G447" s="2"/>
      <c r="H447" s="6"/>
      <c r="I447" s="7"/>
      <c r="J447" s="2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2"/>
      <c r="C448" s="3"/>
      <c r="D448" s="4"/>
      <c r="E448" s="5"/>
      <c r="F448" s="5"/>
      <c r="G448" s="2"/>
      <c r="H448" s="6"/>
      <c r="I448" s="7"/>
      <c r="J448" s="2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2"/>
      <c r="C449" s="3"/>
      <c r="D449" s="4"/>
      <c r="E449" s="5"/>
      <c r="F449" s="5"/>
      <c r="G449" s="2"/>
      <c r="H449" s="6"/>
      <c r="I449" s="7"/>
      <c r="J449" s="2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2"/>
      <c r="C450" s="3"/>
      <c r="D450" s="4"/>
      <c r="E450" s="5"/>
      <c r="F450" s="5"/>
      <c r="G450" s="2"/>
      <c r="H450" s="6"/>
      <c r="I450" s="7"/>
      <c r="J450" s="2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2"/>
      <c r="C451" s="3"/>
      <c r="D451" s="4"/>
      <c r="E451" s="5"/>
      <c r="F451" s="5"/>
      <c r="G451" s="2"/>
      <c r="H451" s="6"/>
      <c r="I451" s="7"/>
      <c r="J451" s="2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2"/>
      <c r="C452" s="3"/>
      <c r="D452" s="4"/>
      <c r="E452" s="5"/>
      <c r="F452" s="5"/>
      <c r="G452" s="2"/>
      <c r="H452" s="6"/>
      <c r="I452" s="7"/>
      <c r="J452" s="2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2"/>
      <c r="C453" s="3"/>
      <c r="D453" s="4"/>
      <c r="E453" s="5"/>
      <c r="F453" s="5"/>
      <c r="G453" s="2"/>
      <c r="H453" s="6"/>
      <c r="I453" s="7"/>
      <c r="J453" s="2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2"/>
      <c r="C454" s="3"/>
      <c r="D454" s="4"/>
      <c r="E454" s="5"/>
      <c r="F454" s="5"/>
      <c r="G454" s="2"/>
      <c r="H454" s="6"/>
      <c r="I454" s="7"/>
      <c r="J454" s="2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2"/>
      <c r="C455" s="3"/>
      <c r="D455" s="4"/>
      <c r="E455" s="5"/>
      <c r="F455" s="5"/>
      <c r="G455" s="2"/>
      <c r="H455" s="6"/>
      <c r="I455" s="7"/>
      <c r="J455" s="2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2"/>
      <c r="C456" s="3"/>
      <c r="D456" s="4"/>
      <c r="E456" s="5"/>
      <c r="F456" s="5"/>
      <c r="G456" s="2"/>
      <c r="H456" s="6"/>
      <c r="I456" s="7"/>
      <c r="J456" s="2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2"/>
      <c r="C457" s="3"/>
      <c r="D457" s="4"/>
      <c r="E457" s="5"/>
      <c r="F457" s="5"/>
      <c r="G457" s="2"/>
      <c r="H457" s="6"/>
      <c r="I457" s="7"/>
      <c r="J457" s="2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2"/>
      <c r="C458" s="3"/>
      <c r="D458" s="4"/>
      <c r="E458" s="5"/>
      <c r="F458" s="5"/>
      <c r="G458" s="2"/>
      <c r="H458" s="6"/>
      <c r="I458" s="7"/>
      <c r="J458" s="2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2"/>
      <c r="C459" s="3"/>
      <c r="D459" s="4"/>
      <c r="E459" s="5"/>
      <c r="F459" s="5"/>
      <c r="G459" s="2"/>
      <c r="H459" s="6"/>
      <c r="I459" s="7"/>
      <c r="J459" s="2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2"/>
      <c r="C460" s="3"/>
      <c r="D460" s="4"/>
      <c r="E460" s="5"/>
      <c r="F460" s="5"/>
      <c r="G460" s="2"/>
      <c r="H460" s="6"/>
      <c r="I460" s="7"/>
      <c r="J460" s="2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2"/>
      <c r="C461" s="3"/>
      <c r="D461" s="4"/>
      <c r="E461" s="5"/>
      <c r="F461" s="5"/>
      <c r="G461" s="2"/>
      <c r="H461" s="6"/>
      <c r="I461" s="7"/>
      <c r="J461" s="2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2"/>
      <c r="C462" s="3"/>
      <c r="D462" s="4"/>
      <c r="E462" s="5"/>
      <c r="F462" s="5"/>
      <c r="G462" s="2"/>
      <c r="H462" s="6"/>
      <c r="I462" s="7"/>
      <c r="J462" s="2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2"/>
      <c r="C463" s="3"/>
      <c r="D463" s="4"/>
      <c r="E463" s="5"/>
      <c r="F463" s="5"/>
      <c r="G463" s="2"/>
      <c r="H463" s="6"/>
      <c r="I463" s="7"/>
      <c r="J463" s="2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2"/>
      <c r="C464" s="3"/>
      <c r="D464" s="4"/>
      <c r="E464" s="5"/>
      <c r="F464" s="5"/>
      <c r="G464" s="2"/>
      <c r="H464" s="6"/>
      <c r="I464" s="7"/>
      <c r="J464" s="2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2"/>
      <c r="C465" s="3"/>
      <c r="D465" s="4"/>
      <c r="E465" s="5"/>
      <c r="F465" s="5"/>
      <c r="G465" s="2"/>
      <c r="H465" s="6"/>
      <c r="I465" s="7"/>
      <c r="J465" s="2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2"/>
      <c r="C466" s="3"/>
      <c r="D466" s="4"/>
      <c r="E466" s="5"/>
      <c r="F466" s="5"/>
      <c r="G466" s="2"/>
      <c r="H466" s="6"/>
      <c r="I466" s="7"/>
      <c r="J466" s="2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2"/>
      <c r="C467" s="3"/>
      <c r="D467" s="4"/>
      <c r="E467" s="5"/>
      <c r="F467" s="5"/>
      <c r="G467" s="2"/>
      <c r="H467" s="6"/>
      <c r="I467" s="7"/>
      <c r="J467" s="2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2"/>
      <c r="C468" s="3"/>
      <c r="D468" s="4"/>
      <c r="E468" s="5"/>
      <c r="F468" s="5"/>
      <c r="G468" s="2"/>
      <c r="H468" s="6"/>
      <c r="I468" s="7"/>
      <c r="J468" s="2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2"/>
      <c r="C469" s="3"/>
      <c r="D469" s="4"/>
      <c r="E469" s="5"/>
      <c r="F469" s="5"/>
      <c r="G469" s="2"/>
      <c r="H469" s="6"/>
      <c r="I469" s="7"/>
      <c r="J469" s="2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2"/>
      <c r="C470" s="3"/>
      <c r="D470" s="4"/>
      <c r="E470" s="5"/>
      <c r="F470" s="5"/>
      <c r="G470" s="2"/>
      <c r="H470" s="6"/>
      <c r="I470" s="7"/>
      <c r="J470" s="2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2"/>
      <c r="C471" s="3"/>
      <c r="D471" s="4"/>
      <c r="E471" s="5"/>
      <c r="F471" s="5"/>
      <c r="G471" s="2"/>
      <c r="H471" s="6"/>
      <c r="I471" s="7"/>
      <c r="J471" s="2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2"/>
      <c r="C472" s="3"/>
      <c r="D472" s="4"/>
      <c r="E472" s="5"/>
      <c r="F472" s="5"/>
      <c r="G472" s="2"/>
      <c r="H472" s="6"/>
      <c r="I472" s="7"/>
      <c r="J472" s="2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2"/>
      <c r="C473" s="3"/>
      <c r="D473" s="4"/>
      <c r="E473" s="5"/>
      <c r="F473" s="5"/>
      <c r="G473" s="2"/>
      <c r="H473" s="6"/>
      <c r="I473" s="7"/>
      <c r="J473" s="2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2"/>
      <c r="C474" s="3"/>
      <c r="D474" s="4"/>
      <c r="E474" s="5"/>
      <c r="F474" s="5"/>
      <c r="G474" s="2"/>
      <c r="H474" s="6"/>
      <c r="I474" s="7"/>
      <c r="J474" s="2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2"/>
      <c r="C475" s="3"/>
      <c r="D475" s="4"/>
      <c r="E475" s="5"/>
      <c r="F475" s="5"/>
      <c r="G475" s="2"/>
      <c r="H475" s="6"/>
      <c r="I475" s="7"/>
      <c r="J475" s="2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2"/>
      <c r="C476" s="3"/>
      <c r="D476" s="4"/>
      <c r="E476" s="5"/>
      <c r="F476" s="5"/>
      <c r="G476" s="2"/>
      <c r="H476" s="6"/>
      <c r="I476" s="7"/>
      <c r="J476" s="2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2"/>
      <c r="C477" s="3"/>
      <c r="D477" s="4"/>
      <c r="E477" s="5"/>
      <c r="F477" s="5"/>
      <c r="G477" s="2"/>
      <c r="H477" s="6"/>
      <c r="I477" s="7"/>
      <c r="J477" s="2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2"/>
      <c r="C478" s="3"/>
      <c r="D478" s="4"/>
      <c r="E478" s="5"/>
      <c r="F478" s="5"/>
      <c r="G478" s="2"/>
      <c r="H478" s="6"/>
      <c r="I478" s="7"/>
      <c r="J478" s="2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2"/>
      <c r="C479" s="3"/>
      <c r="D479" s="4"/>
      <c r="E479" s="5"/>
      <c r="F479" s="5"/>
      <c r="G479" s="2"/>
      <c r="H479" s="6"/>
      <c r="I479" s="7"/>
      <c r="J479" s="2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2"/>
      <c r="C480" s="3"/>
      <c r="D480" s="4"/>
      <c r="E480" s="5"/>
      <c r="F480" s="5"/>
      <c r="G480" s="2"/>
      <c r="H480" s="6"/>
      <c r="I480" s="7"/>
      <c r="J480" s="2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2"/>
      <c r="C481" s="3"/>
      <c r="D481" s="4"/>
      <c r="E481" s="5"/>
      <c r="F481" s="5"/>
      <c r="G481" s="2"/>
      <c r="H481" s="6"/>
      <c r="I481" s="7"/>
      <c r="J481" s="2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2"/>
      <c r="C482" s="3"/>
      <c r="D482" s="4"/>
      <c r="E482" s="5"/>
      <c r="F482" s="5"/>
      <c r="G482" s="2"/>
      <c r="H482" s="6"/>
      <c r="I482" s="7"/>
      <c r="J482" s="2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2"/>
      <c r="C483" s="3"/>
      <c r="D483" s="4"/>
      <c r="E483" s="5"/>
      <c r="F483" s="5"/>
      <c r="G483" s="2"/>
      <c r="H483" s="6"/>
      <c r="I483" s="7"/>
      <c r="J483" s="2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2"/>
      <c r="C484" s="3"/>
      <c r="D484" s="4"/>
      <c r="E484" s="5"/>
      <c r="F484" s="5"/>
      <c r="G484" s="2"/>
      <c r="H484" s="6"/>
      <c r="I484" s="7"/>
      <c r="J484" s="2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2"/>
      <c r="C485" s="3"/>
      <c r="D485" s="4"/>
      <c r="E485" s="5"/>
      <c r="F485" s="5"/>
      <c r="G485" s="2"/>
      <c r="H485" s="6"/>
      <c r="I485" s="7"/>
      <c r="J485" s="2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2"/>
      <c r="C486" s="3"/>
      <c r="D486" s="4"/>
      <c r="E486" s="5"/>
      <c r="F486" s="5"/>
      <c r="G486" s="2"/>
      <c r="H486" s="6"/>
      <c r="I486" s="7"/>
      <c r="J486" s="2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2"/>
      <c r="C487" s="3"/>
      <c r="D487" s="4"/>
      <c r="E487" s="5"/>
      <c r="F487" s="5"/>
      <c r="G487" s="2"/>
      <c r="H487" s="6"/>
      <c r="I487" s="7"/>
      <c r="J487" s="2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2"/>
      <c r="C488" s="3"/>
      <c r="D488" s="4"/>
      <c r="E488" s="5"/>
      <c r="F488" s="5"/>
      <c r="G488" s="2"/>
      <c r="H488" s="6"/>
      <c r="I488" s="7"/>
      <c r="J488" s="2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2"/>
      <c r="C489" s="3"/>
      <c r="D489" s="4"/>
      <c r="E489" s="5"/>
      <c r="F489" s="5"/>
      <c r="G489" s="2"/>
      <c r="H489" s="6"/>
      <c r="I489" s="7"/>
      <c r="J489" s="2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2"/>
      <c r="C490" s="3"/>
      <c r="D490" s="4"/>
      <c r="E490" s="5"/>
      <c r="F490" s="5"/>
      <c r="G490" s="2"/>
      <c r="H490" s="6"/>
      <c r="I490" s="7"/>
      <c r="J490" s="2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2"/>
      <c r="C491" s="3"/>
      <c r="D491" s="4"/>
      <c r="E491" s="5"/>
      <c r="F491" s="5"/>
      <c r="G491" s="2"/>
      <c r="H491" s="6"/>
      <c r="I491" s="7"/>
      <c r="J491" s="2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2"/>
      <c r="C492" s="3"/>
      <c r="D492" s="4"/>
      <c r="E492" s="5"/>
      <c r="F492" s="5"/>
      <c r="G492" s="2"/>
      <c r="H492" s="6"/>
      <c r="I492" s="7"/>
      <c r="J492" s="2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2"/>
      <c r="C493" s="3"/>
      <c r="D493" s="4"/>
      <c r="E493" s="5"/>
      <c r="F493" s="5"/>
      <c r="G493" s="2"/>
      <c r="H493" s="6"/>
      <c r="I493" s="7"/>
      <c r="J493" s="2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2"/>
      <c r="C494" s="3"/>
      <c r="D494" s="4"/>
      <c r="E494" s="5"/>
      <c r="F494" s="5"/>
      <c r="G494" s="2"/>
      <c r="H494" s="6"/>
      <c r="I494" s="7"/>
      <c r="J494" s="2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2"/>
      <c r="C495" s="3"/>
      <c r="D495" s="4"/>
      <c r="E495" s="5"/>
      <c r="F495" s="5"/>
      <c r="G495" s="2"/>
      <c r="H495" s="6"/>
      <c r="I495" s="7"/>
      <c r="J495" s="2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2"/>
      <c r="C496" s="3"/>
      <c r="D496" s="4"/>
      <c r="E496" s="5"/>
      <c r="F496" s="5"/>
      <c r="G496" s="2"/>
      <c r="H496" s="6"/>
      <c r="I496" s="7"/>
      <c r="J496" s="2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2"/>
      <c r="C497" s="3"/>
      <c r="D497" s="4"/>
      <c r="E497" s="5"/>
      <c r="F497" s="5"/>
      <c r="G497" s="2"/>
      <c r="H497" s="6"/>
      <c r="I497" s="7"/>
      <c r="J497" s="2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2"/>
      <c r="C498" s="3"/>
      <c r="D498" s="4"/>
      <c r="E498" s="5"/>
      <c r="F498" s="5"/>
      <c r="G498" s="2"/>
      <c r="H498" s="6"/>
      <c r="I498" s="7"/>
      <c r="J498" s="2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2"/>
      <c r="C499" s="3"/>
      <c r="D499" s="4"/>
      <c r="E499" s="5"/>
      <c r="F499" s="5"/>
      <c r="G499" s="2"/>
      <c r="H499" s="6"/>
      <c r="I499" s="7"/>
      <c r="J499" s="2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2"/>
      <c r="C500" s="3"/>
      <c r="D500" s="4"/>
      <c r="E500" s="5"/>
      <c r="F500" s="5"/>
      <c r="G500" s="2"/>
      <c r="H500" s="6"/>
      <c r="I500" s="7"/>
      <c r="J500" s="2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2"/>
      <c r="C501" s="3"/>
      <c r="D501" s="4"/>
      <c r="E501" s="5"/>
      <c r="F501" s="5"/>
      <c r="G501" s="2"/>
      <c r="H501" s="6"/>
      <c r="I501" s="7"/>
      <c r="J501" s="2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2"/>
      <c r="C502" s="3"/>
      <c r="D502" s="4"/>
      <c r="E502" s="5"/>
      <c r="F502" s="5"/>
      <c r="G502" s="2"/>
      <c r="H502" s="6"/>
      <c r="I502" s="7"/>
      <c r="J502" s="2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2"/>
      <c r="C503" s="3"/>
      <c r="D503" s="4"/>
      <c r="E503" s="5"/>
      <c r="F503" s="5"/>
      <c r="G503" s="2"/>
      <c r="H503" s="6"/>
      <c r="I503" s="7"/>
      <c r="J503" s="2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2"/>
      <c r="C504" s="3"/>
      <c r="D504" s="4"/>
      <c r="E504" s="5"/>
      <c r="F504" s="5"/>
      <c r="G504" s="2"/>
      <c r="H504" s="6"/>
      <c r="I504" s="7"/>
      <c r="J504" s="2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2"/>
      <c r="C505" s="3"/>
      <c r="D505" s="4"/>
      <c r="E505" s="5"/>
      <c r="F505" s="5"/>
      <c r="G505" s="2"/>
      <c r="H505" s="6"/>
      <c r="I505" s="7"/>
      <c r="J505" s="2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2"/>
      <c r="C506" s="3"/>
      <c r="D506" s="4"/>
      <c r="E506" s="5"/>
      <c r="F506" s="5"/>
      <c r="G506" s="2"/>
      <c r="H506" s="6"/>
      <c r="I506" s="7"/>
      <c r="J506" s="2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2"/>
      <c r="C507" s="3"/>
      <c r="D507" s="4"/>
      <c r="E507" s="5"/>
      <c r="F507" s="5"/>
      <c r="G507" s="2"/>
      <c r="H507" s="6"/>
      <c r="I507" s="7"/>
      <c r="J507" s="2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2"/>
      <c r="C508" s="3"/>
      <c r="D508" s="4"/>
      <c r="E508" s="5"/>
      <c r="F508" s="5"/>
      <c r="G508" s="2"/>
      <c r="H508" s="6"/>
      <c r="I508" s="7"/>
      <c r="J508" s="2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2"/>
      <c r="C509" s="3"/>
      <c r="D509" s="4"/>
      <c r="E509" s="5"/>
      <c r="F509" s="5"/>
      <c r="G509" s="2"/>
      <c r="H509" s="6"/>
      <c r="I509" s="7"/>
      <c r="J509" s="2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2"/>
      <c r="C510" s="3"/>
      <c r="D510" s="4"/>
      <c r="E510" s="5"/>
      <c r="F510" s="5"/>
      <c r="G510" s="2"/>
      <c r="H510" s="6"/>
      <c r="I510" s="7"/>
      <c r="J510" s="2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2"/>
      <c r="C511" s="3"/>
      <c r="D511" s="4"/>
      <c r="E511" s="5"/>
      <c r="F511" s="5"/>
      <c r="G511" s="2"/>
      <c r="H511" s="6"/>
      <c r="I511" s="7"/>
      <c r="J511" s="2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2"/>
      <c r="C512" s="3"/>
      <c r="D512" s="4"/>
      <c r="E512" s="5"/>
      <c r="F512" s="5"/>
      <c r="G512" s="2"/>
      <c r="H512" s="6"/>
      <c r="I512" s="7"/>
      <c r="J512" s="2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2"/>
      <c r="C513" s="3"/>
      <c r="D513" s="4"/>
      <c r="E513" s="5"/>
      <c r="F513" s="5"/>
      <c r="G513" s="2"/>
      <c r="H513" s="6"/>
      <c r="I513" s="7"/>
      <c r="J513" s="2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2"/>
      <c r="C514" s="3"/>
      <c r="D514" s="4"/>
      <c r="E514" s="5"/>
      <c r="F514" s="5"/>
      <c r="G514" s="2"/>
      <c r="H514" s="6"/>
      <c r="I514" s="7"/>
      <c r="J514" s="2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2"/>
      <c r="C515" s="3"/>
      <c r="D515" s="4"/>
      <c r="E515" s="5"/>
      <c r="F515" s="5"/>
      <c r="G515" s="2"/>
      <c r="H515" s="6"/>
      <c r="I515" s="7"/>
      <c r="J515" s="2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2"/>
      <c r="C516" s="3"/>
      <c r="D516" s="4"/>
      <c r="E516" s="5"/>
      <c r="F516" s="5"/>
      <c r="G516" s="2"/>
      <c r="H516" s="6"/>
      <c r="I516" s="7"/>
      <c r="J516" s="2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2"/>
      <c r="C517" s="3"/>
      <c r="D517" s="4"/>
      <c r="E517" s="5"/>
      <c r="F517" s="5"/>
      <c r="G517" s="2"/>
      <c r="H517" s="6"/>
      <c r="I517" s="7"/>
      <c r="J517" s="2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2"/>
      <c r="C518" s="3"/>
      <c r="D518" s="4"/>
      <c r="E518" s="5"/>
      <c r="F518" s="5"/>
      <c r="G518" s="2"/>
      <c r="H518" s="6"/>
      <c r="I518" s="7"/>
      <c r="J518" s="2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2"/>
      <c r="C519" s="3"/>
      <c r="D519" s="4"/>
      <c r="E519" s="5"/>
      <c r="F519" s="5"/>
      <c r="G519" s="2"/>
      <c r="H519" s="6"/>
      <c r="I519" s="7"/>
      <c r="J519" s="2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2"/>
      <c r="C520" s="3"/>
      <c r="D520" s="4"/>
      <c r="E520" s="5"/>
      <c r="F520" s="5"/>
      <c r="G520" s="2"/>
      <c r="H520" s="6"/>
      <c r="I520" s="7"/>
      <c r="J520" s="2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2"/>
      <c r="C521" s="3"/>
      <c r="D521" s="4"/>
      <c r="E521" s="5"/>
      <c r="F521" s="5"/>
      <c r="G521" s="2"/>
      <c r="H521" s="6"/>
      <c r="I521" s="7"/>
      <c r="J521" s="2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2"/>
      <c r="C522" s="3"/>
      <c r="D522" s="4"/>
      <c r="E522" s="5"/>
      <c r="F522" s="5"/>
      <c r="G522" s="2"/>
      <c r="H522" s="6"/>
      <c r="I522" s="7"/>
      <c r="J522" s="2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2"/>
      <c r="C523" s="3"/>
      <c r="D523" s="4"/>
      <c r="E523" s="5"/>
      <c r="F523" s="5"/>
      <c r="G523" s="2"/>
      <c r="H523" s="6"/>
      <c r="I523" s="7"/>
      <c r="J523" s="2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2"/>
      <c r="C524" s="3"/>
      <c r="D524" s="4"/>
      <c r="E524" s="5"/>
      <c r="F524" s="5"/>
      <c r="G524" s="2"/>
      <c r="H524" s="6"/>
      <c r="I524" s="7"/>
      <c r="J524" s="2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2"/>
      <c r="C525" s="3"/>
      <c r="D525" s="4"/>
      <c r="E525" s="5"/>
      <c r="F525" s="5"/>
      <c r="G525" s="2"/>
      <c r="H525" s="6"/>
      <c r="I525" s="7"/>
      <c r="J525" s="2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2"/>
      <c r="C526" s="3"/>
      <c r="D526" s="4"/>
      <c r="E526" s="5"/>
      <c r="F526" s="5"/>
      <c r="G526" s="2"/>
      <c r="H526" s="6"/>
      <c r="I526" s="7"/>
      <c r="J526" s="2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2"/>
      <c r="C527" s="3"/>
      <c r="D527" s="4"/>
      <c r="E527" s="5"/>
      <c r="F527" s="5"/>
      <c r="G527" s="2"/>
      <c r="H527" s="6"/>
      <c r="I527" s="7"/>
      <c r="J527" s="2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2"/>
      <c r="C528" s="3"/>
      <c r="D528" s="4"/>
      <c r="E528" s="5"/>
      <c r="F528" s="5"/>
      <c r="G528" s="2"/>
      <c r="H528" s="6"/>
      <c r="I528" s="7"/>
      <c r="J528" s="2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2"/>
      <c r="C529" s="3"/>
      <c r="D529" s="4"/>
      <c r="E529" s="5"/>
      <c r="F529" s="5"/>
      <c r="G529" s="2"/>
      <c r="H529" s="6"/>
      <c r="I529" s="7"/>
      <c r="J529" s="2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2"/>
      <c r="C530" s="3"/>
      <c r="D530" s="4"/>
      <c r="E530" s="5"/>
      <c r="F530" s="5"/>
      <c r="G530" s="2"/>
      <c r="H530" s="6"/>
      <c r="I530" s="7"/>
      <c r="J530" s="2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2"/>
      <c r="C531" s="3"/>
      <c r="D531" s="4"/>
      <c r="E531" s="5"/>
      <c r="F531" s="5"/>
      <c r="G531" s="2"/>
      <c r="H531" s="6"/>
      <c r="I531" s="7"/>
      <c r="J531" s="2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2"/>
      <c r="C532" s="3"/>
      <c r="D532" s="4"/>
      <c r="E532" s="5"/>
      <c r="F532" s="5"/>
      <c r="G532" s="2"/>
      <c r="H532" s="6"/>
      <c r="I532" s="7"/>
      <c r="J532" s="2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2"/>
      <c r="C533" s="3"/>
      <c r="D533" s="4"/>
      <c r="E533" s="5"/>
      <c r="F533" s="5"/>
      <c r="G533" s="2"/>
      <c r="H533" s="6"/>
      <c r="I533" s="7"/>
      <c r="J533" s="2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2"/>
      <c r="C534" s="3"/>
      <c r="D534" s="4"/>
      <c r="E534" s="5"/>
      <c r="F534" s="5"/>
      <c r="G534" s="2"/>
      <c r="H534" s="6"/>
      <c r="I534" s="7"/>
      <c r="J534" s="2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2"/>
      <c r="C535" s="3"/>
      <c r="D535" s="4"/>
      <c r="E535" s="5"/>
      <c r="F535" s="5"/>
      <c r="G535" s="2"/>
      <c r="H535" s="6"/>
      <c r="I535" s="7"/>
      <c r="J535" s="2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2"/>
      <c r="C536" s="3"/>
      <c r="D536" s="4"/>
      <c r="E536" s="5"/>
      <c r="F536" s="5"/>
      <c r="G536" s="2"/>
      <c r="H536" s="6"/>
      <c r="I536" s="7"/>
      <c r="J536" s="2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2"/>
      <c r="C537" s="3"/>
      <c r="D537" s="4"/>
      <c r="E537" s="5"/>
      <c r="F537" s="5"/>
      <c r="G537" s="2"/>
      <c r="H537" s="6"/>
      <c r="I537" s="7"/>
      <c r="J537" s="2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2"/>
      <c r="C538" s="3"/>
      <c r="D538" s="4"/>
      <c r="E538" s="5"/>
      <c r="F538" s="5"/>
      <c r="G538" s="2"/>
      <c r="H538" s="6"/>
      <c r="I538" s="7"/>
      <c r="J538" s="2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2"/>
      <c r="C539" s="3"/>
      <c r="D539" s="4"/>
      <c r="E539" s="5"/>
      <c r="F539" s="5"/>
      <c r="G539" s="2"/>
      <c r="H539" s="6"/>
      <c r="I539" s="7"/>
      <c r="J539" s="2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2"/>
      <c r="C540" s="3"/>
      <c r="D540" s="4"/>
      <c r="E540" s="5"/>
      <c r="F540" s="5"/>
      <c r="G540" s="2"/>
      <c r="H540" s="6"/>
      <c r="I540" s="7"/>
      <c r="J540" s="2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2"/>
      <c r="C541" s="3"/>
      <c r="D541" s="4"/>
      <c r="E541" s="5"/>
      <c r="F541" s="5"/>
      <c r="G541" s="2"/>
      <c r="H541" s="6"/>
      <c r="I541" s="7"/>
      <c r="J541" s="2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2"/>
      <c r="C542" s="3"/>
      <c r="D542" s="4"/>
      <c r="E542" s="5"/>
      <c r="F542" s="5"/>
      <c r="G542" s="2"/>
      <c r="H542" s="6"/>
      <c r="I542" s="7"/>
      <c r="J542" s="2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2"/>
      <c r="C543" s="3"/>
      <c r="D543" s="4"/>
      <c r="E543" s="5"/>
      <c r="F543" s="5"/>
      <c r="G543" s="2"/>
      <c r="H543" s="6"/>
      <c r="I543" s="7"/>
      <c r="J543" s="2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2"/>
      <c r="C544" s="3"/>
      <c r="D544" s="4"/>
      <c r="E544" s="5"/>
      <c r="F544" s="5"/>
      <c r="G544" s="2"/>
      <c r="H544" s="6"/>
      <c r="I544" s="7"/>
      <c r="J544" s="2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2"/>
      <c r="C545" s="3"/>
      <c r="D545" s="4"/>
      <c r="E545" s="5"/>
      <c r="F545" s="5"/>
      <c r="G545" s="2"/>
      <c r="H545" s="6"/>
      <c r="I545" s="7"/>
      <c r="J545" s="2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2"/>
      <c r="C546" s="3"/>
      <c r="D546" s="4"/>
      <c r="E546" s="5"/>
      <c r="F546" s="5"/>
      <c r="G546" s="2"/>
      <c r="H546" s="6"/>
      <c r="I546" s="7"/>
      <c r="J546" s="2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2"/>
      <c r="C547" s="3"/>
      <c r="D547" s="4"/>
      <c r="E547" s="5"/>
      <c r="F547" s="5"/>
      <c r="G547" s="2"/>
      <c r="H547" s="6"/>
      <c r="I547" s="7"/>
      <c r="J547" s="2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2"/>
      <c r="C548" s="3"/>
      <c r="D548" s="4"/>
      <c r="E548" s="5"/>
      <c r="F548" s="5"/>
      <c r="G548" s="2"/>
      <c r="H548" s="6"/>
      <c r="I548" s="7"/>
      <c r="J548" s="2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2"/>
      <c r="C549" s="3"/>
      <c r="D549" s="4"/>
      <c r="E549" s="5"/>
      <c r="F549" s="5"/>
      <c r="G549" s="2"/>
      <c r="H549" s="6"/>
      <c r="I549" s="7"/>
      <c r="J549" s="2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2"/>
      <c r="C550" s="3"/>
      <c r="D550" s="4"/>
      <c r="E550" s="5"/>
      <c r="F550" s="5"/>
      <c r="G550" s="2"/>
      <c r="H550" s="6"/>
      <c r="I550" s="7"/>
      <c r="J550" s="2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2"/>
      <c r="C551" s="3"/>
      <c r="D551" s="4"/>
      <c r="E551" s="5"/>
      <c r="F551" s="5"/>
      <c r="G551" s="2"/>
      <c r="H551" s="6"/>
      <c r="I551" s="7"/>
      <c r="J551" s="2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2"/>
      <c r="C552" s="3"/>
      <c r="D552" s="4"/>
      <c r="E552" s="5"/>
      <c r="F552" s="5"/>
      <c r="G552" s="2"/>
      <c r="H552" s="6"/>
      <c r="I552" s="7"/>
      <c r="J552" s="2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2"/>
      <c r="C553" s="3"/>
      <c r="D553" s="4"/>
      <c r="E553" s="5"/>
      <c r="F553" s="5"/>
      <c r="G553" s="2"/>
      <c r="H553" s="6"/>
      <c r="I553" s="7"/>
      <c r="J553" s="2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2"/>
      <c r="C554" s="3"/>
      <c r="D554" s="4"/>
      <c r="E554" s="5"/>
      <c r="F554" s="5"/>
      <c r="G554" s="2"/>
      <c r="H554" s="6"/>
      <c r="I554" s="7"/>
      <c r="J554" s="2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2"/>
      <c r="C555" s="3"/>
      <c r="D555" s="4"/>
      <c r="E555" s="5"/>
      <c r="F555" s="5"/>
      <c r="G555" s="2"/>
      <c r="H555" s="6"/>
      <c r="I555" s="7"/>
      <c r="J555" s="2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2"/>
      <c r="C556" s="3"/>
      <c r="D556" s="4"/>
      <c r="E556" s="5"/>
      <c r="F556" s="5"/>
      <c r="G556" s="2"/>
      <c r="H556" s="6"/>
      <c r="I556" s="7"/>
      <c r="J556" s="2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2"/>
      <c r="C557" s="3"/>
      <c r="D557" s="4"/>
      <c r="E557" s="5"/>
      <c r="F557" s="5"/>
      <c r="G557" s="2"/>
      <c r="H557" s="6"/>
      <c r="I557" s="7"/>
      <c r="J557" s="2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2"/>
      <c r="C558" s="3"/>
      <c r="D558" s="4"/>
      <c r="E558" s="5"/>
      <c r="F558" s="5"/>
      <c r="G558" s="2"/>
      <c r="H558" s="6"/>
      <c r="I558" s="7"/>
      <c r="J558" s="2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2"/>
      <c r="C559" s="3"/>
      <c r="D559" s="4"/>
      <c r="E559" s="5"/>
      <c r="F559" s="5"/>
      <c r="G559" s="2"/>
      <c r="H559" s="6"/>
      <c r="I559" s="7"/>
      <c r="J559" s="2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2"/>
      <c r="C560" s="3"/>
      <c r="D560" s="4"/>
      <c r="E560" s="5"/>
      <c r="F560" s="5"/>
      <c r="G560" s="2"/>
      <c r="H560" s="6"/>
      <c r="I560" s="7"/>
      <c r="J560" s="2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2"/>
      <c r="C561" s="3"/>
      <c r="D561" s="4"/>
      <c r="E561" s="5"/>
      <c r="F561" s="5"/>
      <c r="G561" s="2"/>
      <c r="H561" s="6"/>
      <c r="I561" s="7"/>
      <c r="J561" s="2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2"/>
      <c r="C562" s="3"/>
      <c r="D562" s="4"/>
      <c r="E562" s="5"/>
      <c r="F562" s="5"/>
      <c r="G562" s="2"/>
      <c r="H562" s="6"/>
      <c r="I562" s="7"/>
      <c r="J562" s="2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2"/>
      <c r="C563" s="3"/>
      <c r="D563" s="4"/>
      <c r="E563" s="5"/>
      <c r="F563" s="5"/>
      <c r="G563" s="2"/>
      <c r="H563" s="6"/>
      <c r="I563" s="7"/>
      <c r="J563" s="2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2"/>
      <c r="C564" s="3"/>
      <c r="D564" s="4"/>
      <c r="E564" s="5"/>
      <c r="F564" s="5"/>
      <c r="G564" s="2"/>
      <c r="H564" s="6"/>
      <c r="I564" s="7"/>
      <c r="J564" s="2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2"/>
      <c r="C565" s="3"/>
      <c r="D565" s="4"/>
      <c r="E565" s="5"/>
      <c r="F565" s="5"/>
      <c r="G565" s="2"/>
      <c r="H565" s="6"/>
      <c r="I565" s="7"/>
      <c r="J565" s="2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2"/>
      <c r="C566" s="3"/>
      <c r="D566" s="4"/>
      <c r="E566" s="5"/>
      <c r="F566" s="5"/>
      <c r="G566" s="2"/>
      <c r="H566" s="6"/>
      <c r="I566" s="7"/>
      <c r="J566" s="2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2"/>
      <c r="C567" s="3"/>
      <c r="D567" s="4"/>
      <c r="E567" s="5"/>
      <c r="F567" s="5"/>
      <c r="G567" s="2"/>
      <c r="H567" s="6"/>
      <c r="I567" s="7"/>
      <c r="J567" s="2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2"/>
      <c r="C568" s="3"/>
      <c r="D568" s="4"/>
      <c r="E568" s="5"/>
      <c r="F568" s="5"/>
      <c r="G568" s="2"/>
      <c r="H568" s="6"/>
      <c r="I568" s="7"/>
      <c r="J568" s="2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2"/>
      <c r="C569" s="3"/>
      <c r="D569" s="4"/>
      <c r="E569" s="5"/>
      <c r="F569" s="5"/>
      <c r="G569" s="2"/>
      <c r="H569" s="6"/>
      <c r="I569" s="7"/>
      <c r="J569" s="2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2"/>
      <c r="C570" s="3"/>
      <c r="D570" s="4"/>
      <c r="E570" s="5"/>
      <c r="F570" s="5"/>
      <c r="G570" s="2"/>
      <c r="H570" s="6"/>
      <c r="I570" s="7"/>
      <c r="J570" s="2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2"/>
      <c r="C571" s="3"/>
      <c r="D571" s="4"/>
      <c r="E571" s="5"/>
      <c r="F571" s="5"/>
      <c r="G571" s="2"/>
      <c r="H571" s="6"/>
      <c r="I571" s="7"/>
      <c r="J571" s="2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2"/>
      <c r="C572" s="3"/>
      <c r="D572" s="4"/>
      <c r="E572" s="5"/>
      <c r="F572" s="5"/>
      <c r="G572" s="2"/>
      <c r="H572" s="6"/>
      <c r="I572" s="7"/>
      <c r="J572" s="2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2"/>
      <c r="C573" s="3"/>
      <c r="D573" s="4"/>
      <c r="E573" s="5"/>
      <c r="F573" s="5"/>
      <c r="G573" s="2"/>
      <c r="H573" s="6"/>
      <c r="I573" s="7"/>
      <c r="J573" s="2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2"/>
      <c r="C574" s="3"/>
      <c r="D574" s="4"/>
      <c r="E574" s="5"/>
      <c r="F574" s="5"/>
      <c r="G574" s="2"/>
      <c r="H574" s="6"/>
      <c r="I574" s="7"/>
      <c r="J574" s="2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2"/>
      <c r="C575" s="3"/>
      <c r="D575" s="4"/>
      <c r="E575" s="5"/>
      <c r="F575" s="5"/>
      <c r="G575" s="2"/>
      <c r="H575" s="6"/>
      <c r="I575" s="7"/>
      <c r="J575" s="2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2"/>
      <c r="C576" s="3"/>
      <c r="D576" s="4"/>
      <c r="E576" s="5"/>
      <c r="F576" s="5"/>
      <c r="G576" s="2"/>
      <c r="H576" s="6"/>
      <c r="I576" s="7"/>
      <c r="J576" s="2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2"/>
      <c r="C577" s="3"/>
      <c r="D577" s="4"/>
      <c r="E577" s="5"/>
      <c r="F577" s="5"/>
      <c r="G577" s="2"/>
      <c r="H577" s="6"/>
      <c r="I577" s="7"/>
      <c r="J577" s="2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2"/>
      <c r="C578" s="3"/>
      <c r="D578" s="4"/>
      <c r="E578" s="5"/>
      <c r="F578" s="5"/>
      <c r="G578" s="2"/>
      <c r="H578" s="6"/>
      <c r="I578" s="7"/>
      <c r="J578" s="2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2"/>
      <c r="C579" s="3"/>
      <c r="D579" s="4"/>
      <c r="E579" s="5"/>
      <c r="F579" s="5"/>
      <c r="G579" s="2"/>
      <c r="H579" s="6"/>
      <c r="I579" s="7"/>
      <c r="J579" s="2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2"/>
      <c r="C580" s="3"/>
      <c r="D580" s="4"/>
      <c r="E580" s="5"/>
      <c r="F580" s="5"/>
      <c r="G580" s="2"/>
      <c r="H580" s="6"/>
      <c r="I580" s="7"/>
      <c r="J580" s="2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2"/>
      <c r="C581" s="3"/>
      <c r="D581" s="4"/>
      <c r="E581" s="5"/>
      <c r="F581" s="5"/>
      <c r="G581" s="2"/>
      <c r="H581" s="6"/>
      <c r="I581" s="7"/>
      <c r="J581" s="2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2"/>
      <c r="C582" s="3"/>
      <c r="D582" s="4"/>
      <c r="E582" s="5"/>
      <c r="F582" s="5"/>
      <c r="G582" s="2"/>
      <c r="H582" s="6"/>
      <c r="I582" s="7"/>
      <c r="J582" s="2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2"/>
      <c r="C583" s="3"/>
      <c r="D583" s="4"/>
      <c r="E583" s="5"/>
      <c r="F583" s="5"/>
      <c r="G583" s="2"/>
      <c r="H583" s="6"/>
      <c r="I583" s="7"/>
      <c r="J583" s="2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2"/>
      <c r="C584" s="3"/>
      <c r="D584" s="4"/>
      <c r="E584" s="5"/>
      <c r="F584" s="5"/>
      <c r="G584" s="2"/>
      <c r="H584" s="6"/>
      <c r="I584" s="7"/>
      <c r="J584" s="2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2"/>
      <c r="C585" s="3"/>
      <c r="D585" s="4"/>
      <c r="E585" s="5"/>
      <c r="F585" s="5"/>
      <c r="G585" s="2"/>
      <c r="H585" s="6"/>
      <c r="I585" s="7"/>
      <c r="J585" s="2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2"/>
      <c r="C586" s="3"/>
      <c r="D586" s="4"/>
      <c r="E586" s="5"/>
      <c r="F586" s="5"/>
      <c r="G586" s="2"/>
      <c r="H586" s="6"/>
      <c r="I586" s="7"/>
      <c r="J586" s="2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2"/>
      <c r="C587" s="3"/>
      <c r="D587" s="4"/>
      <c r="E587" s="5"/>
      <c r="F587" s="5"/>
      <c r="G587" s="2"/>
      <c r="H587" s="6"/>
      <c r="I587" s="7"/>
      <c r="J587" s="2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2"/>
      <c r="C588" s="3"/>
      <c r="D588" s="4"/>
      <c r="E588" s="5"/>
      <c r="F588" s="5"/>
      <c r="G588" s="2"/>
      <c r="H588" s="6"/>
      <c r="I588" s="7"/>
      <c r="J588" s="2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2"/>
      <c r="C589" s="3"/>
      <c r="D589" s="4"/>
      <c r="E589" s="5"/>
      <c r="F589" s="5"/>
      <c r="G589" s="2"/>
      <c r="H589" s="6"/>
      <c r="I589" s="7"/>
      <c r="J589" s="2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2"/>
      <c r="C590" s="3"/>
      <c r="D590" s="4"/>
      <c r="E590" s="5"/>
      <c r="F590" s="5"/>
      <c r="G590" s="2"/>
      <c r="H590" s="6"/>
      <c r="I590" s="7"/>
      <c r="J590" s="2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2"/>
      <c r="C591" s="3"/>
      <c r="D591" s="4"/>
      <c r="E591" s="5"/>
      <c r="F591" s="5"/>
      <c r="G591" s="2"/>
      <c r="H591" s="6"/>
      <c r="I591" s="7"/>
      <c r="J591" s="2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2"/>
      <c r="C592" s="3"/>
      <c r="D592" s="4"/>
      <c r="E592" s="5"/>
      <c r="F592" s="5"/>
      <c r="G592" s="2"/>
      <c r="H592" s="6"/>
      <c r="I592" s="7"/>
      <c r="J592" s="2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2"/>
      <c r="C593" s="3"/>
      <c r="D593" s="4"/>
      <c r="E593" s="5"/>
      <c r="F593" s="5"/>
      <c r="G593" s="2"/>
      <c r="H593" s="6"/>
      <c r="I593" s="7"/>
      <c r="J593" s="2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2"/>
      <c r="C594" s="3"/>
      <c r="D594" s="4"/>
      <c r="E594" s="5"/>
      <c r="F594" s="5"/>
      <c r="G594" s="2"/>
      <c r="H594" s="6"/>
      <c r="I594" s="7"/>
      <c r="J594" s="2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2"/>
      <c r="C595" s="3"/>
      <c r="D595" s="4"/>
      <c r="E595" s="5"/>
      <c r="F595" s="5"/>
      <c r="G595" s="2"/>
      <c r="H595" s="6"/>
      <c r="I595" s="7"/>
      <c r="J595" s="2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2"/>
      <c r="C596" s="3"/>
      <c r="D596" s="4"/>
      <c r="E596" s="5"/>
      <c r="F596" s="5"/>
      <c r="G596" s="2"/>
      <c r="H596" s="6"/>
      <c r="I596" s="7"/>
      <c r="J596" s="2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2"/>
      <c r="C597" s="3"/>
      <c r="D597" s="4"/>
      <c r="E597" s="5"/>
      <c r="F597" s="5"/>
      <c r="G597" s="2"/>
      <c r="H597" s="6"/>
      <c r="I597" s="7"/>
      <c r="J597" s="2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2"/>
      <c r="C598" s="3"/>
      <c r="D598" s="4"/>
      <c r="E598" s="5"/>
      <c r="F598" s="5"/>
      <c r="G598" s="2"/>
      <c r="H598" s="6"/>
      <c r="I598" s="7"/>
      <c r="J598" s="2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2"/>
      <c r="C599" s="3"/>
      <c r="D599" s="4"/>
      <c r="E599" s="5"/>
      <c r="F599" s="5"/>
      <c r="G599" s="2"/>
      <c r="H599" s="6"/>
      <c r="I599" s="7"/>
      <c r="J599" s="2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2"/>
      <c r="C600" s="3"/>
      <c r="D600" s="4"/>
      <c r="E600" s="5"/>
      <c r="F600" s="5"/>
      <c r="G600" s="2"/>
      <c r="H600" s="6"/>
      <c r="I600" s="7"/>
      <c r="J600" s="2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2"/>
      <c r="C601" s="3"/>
      <c r="D601" s="4"/>
      <c r="E601" s="5"/>
      <c r="F601" s="5"/>
      <c r="G601" s="2"/>
      <c r="H601" s="6"/>
      <c r="I601" s="7"/>
      <c r="J601" s="2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2"/>
      <c r="C602" s="3"/>
      <c r="D602" s="4"/>
      <c r="E602" s="5"/>
      <c r="F602" s="5"/>
      <c r="G602" s="2"/>
      <c r="H602" s="6"/>
      <c r="I602" s="7"/>
      <c r="J602" s="2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2"/>
      <c r="C603" s="3"/>
      <c r="D603" s="4"/>
      <c r="E603" s="5"/>
      <c r="F603" s="5"/>
      <c r="G603" s="2"/>
      <c r="H603" s="6"/>
      <c r="I603" s="7"/>
      <c r="J603" s="2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2"/>
      <c r="C604" s="3"/>
      <c r="D604" s="4"/>
      <c r="E604" s="5"/>
      <c r="F604" s="5"/>
      <c r="G604" s="2"/>
      <c r="H604" s="6"/>
      <c r="I604" s="7"/>
      <c r="J604" s="2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2"/>
      <c r="C605" s="3"/>
      <c r="D605" s="4"/>
      <c r="E605" s="5"/>
      <c r="F605" s="5"/>
      <c r="G605" s="2"/>
      <c r="H605" s="6"/>
      <c r="I605" s="7"/>
      <c r="J605" s="2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2"/>
      <c r="C606" s="3"/>
      <c r="D606" s="4"/>
      <c r="E606" s="5"/>
      <c r="F606" s="5"/>
      <c r="G606" s="2"/>
      <c r="H606" s="6"/>
      <c r="I606" s="7"/>
      <c r="J606" s="2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2"/>
      <c r="C607" s="3"/>
      <c r="D607" s="4"/>
      <c r="E607" s="5"/>
      <c r="F607" s="5"/>
      <c r="G607" s="2"/>
      <c r="H607" s="6"/>
      <c r="I607" s="7"/>
      <c r="J607" s="2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2"/>
      <c r="C608" s="3"/>
      <c r="D608" s="4"/>
      <c r="E608" s="5"/>
      <c r="F608" s="5"/>
      <c r="G608" s="2"/>
      <c r="H608" s="6"/>
      <c r="I608" s="7"/>
      <c r="J608" s="2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2"/>
      <c r="C609" s="3"/>
      <c r="D609" s="4"/>
      <c r="E609" s="5"/>
      <c r="F609" s="5"/>
      <c r="G609" s="2"/>
      <c r="H609" s="6"/>
      <c r="I609" s="7"/>
      <c r="J609" s="2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2"/>
      <c r="C610" s="3"/>
      <c r="D610" s="4"/>
      <c r="E610" s="5"/>
      <c r="F610" s="5"/>
      <c r="G610" s="2"/>
      <c r="H610" s="6"/>
      <c r="I610" s="7"/>
      <c r="J610" s="2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2"/>
      <c r="C611" s="3"/>
      <c r="D611" s="4"/>
      <c r="E611" s="5"/>
      <c r="F611" s="5"/>
      <c r="G611" s="2"/>
      <c r="H611" s="6"/>
      <c r="I611" s="7"/>
      <c r="J611" s="2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2"/>
      <c r="C612" s="3"/>
      <c r="D612" s="4"/>
      <c r="E612" s="5"/>
      <c r="F612" s="5"/>
      <c r="G612" s="2"/>
      <c r="H612" s="6"/>
      <c r="I612" s="7"/>
      <c r="J612" s="2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2"/>
      <c r="C613" s="3"/>
      <c r="D613" s="4"/>
      <c r="E613" s="5"/>
      <c r="F613" s="5"/>
      <c r="G613" s="2"/>
      <c r="H613" s="6"/>
      <c r="I613" s="7"/>
      <c r="J613" s="2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2"/>
      <c r="C614" s="3"/>
      <c r="D614" s="4"/>
      <c r="E614" s="5"/>
      <c r="F614" s="5"/>
      <c r="G614" s="2"/>
      <c r="H614" s="6"/>
      <c r="I614" s="7"/>
      <c r="J614" s="2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2"/>
      <c r="C615" s="3"/>
      <c r="D615" s="4"/>
      <c r="E615" s="5"/>
      <c r="F615" s="5"/>
      <c r="G615" s="2"/>
      <c r="H615" s="6"/>
      <c r="I615" s="7"/>
      <c r="J615" s="2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2"/>
      <c r="C616" s="3"/>
      <c r="D616" s="4"/>
      <c r="E616" s="5"/>
      <c r="F616" s="5"/>
      <c r="G616" s="2"/>
      <c r="H616" s="6"/>
      <c r="I616" s="7"/>
      <c r="J616" s="2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2"/>
      <c r="C617" s="3"/>
      <c r="D617" s="4"/>
      <c r="E617" s="5"/>
      <c r="F617" s="5"/>
      <c r="G617" s="2"/>
      <c r="H617" s="6"/>
      <c r="I617" s="7"/>
      <c r="J617" s="2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2"/>
      <c r="C618" s="3"/>
      <c r="D618" s="4"/>
      <c r="E618" s="5"/>
      <c r="F618" s="5"/>
      <c r="G618" s="2"/>
      <c r="H618" s="6"/>
      <c r="I618" s="7"/>
      <c r="J618" s="2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2"/>
      <c r="C619" s="3"/>
      <c r="D619" s="4"/>
      <c r="E619" s="5"/>
      <c r="F619" s="5"/>
      <c r="G619" s="2"/>
      <c r="H619" s="6"/>
      <c r="I619" s="7"/>
      <c r="J619" s="2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2"/>
      <c r="C620" s="3"/>
      <c r="D620" s="4"/>
      <c r="E620" s="5"/>
      <c r="F620" s="5"/>
      <c r="G620" s="2"/>
      <c r="H620" s="6"/>
      <c r="I620" s="7"/>
      <c r="J620" s="2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2"/>
      <c r="C621" s="3"/>
      <c r="D621" s="4"/>
      <c r="E621" s="5"/>
      <c r="F621" s="5"/>
      <c r="G621" s="2"/>
      <c r="H621" s="6"/>
      <c r="I621" s="7"/>
      <c r="J621" s="2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2"/>
      <c r="C622" s="3"/>
      <c r="D622" s="4"/>
      <c r="E622" s="5"/>
      <c r="F622" s="5"/>
      <c r="G622" s="2"/>
      <c r="H622" s="6"/>
      <c r="I622" s="7"/>
      <c r="J622" s="2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2"/>
      <c r="C623" s="3"/>
      <c r="D623" s="4"/>
      <c r="E623" s="5"/>
      <c r="F623" s="5"/>
      <c r="G623" s="2"/>
      <c r="H623" s="6"/>
      <c r="I623" s="7"/>
      <c r="J623" s="2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2"/>
      <c r="C624" s="3"/>
      <c r="D624" s="4"/>
      <c r="E624" s="5"/>
      <c r="F624" s="5"/>
      <c r="G624" s="2"/>
      <c r="H624" s="6"/>
      <c r="I624" s="7"/>
      <c r="J624" s="2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2"/>
      <c r="C625" s="3"/>
      <c r="D625" s="4"/>
      <c r="E625" s="5"/>
      <c r="F625" s="5"/>
      <c r="G625" s="2"/>
      <c r="H625" s="6"/>
      <c r="I625" s="7"/>
      <c r="J625" s="2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2"/>
      <c r="C626" s="3"/>
      <c r="D626" s="4"/>
      <c r="E626" s="5"/>
      <c r="F626" s="5"/>
      <c r="G626" s="2"/>
      <c r="H626" s="6"/>
      <c r="I626" s="7"/>
      <c r="J626" s="2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2"/>
      <c r="C627" s="3"/>
      <c r="D627" s="4"/>
      <c r="E627" s="5"/>
      <c r="F627" s="5"/>
      <c r="G627" s="2"/>
      <c r="H627" s="6"/>
      <c r="I627" s="7"/>
      <c r="J627" s="2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2"/>
      <c r="C628" s="3"/>
      <c r="D628" s="4"/>
      <c r="E628" s="5"/>
      <c r="F628" s="5"/>
      <c r="G628" s="2"/>
      <c r="H628" s="6"/>
      <c r="I628" s="7"/>
      <c r="J628" s="2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2"/>
      <c r="C629" s="3"/>
      <c r="D629" s="4"/>
      <c r="E629" s="5"/>
      <c r="F629" s="5"/>
      <c r="G629" s="2"/>
      <c r="H629" s="6"/>
      <c r="I629" s="7"/>
      <c r="J629" s="2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2"/>
      <c r="C630" s="3"/>
      <c r="D630" s="4"/>
      <c r="E630" s="5"/>
      <c r="F630" s="5"/>
      <c r="G630" s="2"/>
      <c r="H630" s="6"/>
      <c r="I630" s="7"/>
      <c r="J630" s="2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2"/>
      <c r="C631" s="3"/>
      <c r="D631" s="4"/>
      <c r="E631" s="5"/>
      <c r="F631" s="5"/>
      <c r="G631" s="2"/>
      <c r="H631" s="6"/>
      <c r="I631" s="7"/>
      <c r="J631" s="2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2"/>
      <c r="C632" s="3"/>
      <c r="D632" s="4"/>
      <c r="E632" s="5"/>
      <c r="F632" s="5"/>
      <c r="G632" s="2"/>
      <c r="H632" s="6"/>
      <c r="I632" s="7"/>
      <c r="J632" s="2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2"/>
      <c r="C633" s="3"/>
      <c r="D633" s="4"/>
      <c r="E633" s="5"/>
      <c r="F633" s="5"/>
      <c r="G633" s="2"/>
      <c r="H633" s="6"/>
      <c r="I633" s="7"/>
      <c r="J633" s="2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2"/>
      <c r="C634" s="3"/>
      <c r="D634" s="4"/>
      <c r="E634" s="5"/>
      <c r="F634" s="5"/>
      <c r="G634" s="2"/>
      <c r="H634" s="6"/>
      <c r="I634" s="7"/>
      <c r="J634" s="2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2"/>
      <c r="C635" s="3"/>
      <c r="D635" s="4"/>
      <c r="E635" s="5"/>
      <c r="F635" s="5"/>
      <c r="G635" s="2"/>
      <c r="H635" s="6"/>
      <c r="I635" s="7"/>
      <c r="J635" s="2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2"/>
      <c r="C636" s="3"/>
      <c r="D636" s="4"/>
      <c r="E636" s="5"/>
      <c r="F636" s="5"/>
      <c r="G636" s="2"/>
      <c r="H636" s="6"/>
      <c r="I636" s="7"/>
      <c r="J636" s="2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2"/>
      <c r="C637" s="3"/>
      <c r="D637" s="4"/>
      <c r="E637" s="5"/>
      <c r="F637" s="5"/>
      <c r="G637" s="2"/>
      <c r="H637" s="6"/>
      <c r="I637" s="7"/>
      <c r="J637" s="2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2"/>
      <c r="C638" s="3"/>
      <c r="D638" s="4"/>
      <c r="E638" s="5"/>
      <c r="F638" s="5"/>
      <c r="G638" s="2"/>
      <c r="H638" s="6"/>
      <c r="I638" s="7"/>
      <c r="J638" s="2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2"/>
      <c r="C639" s="3"/>
      <c r="D639" s="4"/>
      <c r="E639" s="5"/>
      <c r="F639" s="5"/>
      <c r="G639" s="2"/>
      <c r="H639" s="6"/>
      <c r="I639" s="7"/>
      <c r="J639" s="2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2"/>
      <c r="C640" s="3"/>
      <c r="D640" s="4"/>
      <c r="E640" s="5"/>
      <c r="F640" s="5"/>
      <c r="G640" s="2"/>
      <c r="H640" s="6"/>
      <c r="I640" s="7"/>
      <c r="J640" s="2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2"/>
      <c r="C641" s="3"/>
      <c r="D641" s="4"/>
      <c r="E641" s="5"/>
      <c r="F641" s="5"/>
      <c r="G641" s="2"/>
      <c r="H641" s="6"/>
      <c r="I641" s="7"/>
      <c r="J641" s="2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2"/>
      <c r="C642" s="3"/>
      <c r="D642" s="4"/>
      <c r="E642" s="5"/>
      <c r="F642" s="5"/>
      <c r="G642" s="2"/>
      <c r="H642" s="6"/>
      <c r="I642" s="7"/>
      <c r="J642" s="2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2"/>
      <c r="C643" s="3"/>
      <c r="D643" s="4"/>
      <c r="E643" s="5"/>
      <c r="F643" s="5"/>
      <c r="G643" s="2"/>
      <c r="H643" s="6"/>
      <c r="I643" s="7"/>
      <c r="J643" s="2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2"/>
      <c r="C644" s="3"/>
      <c r="D644" s="4"/>
      <c r="E644" s="5"/>
      <c r="F644" s="5"/>
      <c r="G644" s="2"/>
      <c r="H644" s="6"/>
      <c r="I644" s="7"/>
      <c r="J644" s="2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2"/>
      <c r="C645" s="3"/>
      <c r="D645" s="4"/>
      <c r="E645" s="5"/>
      <c r="F645" s="5"/>
      <c r="G645" s="2"/>
      <c r="H645" s="6"/>
      <c r="I645" s="7"/>
      <c r="J645" s="2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2"/>
      <c r="C646" s="3"/>
      <c r="D646" s="4"/>
      <c r="E646" s="5"/>
      <c r="F646" s="5"/>
      <c r="G646" s="2"/>
      <c r="H646" s="6"/>
      <c r="I646" s="7"/>
      <c r="J646" s="2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2"/>
      <c r="C647" s="3"/>
      <c r="D647" s="4"/>
      <c r="E647" s="5"/>
      <c r="F647" s="5"/>
      <c r="G647" s="2"/>
      <c r="H647" s="6"/>
      <c r="I647" s="7"/>
      <c r="J647" s="2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2"/>
      <c r="C648" s="3"/>
      <c r="D648" s="4"/>
      <c r="E648" s="5"/>
      <c r="F648" s="5"/>
      <c r="G648" s="2"/>
      <c r="H648" s="6"/>
      <c r="I648" s="7"/>
      <c r="J648" s="2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2"/>
      <c r="C649" s="3"/>
      <c r="D649" s="4"/>
      <c r="E649" s="5"/>
      <c r="F649" s="5"/>
      <c r="G649" s="2"/>
      <c r="H649" s="6"/>
      <c r="I649" s="7"/>
      <c r="J649" s="2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2"/>
      <c r="C650" s="3"/>
      <c r="D650" s="4"/>
      <c r="E650" s="5"/>
      <c r="F650" s="5"/>
      <c r="G650" s="2"/>
      <c r="H650" s="6"/>
      <c r="I650" s="7"/>
      <c r="J650" s="2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2"/>
      <c r="C651" s="3"/>
      <c r="D651" s="4"/>
      <c r="E651" s="5"/>
      <c r="F651" s="5"/>
      <c r="G651" s="2"/>
      <c r="H651" s="6"/>
      <c r="I651" s="7"/>
      <c r="J651" s="2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2"/>
      <c r="C652" s="3"/>
      <c r="D652" s="4"/>
      <c r="E652" s="5"/>
      <c r="F652" s="5"/>
      <c r="G652" s="2"/>
      <c r="H652" s="6"/>
      <c r="I652" s="7"/>
      <c r="J652" s="2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2"/>
      <c r="C653" s="3"/>
      <c r="D653" s="4"/>
      <c r="E653" s="5"/>
      <c r="F653" s="5"/>
      <c r="G653" s="2"/>
      <c r="H653" s="6"/>
      <c r="I653" s="7"/>
      <c r="J653" s="2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2"/>
      <c r="C654" s="3"/>
      <c r="D654" s="4"/>
      <c r="E654" s="5"/>
      <c r="F654" s="5"/>
      <c r="G654" s="2"/>
      <c r="H654" s="6"/>
      <c r="I654" s="7"/>
      <c r="J654" s="2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2"/>
      <c r="C655" s="3"/>
      <c r="D655" s="4"/>
      <c r="E655" s="5"/>
      <c r="F655" s="5"/>
      <c r="G655" s="2"/>
      <c r="H655" s="6"/>
      <c r="I655" s="7"/>
      <c r="J655" s="2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2"/>
      <c r="C656" s="3"/>
      <c r="D656" s="4"/>
      <c r="E656" s="5"/>
      <c r="F656" s="5"/>
      <c r="G656" s="2"/>
      <c r="H656" s="6"/>
      <c r="I656" s="7"/>
      <c r="J656" s="2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2"/>
      <c r="C657" s="3"/>
      <c r="D657" s="4"/>
      <c r="E657" s="5"/>
      <c r="F657" s="5"/>
      <c r="G657" s="2"/>
      <c r="H657" s="6"/>
      <c r="I657" s="7"/>
      <c r="J657" s="2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2"/>
      <c r="C658" s="3"/>
      <c r="D658" s="4"/>
      <c r="E658" s="5"/>
      <c r="F658" s="5"/>
      <c r="G658" s="2"/>
      <c r="H658" s="6"/>
      <c r="I658" s="7"/>
      <c r="J658" s="2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2"/>
      <c r="C659" s="3"/>
      <c r="D659" s="4"/>
      <c r="E659" s="5"/>
      <c r="F659" s="5"/>
      <c r="G659" s="2"/>
      <c r="H659" s="6"/>
      <c r="I659" s="7"/>
      <c r="J659" s="2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2"/>
      <c r="C660" s="3"/>
      <c r="D660" s="4"/>
      <c r="E660" s="5"/>
      <c r="F660" s="5"/>
      <c r="G660" s="2"/>
      <c r="H660" s="6"/>
      <c r="I660" s="7"/>
      <c r="J660" s="2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2"/>
      <c r="C661" s="3"/>
      <c r="D661" s="4"/>
      <c r="E661" s="5"/>
      <c r="F661" s="5"/>
      <c r="G661" s="2"/>
      <c r="H661" s="6"/>
      <c r="I661" s="7"/>
      <c r="J661" s="2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2"/>
      <c r="C662" s="3"/>
      <c r="D662" s="4"/>
      <c r="E662" s="5"/>
      <c r="F662" s="5"/>
      <c r="G662" s="2"/>
      <c r="H662" s="6"/>
      <c r="I662" s="7"/>
      <c r="J662" s="2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2"/>
      <c r="C663" s="3"/>
      <c r="D663" s="4"/>
      <c r="E663" s="5"/>
      <c r="F663" s="5"/>
      <c r="G663" s="2"/>
      <c r="H663" s="6"/>
      <c r="I663" s="7"/>
      <c r="J663" s="2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2"/>
      <c r="C664" s="3"/>
      <c r="D664" s="4"/>
      <c r="E664" s="5"/>
      <c r="F664" s="5"/>
      <c r="G664" s="2"/>
      <c r="H664" s="6"/>
      <c r="I664" s="7"/>
      <c r="J664" s="2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2"/>
      <c r="C665" s="3"/>
      <c r="D665" s="4"/>
      <c r="E665" s="5"/>
      <c r="F665" s="5"/>
      <c r="G665" s="2"/>
      <c r="H665" s="6"/>
      <c r="I665" s="7"/>
      <c r="J665" s="2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2"/>
      <c r="C666" s="3"/>
      <c r="D666" s="4"/>
      <c r="E666" s="5"/>
      <c r="F666" s="5"/>
      <c r="G666" s="2"/>
      <c r="H666" s="6"/>
      <c r="I666" s="7"/>
      <c r="J666" s="2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2"/>
      <c r="C667" s="3"/>
      <c r="D667" s="4"/>
      <c r="E667" s="5"/>
      <c r="F667" s="5"/>
      <c r="G667" s="2"/>
      <c r="H667" s="6"/>
      <c r="I667" s="7"/>
      <c r="J667" s="2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2"/>
      <c r="C668" s="3"/>
      <c r="D668" s="4"/>
      <c r="E668" s="5"/>
      <c r="F668" s="5"/>
      <c r="G668" s="2"/>
      <c r="H668" s="6"/>
      <c r="I668" s="7"/>
      <c r="J668" s="2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2"/>
      <c r="C669" s="3"/>
      <c r="D669" s="4"/>
      <c r="E669" s="5"/>
      <c r="F669" s="5"/>
      <c r="G669" s="2"/>
      <c r="H669" s="6"/>
      <c r="I669" s="7"/>
      <c r="J669" s="2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2"/>
      <c r="C670" s="3"/>
      <c r="D670" s="4"/>
      <c r="E670" s="5"/>
      <c r="F670" s="5"/>
      <c r="G670" s="2"/>
      <c r="H670" s="6"/>
      <c r="I670" s="7"/>
      <c r="J670" s="2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2"/>
      <c r="C671" s="3"/>
      <c r="D671" s="4"/>
      <c r="E671" s="5"/>
      <c r="F671" s="5"/>
      <c r="G671" s="2"/>
      <c r="H671" s="6"/>
      <c r="I671" s="7"/>
      <c r="J671" s="2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2"/>
      <c r="C672" s="3"/>
      <c r="D672" s="4"/>
      <c r="E672" s="5"/>
      <c r="F672" s="5"/>
      <c r="G672" s="2"/>
      <c r="H672" s="6"/>
      <c r="I672" s="7"/>
      <c r="J672" s="2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2"/>
      <c r="C673" s="3"/>
      <c r="D673" s="4"/>
      <c r="E673" s="5"/>
      <c r="F673" s="5"/>
      <c r="G673" s="2"/>
      <c r="H673" s="6"/>
      <c r="I673" s="7"/>
      <c r="J673" s="2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2"/>
      <c r="C674" s="3"/>
      <c r="D674" s="4"/>
      <c r="E674" s="5"/>
      <c r="F674" s="5"/>
      <c r="G674" s="2"/>
      <c r="H674" s="6"/>
      <c r="I674" s="7"/>
      <c r="J674" s="2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2"/>
      <c r="C675" s="3"/>
      <c r="D675" s="4"/>
      <c r="E675" s="5"/>
      <c r="F675" s="5"/>
      <c r="G675" s="2"/>
      <c r="H675" s="6"/>
      <c r="I675" s="7"/>
      <c r="J675" s="2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2"/>
      <c r="C676" s="3"/>
      <c r="D676" s="4"/>
      <c r="E676" s="5"/>
      <c r="F676" s="5"/>
      <c r="G676" s="2"/>
      <c r="H676" s="6"/>
      <c r="I676" s="7"/>
      <c r="J676" s="2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2"/>
      <c r="C677" s="3"/>
      <c r="D677" s="4"/>
      <c r="E677" s="5"/>
      <c r="F677" s="5"/>
      <c r="G677" s="2"/>
      <c r="H677" s="6"/>
      <c r="I677" s="7"/>
      <c r="J677" s="2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2"/>
      <c r="C678" s="3"/>
      <c r="D678" s="4"/>
      <c r="E678" s="5"/>
      <c r="F678" s="5"/>
      <c r="G678" s="2"/>
      <c r="H678" s="6"/>
      <c r="I678" s="7"/>
      <c r="J678" s="2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2"/>
      <c r="C679" s="3"/>
      <c r="D679" s="4"/>
      <c r="E679" s="5"/>
      <c r="F679" s="5"/>
      <c r="G679" s="2"/>
      <c r="H679" s="6"/>
      <c r="I679" s="7"/>
      <c r="J679" s="2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2"/>
      <c r="C680" s="3"/>
      <c r="D680" s="4"/>
      <c r="E680" s="5"/>
      <c r="F680" s="5"/>
      <c r="G680" s="2"/>
      <c r="H680" s="6"/>
      <c r="I680" s="7"/>
      <c r="J680" s="2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2"/>
      <c r="C681" s="3"/>
      <c r="D681" s="4"/>
      <c r="E681" s="5"/>
      <c r="F681" s="5"/>
      <c r="G681" s="2"/>
      <c r="H681" s="6"/>
      <c r="I681" s="7"/>
      <c r="J681" s="2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2"/>
      <c r="C682" s="3"/>
      <c r="D682" s="4"/>
      <c r="E682" s="5"/>
      <c r="F682" s="5"/>
      <c r="G682" s="2"/>
      <c r="H682" s="6"/>
      <c r="I682" s="7"/>
      <c r="J682" s="2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2"/>
      <c r="C683" s="3"/>
      <c r="D683" s="4"/>
      <c r="E683" s="5"/>
      <c r="F683" s="5"/>
      <c r="G683" s="2"/>
      <c r="H683" s="6"/>
      <c r="I683" s="7"/>
      <c r="J683" s="2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2"/>
      <c r="C684" s="3"/>
      <c r="D684" s="4"/>
      <c r="E684" s="5"/>
      <c r="F684" s="5"/>
      <c r="G684" s="2"/>
      <c r="H684" s="6"/>
      <c r="I684" s="7"/>
      <c r="J684" s="2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2"/>
      <c r="C685" s="3"/>
      <c r="D685" s="4"/>
      <c r="E685" s="5"/>
      <c r="F685" s="5"/>
      <c r="G685" s="2"/>
      <c r="H685" s="6"/>
      <c r="I685" s="7"/>
      <c r="J685" s="2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2"/>
      <c r="C686" s="3"/>
      <c r="D686" s="4"/>
      <c r="E686" s="5"/>
      <c r="F686" s="5"/>
      <c r="G686" s="2"/>
      <c r="H686" s="6"/>
      <c r="I686" s="7"/>
      <c r="J686" s="2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2"/>
      <c r="C687" s="3"/>
      <c r="D687" s="4"/>
      <c r="E687" s="5"/>
      <c r="F687" s="5"/>
      <c r="G687" s="2"/>
      <c r="H687" s="6"/>
      <c r="I687" s="7"/>
      <c r="J687" s="2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2"/>
      <c r="C688" s="3"/>
      <c r="D688" s="4"/>
      <c r="E688" s="5"/>
      <c r="F688" s="5"/>
      <c r="G688" s="2"/>
      <c r="H688" s="6"/>
      <c r="I688" s="7"/>
      <c r="J688" s="2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2"/>
      <c r="C689" s="3"/>
      <c r="D689" s="4"/>
      <c r="E689" s="5"/>
      <c r="F689" s="5"/>
      <c r="G689" s="2"/>
      <c r="H689" s="6"/>
      <c r="I689" s="7"/>
      <c r="J689" s="2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2"/>
      <c r="C690" s="3"/>
      <c r="D690" s="4"/>
      <c r="E690" s="5"/>
      <c r="F690" s="5"/>
      <c r="G690" s="2"/>
      <c r="H690" s="6"/>
      <c r="I690" s="7"/>
      <c r="J690" s="2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2"/>
      <c r="C691" s="3"/>
      <c r="D691" s="4"/>
      <c r="E691" s="5"/>
      <c r="F691" s="5"/>
      <c r="G691" s="2"/>
      <c r="H691" s="6"/>
      <c r="I691" s="7"/>
      <c r="J691" s="2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2"/>
      <c r="C692" s="3"/>
      <c r="D692" s="4"/>
      <c r="E692" s="5"/>
      <c r="F692" s="5"/>
      <c r="G692" s="2"/>
      <c r="H692" s="6"/>
      <c r="I692" s="7"/>
      <c r="J692" s="2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2"/>
      <c r="C693" s="3"/>
      <c r="D693" s="4"/>
      <c r="E693" s="5"/>
      <c r="F693" s="5"/>
      <c r="G693" s="2"/>
      <c r="H693" s="6"/>
      <c r="I693" s="7"/>
      <c r="J693" s="2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2"/>
      <c r="C694" s="3"/>
      <c r="D694" s="4"/>
      <c r="E694" s="5"/>
      <c r="F694" s="5"/>
      <c r="G694" s="2"/>
      <c r="H694" s="6"/>
      <c r="I694" s="7"/>
      <c r="J694" s="2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2"/>
      <c r="C695" s="3"/>
      <c r="D695" s="4"/>
      <c r="E695" s="5"/>
      <c r="F695" s="5"/>
      <c r="G695" s="2"/>
      <c r="H695" s="6"/>
      <c r="I695" s="7"/>
      <c r="J695" s="2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2"/>
      <c r="C696" s="3"/>
      <c r="D696" s="4"/>
      <c r="E696" s="5"/>
      <c r="F696" s="5"/>
      <c r="G696" s="2"/>
      <c r="H696" s="6"/>
      <c r="I696" s="7"/>
      <c r="J696" s="2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2"/>
      <c r="C697" s="3"/>
      <c r="D697" s="4"/>
      <c r="E697" s="5"/>
      <c r="F697" s="5"/>
      <c r="G697" s="2"/>
      <c r="H697" s="6"/>
      <c r="I697" s="7"/>
      <c r="J697" s="2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2"/>
      <c r="C698" s="3"/>
      <c r="D698" s="4"/>
      <c r="E698" s="5"/>
      <c r="F698" s="5"/>
      <c r="G698" s="2"/>
      <c r="H698" s="6"/>
      <c r="I698" s="7"/>
      <c r="J698" s="2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2"/>
      <c r="C699" s="3"/>
      <c r="D699" s="4"/>
      <c r="E699" s="5"/>
      <c r="F699" s="5"/>
      <c r="G699" s="2"/>
      <c r="H699" s="6"/>
      <c r="I699" s="7"/>
      <c r="J699" s="2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2"/>
      <c r="C700" s="3"/>
      <c r="D700" s="4"/>
      <c r="E700" s="5"/>
      <c r="F700" s="5"/>
      <c r="G700" s="2"/>
      <c r="H700" s="6"/>
      <c r="I700" s="7"/>
      <c r="J700" s="2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2"/>
      <c r="C701" s="3"/>
      <c r="D701" s="4"/>
      <c r="E701" s="5"/>
      <c r="F701" s="5"/>
      <c r="G701" s="2"/>
      <c r="H701" s="6"/>
      <c r="I701" s="7"/>
      <c r="J701" s="2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2"/>
      <c r="C702" s="3"/>
      <c r="D702" s="4"/>
      <c r="E702" s="5"/>
      <c r="F702" s="5"/>
      <c r="G702" s="2"/>
      <c r="H702" s="6"/>
      <c r="I702" s="7"/>
      <c r="J702" s="2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2"/>
      <c r="C703" s="3"/>
      <c r="D703" s="4"/>
      <c r="E703" s="5"/>
      <c r="F703" s="5"/>
      <c r="G703" s="2"/>
      <c r="H703" s="6"/>
      <c r="I703" s="7"/>
      <c r="J703" s="2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2"/>
      <c r="C704" s="3"/>
      <c r="D704" s="4"/>
      <c r="E704" s="5"/>
      <c r="F704" s="5"/>
      <c r="G704" s="2"/>
      <c r="H704" s="6"/>
      <c r="I704" s="7"/>
      <c r="J704" s="2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2"/>
      <c r="C705" s="3"/>
      <c r="D705" s="4"/>
      <c r="E705" s="5"/>
      <c r="F705" s="5"/>
      <c r="G705" s="2"/>
      <c r="H705" s="6"/>
      <c r="I705" s="7"/>
      <c r="J705" s="2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2"/>
      <c r="C706" s="3"/>
      <c r="D706" s="4"/>
      <c r="E706" s="5"/>
      <c r="F706" s="5"/>
      <c r="G706" s="2"/>
      <c r="H706" s="6"/>
      <c r="I706" s="7"/>
      <c r="J706" s="2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2"/>
      <c r="C707" s="3"/>
      <c r="D707" s="4"/>
      <c r="E707" s="5"/>
      <c r="F707" s="5"/>
      <c r="G707" s="2"/>
      <c r="H707" s="6"/>
      <c r="I707" s="7"/>
      <c r="J707" s="2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2"/>
      <c r="C708" s="3"/>
      <c r="D708" s="4"/>
      <c r="E708" s="5"/>
      <c r="F708" s="5"/>
      <c r="G708" s="2"/>
      <c r="H708" s="6"/>
      <c r="I708" s="7"/>
      <c r="J708" s="2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2"/>
      <c r="C709" s="3"/>
      <c r="D709" s="4"/>
      <c r="E709" s="5"/>
      <c r="F709" s="5"/>
      <c r="G709" s="2"/>
      <c r="H709" s="6"/>
      <c r="I709" s="7"/>
      <c r="J709" s="2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2"/>
      <c r="C710" s="3"/>
      <c r="D710" s="4"/>
      <c r="E710" s="5"/>
      <c r="F710" s="5"/>
      <c r="G710" s="2"/>
      <c r="H710" s="6"/>
      <c r="I710" s="7"/>
      <c r="J710" s="2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2"/>
      <c r="C711" s="3"/>
      <c r="D711" s="4"/>
      <c r="E711" s="5"/>
      <c r="F711" s="5"/>
      <c r="G711" s="2"/>
      <c r="H711" s="6"/>
      <c r="I711" s="7"/>
      <c r="J711" s="2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2"/>
      <c r="C712" s="3"/>
      <c r="D712" s="4"/>
      <c r="E712" s="5"/>
      <c r="F712" s="5"/>
      <c r="G712" s="2"/>
      <c r="H712" s="6"/>
      <c r="I712" s="7"/>
      <c r="J712" s="2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2"/>
      <c r="C713" s="3"/>
      <c r="D713" s="4"/>
      <c r="E713" s="5"/>
      <c r="F713" s="5"/>
      <c r="G713" s="2"/>
      <c r="H713" s="6"/>
      <c r="I713" s="7"/>
      <c r="J713" s="2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2"/>
      <c r="C714" s="3"/>
      <c r="D714" s="4"/>
      <c r="E714" s="5"/>
      <c r="F714" s="5"/>
      <c r="G714" s="2"/>
      <c r="H714" s="6"/>
      <c r="I714" s="7"/>
      <c r="J714" s="2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2"/>
      <c r="C715" s="3"/>
      <c r="D715" s="4"/>
      <c r="E715" s="5"/>
      <c r="F715" s="5"/>
      <c r="G715" s="2"/>
      <c r="H715" s="6"/>
      <c r="I715" s="7"/>
      <c r="J715" s="2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2"/>
      <c r="C716" s="3"/>
      <c r="D716" s="4"/>
      <c r="E716" s="5"/>
      <c r="F716" s="5"/>
      <c r="G716" s="2"/>
      <c r="H716" s="6"/>
      <c r="I716" s="7"/>
      <c r="J716" s="2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2"/>
      <c r="C717" s="3"/>
      <c r="D717" s="4"/>
      <c r="E717" s="5"/>
      <c r="F717" s="5"/>
      <c r="G717" s="2"/>
      <c r="H717" s="6"/>
      <c r="I717" s="7"/>
      <c r="J717" s="2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2"/>
      <c r="C718" s="3"/>
      <c r="D718" s="4"/>
      <c r="E718" s="5"/>
      <c r="F718" s="5"/>
      <c r="G718" s="2"/>
      <c r="H718" s="6"/>
      <c r="I718" s="7"/>
      <c r="J718" s="2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2"/>
      <c r="C719" s="3"/>
      <c r="D719" s="4"/>
      <c r="E719" s="5"/>
      <c r="F719" s="5"/>
      <c r="G719" s="2"/>
      <c r="H719" s="6"/>
      <c r="I719" s="7"/>
      <c r="J719" s="2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2"/>
      <c r="C720" s="3"/>
      <c r="D720" s="4"/>
      <c r="E720" s="5"/>
      <c r="F720" s="5"/>
      <c r="G720" s="2"/>
      <c r="H720" s="6"/>
      <c r="I720" s="7"/>
      <c r="J720" s="2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2"/>
      <c r="C721" s="3"/>
      <c r="D721" s="4"/>
      <c r="E721" s="5"/>
      <c r="F721" s="5"/>
      <c r="G721" s="2"/>
      <c r="H721" s="6"/>
      <c r="I721" s="7"/>
      <c r="J721" s="2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2"/>
      <c r="C722" s="3"/>
      <c r="D722" s="4"/>
      <c r="E722" s="5"/>
      <c r="F722" s="5"/>
      <c r="G722" s="2"/>
      <c r="H722" s="6"/>
      <c r="I722" s="7"/>
      <c r="J722" s="2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2"/>
      <c r="C723" s="3"/>
      <c r="D723" s="4"/>
      <c r="E723" s="5"/>
      <c r="F723" s="5"/>
      <c r="G723" s="2"/>
      <c r="H723" s="6"/>
      <c r="I723" s="7"/>
      <c r="J723" s="2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2"/>
      <c r="C724" s="3"/>
      <c r="D724" s="4"/>
      <c r="E724" s="5"/>
      <c r="F724" s="5"/>
      <c r="G724" s="2"/>
      <c r="H724" s="6"/>
      <c r="I724" s="7"/>
      <c r="J724" s="2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2"/>
      <c r="C725" s="3"/>
      <c r="D725" s="4"/>
      <c r="E725" s="5"/>
      <c r="F725" s="5"/>
      <c r="G725" s="2"/>
      <c r="H725" s="6"/>
      <c r="I725" s="7"/>
      <c r="J725" s="2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2"/>
      <c r="C726" s="3"/>
      <c r="D726" s="4"/>
      <c r="E726" s="5"/>
      <c r="F726" s="5"/>
      <c r="G726" s="2"/>
      <c r="H726" s="6"/>
      <c r="I726" s="7"/>
      <c r="J726" s="2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2"/>
      <c r="C727" s="3"/>
      <c r="D727" s="4"/>
      <c r="E727" s="5"/>
      <c r="F727" s="5"/>
      <c r="G727" s="2"/>
      <c r="H727" s="6"/>
      <c r="I727" s="7"/>
      <c r="J727" s="2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2"/>
      <c r="C728" s="3"/>
      <c r="D728" s="4"/>
      <c r="E728" s="5"/>
      <c r="F728" s="5"/>
      <c r="G728" s="2"/>
      <c r="H728" s="6"/>
      <c r="I728" s="7"/>
      <c r="J728" s="2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2"/>
      <c r="C729" s="3"/>
      <c r="D729" s="4"/>
      <c r="E729" s="5"/>
      <c r="F729" s="5"/>
      <c r="G729" s="2"/>
      <c r="H729" s="6"/>
      <c r="I729" s="7"/>
      <c r="J729" s="2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2"/>
      <c r="C730" s="3"/>
      <c r="D730" s="4"/>
      <c r="E730" s="5"/>
      <c r="F730" s="5"/>
      <c r="G730" s="2"/>
      <c r="H730" s="6"/>
      <c r="I730" s="7"/>
      <c r="J730" s="2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2"/>
      <c r="C731" s="3"/>
      <c r="D731" s="4"/>
      <c r="E731" s="5"/>
      <c r="F731" s="5"/>
      <c r="G731" s="2"/>
      <c r="H731" s="6"/>
      <c r="I731" s="7"/>
      <c r="J731" s="2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2"/>
      <c r="C732" s="3"/>
      <c r="D732" s="4"/>
      <c r="E732" s="5"/>
      <c r="F732" s="5"/>
      <c r="G732" s="2"/>
      <c r="H732" s="6"/>
      <c r="I732" s="7"/>
      <c r="J732" s="2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2"/>
      <c r="C733" s="3"/>
      <c r="D733" s="4"/>
      <c r="E733" s="5"/>
      <c r="F733" s="5"/>
      <c r="G733" s="2"/>
      <c r="H733" s="6"/>
      <c r="I733" s="7"/>
      <c r="J733" s="2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2"/>
      <c r="C734" s="3"/>
      <c r="D734" s="4"/>
      <c r="E734" s="5"/>
      <c r="F734" s="5"/>
      <c r="G734" s="2"/>
      <c r="H734" s="6"/>
      <c r="I734" s="7"/>
      <c r="J734" s="2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2"/>
      <c r="C735" s="3"/>
      <c r="D735" s="4"/>
      <c r="E735" s="5"/>
      <c r="F735" s="5"/>
      <c r="G735" s="2"/>
      <c r="H735" s="6"/>
      <c r="I735" s="7"/>
      <c r="J735" s="2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2"/>
      <c r="C736" s="3"/>
      <c r="D736" s="4"/>
      <c r="E736" s="5"/>
      <c r="F736" s="5"/>
      <c r="G736" s="2"/>
      <c r="H736" s="6"/>
      <c r="I736" s="7"/>
      <c r="J736" s="2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2"/>
      <c r="C737" s="3"/>
      <c r="D737" s="4"/>
      <c r="E737" s="5"/>
      <c r="F737" s="5"/>
      <c r="G737" s="2"/>
      <c r="H737" s="6"/>
      <c r="I737" s="7"/>
      <c r="J737" s="2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2"/>
      <c r="C738" s="3"/>
      <c r="D738" s="4"/>
      <c r="E738" s="5"/>
      <c r="F738" s="5"/>
      <c r="G738" s="2"/>
      <c r="H738" s="6"/>
      <c r="I738" s="7"/>
      <c r="J738" s="2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2"/>
      <c r="C739" s="3"/>
      <c r="D739" s="4"/>
      <c r="E739" s="5"/>
      <c r="F739" s="5"/>
      <c r="G739" s="2"/>
      <c r="H739" s="6"/>
      <c r="I739" s="7"/>
      <c r="J739" s="2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2"/>
      <c r="C740" s="3"/>
      <c r="D740" s="4"/>
      <c r="E740" s="5"/>
      <c r="F740" s="5"/>
      <c r="G740" s="2"/>
      <c r="H740" s="6"/>
      <c r="I740" s="7"/>
      <c r="J740" s="2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2"/>
      <c r="C741" s="3"/>
      <c r="D741" s="4"/>
      <c r="E741" s="5"/>
      <c r="F741" s="5"/>
      <c r="G741" s="2"/>
      <c r="H741" s="6"/>
      <c r="I741" s="7"/>
      <c r="J741" s="2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2"/>
      <c r="C742" s="3"/>
      <c r="D742" s="4"/>
      <c r="E742" s="5"/>
      <c r="F742" s="5"/>
      <c r="G742" s="2"/>
      <c r="H742" s="6"/>
      <c r="I742" s="7"/>
      <c r="J742" s="2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2"/>
      <c r="C743" s="3"/>
      <c r="D743" s="4"/>
      <c r="E743" s="5"/>
      <c r="F743" s="5"/>
      <c r="G743" s="2"/>
      <c r="H743" s="6"/>
      <c r="I743" s="7"/>
      <c r="J743" s="2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2"/>
      <c r="C744" s="3"/>
      <c r="D744" s="4"/>
      <c r="E744" s="5"/>
      <c r="F744" s="5"/>
      <c r="G744" s="2"/>
      <c r="H744" s="6"/>
      <c r="I744" s="7"/>
      <c r="J744" s="2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2"/>
      <c r="C745" s="3"/>
      <c r="D745" s="4"/>
      <c r="E745" s="5"/>
      <c r="F745" s="5"/>
      <c r="G745" s="2"/>
      <c r="H745" s="6"/>
      <c r="I745" s="7"/>
      <c r="J745" s="2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2"/>
      <c r="C746" s="3"/>
      <c r="D746" s="4"/>
      <c r="E746" s="5"/>
      <c r="F746" s="5"/>
      <c r="G746" s="2"/>
      <c r="H746" s="6"/>
      <c r="I746" s="7"/>
      <c r="J746" s="2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2"/>
      <c r="C747" s="3"/>
      <c r="D747" s="4"/>
      <c r="E747" s="5"/>
      <c r="F747" s="5"/>
      <c r="G747" s="2"/>
      <c r="H747" s="6"/>
      <c r="I747" s="7"/>
      <c r="J747" s="2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2"/>
      <c r="C748" s="3"/>
      <c r="D748" s="4"/>
      <c r="E748" s="5"/>
      <c r="F748" s="5"/>
      <c r="G748" s="2"/>
      <c r="H748" s="6"/>
      <c r="I748" s="7"/>
      <c r="J748" s="2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2"/>
      <c r="C749" s="3"/>
      <c r="D749" s="4"/>
      <c r="E749" s="5"/>
      <c r="F749" s="5"/>
      <c r="G749" s="2"/>
      <c r="H749" s="6"/>
      <c r="I749" s="7"/>
      <c r="J749" s="2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2"/>
      <c r="C750" s="3"/>
      <c r="D750" s="4"/>
      <c r="E750" s="5"/>
      <c r="F750" s="5"/>
      <c r="G750" s="2"/>
      <c r="H750" s="6"/>
      <c r="I750" s="7"/>
      <c r="J750" s="2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2"/>
      <c r="C751" s="3"/>
      <c r="D751" s="4"/>
      <c r="E751" s="5"/>
      <c r="F751" s="5"/>
      <c r="G751" s="2"/>
      <c r="H751" s="6"/>
      <c r="I751" s="7"/>
      <c r="J751" s="2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2"/>
      <c r="C752" s="3"/>
      <c r="D752" s="4"/>
      <c r="E752" s="5"/>
      <c r="F752" s="5"/>
      <c r="G752" s="2"/>
      <c r="H752" s="6"/>
      <c r="I752" s="7"/>
      <c r="J752" s="2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2"/>
      <c r="C753" s="3"/>
      <c r="D753" s="4"/>
      <c r="E753" s="5"/>
      <c r="F753" s="5"/>
      <c r="G753" s="2"/>
      <c r="H753" s="6"/>
      <c r="I753" s="7"/>
      <c r="J753" s="2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2"/>
      <c r="C754" s="3"/>
      <c r="D754" s="4"/>
      <c r="E754" s="5"/>
      <c r="F754" s="5"/>
      <c r="G754" s="2"/>
      <c r="H754" s="6"/>
      <c r="I754" s="7"/>
      <c r="J754" s="2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2"/>
      <c r="C755" s="3"/>
      <c r="D755" s="4"/>
      <c r="E755" s="5"/>
      <c r="F755" s="5"/>
      <c r="G755" s="2"/>
      <c r="H755" s="6"/>
      <c r="I755" s="7"/>
      <c r="J755" s="2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2"/>
      <c r="C756" s="3"/>
      <c r="D756" s="4"/>
      <c r="E756" s="5"/>
      <c r="F756" s="5"/>
      <c r="G756" s="2"/>
      <c r="H756" s="6"/>
      <c r="I756" s="7"/>
      <c r="J756" s="2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2"/>
      <c r="C757" s="3"/>
      <c r="D757" s="4"/>
      <c r="E757" s="5"/>
      <c r="F757" s="5"/>
      <c r="G757" s="2"/>
      <c r="H757" s="6"/>
      <c r="I757" s="7"/>
      <c r="J757" s="2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2"/>
      <c r="C758" s="3"/>
      <c r="D758" s="4"/>
      <c r="E758" s="5"/>
      <c r="F758" s="5"/>
      <c r="G758" s="2"/>
      <c r="H758" s="6"/>
      <c r="I758" s="7"/>
      <c r="J758" s="2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2"/>
      <c r="C759" s="3"/>
      <c r="D759" s="4"/>
      <c r="E759" s="5"/>
      <c r="F759" s="5"/>
      <c r="G759" s="2"/>
      <c r="H759" s="6"/>
      <c r="I759" s="7"/>
      <c r="J759" s="2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2"/>
      <c r="C760" s="3"/>
      <c r="D760" s="4"/>
      <c r="E760" s="5"/>
      <c r="F760" s="5"/>
      <c r="G760" s="2"/>
      <c r="H760" s="6"/>
      <c r="I760" s="7"/>
      <c r="J760" s="2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2"/>
      <c r="C761" s="3"/>
      <c r="D761" s="4"/>
      <c r="E761" s="5"/>
      <c r="F761" s="5"/>
      <c r="G761" s="2"/>
      <c r="H761" s="6"/>
      <c r="I761" s="7"/>
      <c r="J761" s="2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2"/>
      <c r="C762" s="3"/>
      <c r="D762" s="4"/>
      <c r="E762" s="5"/>
      <c r="F762" s="5"/>
      <c r="G762" s="2"/>
      <c r="H762" s="6"/>
      <c r="I762" s="7"/>
      <c r="J762" s="2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2"/>
      <c r="C763" s="3"/>
      <c r="D763" s="4"/>
      <c r="E763" s="5"/>
      <c r="F763" s="5"/>
      <c r="G763" s="2"/>
      <c r="H763" s="6"/>
      <c r="I763" s="7"/>
      <c r="J763" s="2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2"/>
      <c r="C764" s="3"/>
      <c r="D764" s="4"/>
      <c r="E764" s="5"/>
      <c r="F764" s="5"/>
      <c r="G764" s="2"/>
      <c r="H764" s="6"/>
      <c r="I764" s="7"/>
      <c r="J764" s="2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2"/>
      <c r="C765" s="3"/>
      <c r="D765" s="4"/>
      <c r="E765" s="5"/>
      <c r="F765" s="5"/>
      <c r="G765" s="2"/>
      <c r="H765" s="6"/>
      <c r="I765" s="7"/>
      <c r="J765" s="2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2"/>
      <c r="C766" s="3"/>
      <c r="D766" s="4"/>
      <c r="E766" s="5"/>
      <c r="F766" s="5"/>
      <c r="G766" s="2"/>
      <c r="H766" s="6"/>
      <c r="I766" s="7"/>
      <c r="J766" s="2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2"/>
      <c r="C767" s="3"/>
      <c r="D767" s="4"/>
      <c r="E767" s="5"/>
      <c r="F767" s="5"/>
      <c r="G767" s="2"/>
      <c r="H767" s="6"/>
      <c r="I767" s="7"/>
      <c r="J767" s="2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2"/>
      <c r="C768" s="3"/>
      <c r="D768" s="4"/>
      <c r="E768" s="5"/>
      <c r="F768" s="5"/>
      <c r="G768" s="2"/>
      <c r="H768" s="6"/>
      <c r="I768" s="7"/>
      <c r="J768" s="2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2"/>
      <c r="C769" s="3"/>
      <c r="D769" s="4"/>
      <c r="E769" s="5"/>
      <c r="F769" s="5"/>
      <c r="G769" s="2"/>
      <c r="H769" s="6"/>
      <c r="I769" s="7"/>
      <c r="J769" s="2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2"/>
      <c r="C770" s="3"/>
      <c r="D770" s="4"/>
      <c r="E770" s="5"/>
      <c r="F770" s="5"/>
      <c r="G770" s="2"/>
      <c r="H770" s="6"/>
      <c r="I770" s="7"/>
      <c r="J770" s="2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2"/>
      <c r="C771" s="3"/>
      <c r="D771" s="4"/>
      <c r="E771" s="5"/>
      <c r="F771" s="5"/>
      <c r="G771" s="2"/>
      <c r="H771" s="6"/>
      <c r="I771" s="7"/>
      <c r="J771" s="2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2"/>
      <c r="C772" s="3"/>
      <c r="D772" s="4"/>
      <c r="E772" s="5"/>
      <c r="F772" s="5"/>
      <c r="G772" s="2"/>
      <c r="H772" s="6"/>
      <c r="I772" s="7"/>
      <c r="J772" s="2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2"/>
      <c r="C773" s="3"/>
      <c r="D773" s="4"/>
      <c r="E773" s="5"/>
      <c r="F773" s="5"/>
      <c r="G773" s="2"/>
      <c r="H773" s="6"/>
      <c r="I773" s="7"/>
      <c r="J773" s="2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2"/>
      <c r="C774" s="3"/>
      <c r="D774" s="4"/>
      <c r="E774" s="5"/>
      <c r="F774" s="5"/>
      <c r="G774" s="2"/>
      <c r="H774" s="6"/>
      <c r="I774" s="7"/>
      <c r="J774" s="2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2"/>
      <c r="C775" s="3"/>
      <c r="D775" s="4"/>
      <c r="E775" s="5"/>
      <c r="F775" s="5"/>
      <c r="G775" s="2"/>
      <c r="H775" s="6"/>
      <c r="I775" s="7"/>
      <c r="J775" s="2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2"/>
      <c r="C776" s="3"/>
      <c r="D776" s="4"/>
      <c r="E776" s="5"/>
      <c r="F776" s="5"/>
      <c r="G776" s="2"/>
      <c r="H776" s="6"/>
      <c r="I776" s="7"/>
      <c r="J776" s="2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2"/>
      <c r="C777" s="3"/>
      <c r="D777" s="4"/>
      <c r="E777" s="5"/>
      <c r="F777" s="5"/>
      <c r="G777" s="2"/>
      <c r="H777" s="6"/>
      <c r="I777" s="7"/>
      <c r="J777" s="2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2"/>
      <c r="C778" s="3"/>
      <c r="D778" s="4"/>
      <c r="E778" s="5"/>
      <c r="F778" s="5"/>
      <c r="G778" s="2"/>
      <c r="H778" s="6"/>
      <c r="I778" s="7"/>
      <c r="J778" s="2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2"/>
      <c r="C779" s="3"/>
      <c r="D779" s="4"/>
      <c r="E779" s="5"/>
      <c r="F779" s="5"/>
      <c r="G779" s="2"/>
      <c r="H779" s="6"/>
      <c r="I779" s="7"/>
      <c r="J779" s="2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2"/>
      <c r="C780" s="3"/>
      <c r="D780" s="4"/>
      <c r="E780" s="5"/>
      <c r="F780" s="5"/>
      <c r="G780" s="2"/>
      <c r="H780" s="6"/>
      <c r="I780" s="7"/>
      <c r="J780" s="2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2"/>
      <c r="C781" s="3"/>
      <c r="D781" s="4"/>
      <c r="E781" s="5"/>
      <c r="F781" s="5"/>
      <c r="G781" s="2"/>
      <c r="H781" s="6"/>
      <c r="I781" s="7"/>
      <c r="J781" s="2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2"/>
      <c r="C782" s="3"/>
      <c r="D782" s="4"/>
      <c r="E782" s="5"/>
      <c r="F782" s="5"/>
      <c r="G782" s="2"/>
      <c r="H782" s="6"/>
      <c r="I782" s="7"/>
      <c r="J782" s="2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2"/>
      <c r="C783" s="3"/>
      <c r="D783" s="4"/>
      <c r="E783" s="5"/>
      <c r="F783" s="5"/>
      <c r="G783" s="2"/>
      <c r="H783" s="6"/>
      <c r="I783" s="7"/>
      <c r="J783" s="2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2"/>
      <c r="C784" s="3"/>
      <c r="D784" s="4"/>
      <c r="E784" s="5"/>
      <c r="F784" s="5"/>
      <c r="G784" s="2"/>
      <c r="H784" s="6"/>
      <c r="I784" s="7"/>
      <c r="J784" s="2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2"/>
      <c r="C785" s="3"/>
      <c r="D785" s="4"/>
      <c r="E785" s="5"/>
      <c r="F785" s="5"/>
      <c r="G785" s="2"/>
      <c r="H785" s="6"/>
      <c r="I785" s="7"/>
      <c r="J785" s="2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2"/>
      <c r="C786" s="3"/>
      <c r="D786" s="4"/>
      <c r="E786" s="5"/>
      <c r="F786" s="5"/>
      <c r="G786" s="2"/>
      <c r="H786" s="6"/>
      <c r="I786" s="7"/>
      <c r="J786" s="2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2"/>
      <c r="C787" s="3"/>
      <c r="D787" s="4"/>
      <c r="E787" s="5"/>
      <c r="F787" s="5"/>
      <c r="G787" s="2"/>
      <c r="H787" s="6"/>
      <c r="I787" s="7"/>
      <c r="J787" s="2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2"/>
      <c r="C788" s="3"/>
      <c r="D788" s="4"/>
      <c r="E788" s="5"/>
      <c r="F788" s="5"/>
      <c r="G788" s="2"/>
      <c r="H788" s="6"/>
      <c r="I788" s="7"/>
      <c r="J788" s="2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2"/>
      <c r="C789" s="3"/>
      <c r="D789" s="4"/>
      <c r="E789" s="5"/>
      <c r="F789" s="5"/>
      <c r="G789" s="2"/>
      <c r="H789" s="6"/>
      <c r="I789" s="7"/>
      <c r="J789" s="2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2"/>
      <c r="C790" s="3"/>
      <c r="D790" s="4"/>
      <c r="E790" s="5"/>
      <c r="F790" s="5"/>
      <c r="G790" s="2"/>
      <c r="H790" s="6"/>
      <c r="I790" s="7"/>
      <c r="J790" s="2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2"/>
      <c r="C791" s="3"/>
      <c r="D791" s="4"/>
      <c r="E791" s="5"/>
      <c r="F791" s="5"/>
      <c r="G791" s="2"/>
      <c r="H791" s="6"/>
      <c r="I791" s="7"/>
      <c r="J791" s="2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2"/>
      <c r="C792" s="3"/>
      <c r="D792" s="4"/>
      <c r="E792" s="5"/>
      <c r="F792" s="5"/>
      <c r="G792" s="2"/>
      <c r="H792" s="6"/>
      <c r="I792" s="7"/>
      <c r="J792" s="2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2"/>
      <c r="C793" s="3"/>
      <c r="D793" s="4"/>
      <c r="E793" s="5"/>
      <c r="F793" s="5"/>
      <c r="G793" s="2"/>
      <c r="H793" s="6"/>
      <c r="I793" s="7"/>
      <c r="J793" s="2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2"/>
      <c r="C794" s="3"/>
      <c r="D794" s="4"/>
      <c r="E794" s="5"/>
      <c r="F794" s="5"/>
      <c r="G794" s="2"/>
      <c r="H794" s="6"/>
      <c r="I794" s="7"/>
      <c r="J794" s="2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2"/>
      <c r="C795" s="3"/>
      <c r="D795" s="4"/>
      <c r="E795" s="5"/>
      <c r="F795" s="5"/>
      <c r="G795" s="2"/>
      <c r="H795" s="6"/>
      <c r="I795" s="7"/>
      <c r="J795" s="2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2"/>
      <c r="C796" s="3"/>
      <c r="D796" s="4"/>
      <c r="E796" s="5"/>
      <c r="F796" s="5"/>
      <c r="G796" s="2"/>
      <c r="H796" s="6"/>
      <c r="I796" s="7"/>
      <c r="J796" s="2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2"/>
      <c r="C797" s="3"/>
      <c r="D797" s="4"/>
      <c r="E797" s="5"/>
      <c r="F797" s="5"/>
      <c r="G797" s="2"/>
      <c r="H797" s="6"/>
      <c r="I797" s="7"/>
      <c r="J797" s="2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2"/>
      <c r="C798" s="3"/>
      <c r="D798" s="4"/>
      <c r="E798" s="5"/>
      <c r="F798" s="5"/>
      <c r="G798" s="2"/>
      <c r="H798" s="6"/>
      <c r="I798" s="7"/>
      <c r="J798" s="2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2"/>
      <c r="C799" s="3"/>
      <c r="D799" s="4"/>
      <c r="E799" s="5"/>
      <c r="F799" s="5"/>
      <c r="G799" s="2"/>
      <c r="H799" s="6"/>
      <c r="I799" s="7"/>
      <c r="J799" s="2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2"/>
      <c r="C800" s="3"/>
      <c r="D800" s="4"/>
      <c r="E800" s="5"/>
      <c r="F800" s="5"/>
      <c r="G800" s="2"/>
      <c r="H800" s="6"/>
      <c r="I800" s="7"/>
      <c r="J800" s="2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2"/>
      <c r="C801" s="3"/>
      <c r="D801" s="4"/>
      <c r="E801" s="5"/>
      <c r="F801" s="5"/>
      <c r="G801" s="2"/>
      <c r="H801" s="6"/>
      <c r="I801" s="7"/>
      <c r="J801" s="2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2"/>
      <c r="C802" s="3"/>
      <c r="D802" s="4"/>
      <c r="E802" s="5"/>
      <c r="F802" s="5"/>
      <c r="G802" s="2"/>
      <c r="H802" s="6"/>
      <c r="I802" s="7"/>
      <c r="J802" s="2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2"/>
      <c r="C803" s="3"/>
      <c r="D803" s="4"/>
      <c r="E803" s="5"/>
      <c r="F803" s="5"/>
      <c r="G803" s="2"/>
      <c r="H803" s="6"/>
      <c r="I803" s="7"/>
      <c r="J803" s="2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2"/>
      <c r="C804" s="3"/>
      <c r="D804" s="4"/>
      <c r="E804" s="5"/>
      <c r="F804" s="5"/>
      <c r="G804" s="2"/>
      <c r="H804" s="6"/>
      <c r="I804" s="7"/>
      <c r="J804" s="2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2"/>
      <c r="C805" s="3"/>
      <c r="D805" s="4"/>
      <c r="E805" s="5"/>
      <c r="F805" s="5"/>
      <c r="G805" s="2"/>
      <c r="H805" s="6"/>
      <c r="I805" s="7"/>
      <c r="J805" s="2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2"/>
      <c r="C806" s="3"/>
      <c r="D806" s="4"/>
      <c r="E806" s="5"/>
      <c r="F806" s="5"/>
      <c r="G806" s="2"/>
      <c r="H806" s="6"/>
      <c r="I806" s="7"/>
      <c r="J806" s="2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2"/>
      <c r="C807" s="3"/>
      <c r="D807" s="4"/>
      <c r="E807" s="5"/>
      <c r="F807" s="5"/>
      <c r="G807" s="2"/>
      <c r="H807" s="6"/>
      <c r="I807" s="7"/>
      <c r="J807" s="2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2"/>
      <c r="C808" s="3"/>
      <c r="D808" s="4"/>
      <c r="E808" s="5"/>
      <c r="F808" s="5"/>
      <c r="G808" s="2"/>
      <c r="H808" s="6"/>
      <c r="I808" s="7"/>
      <c r="J808" s="2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2"/>
      <c r="C809" s="3"/>
      <c r="D809" s="4"/>
      <c r="E809" s="5"/>
      <c r="F809" s="5"/>
      <c r="G809" s="2"/>
      <c r="H809" s="6"/>
      <c r="I809" s="7"/>
      <c r="J809" s="2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2"/>
      <c r="C810" s="3"/>
      <c r="D810" s="4"/>
      <c r="E810" s="5"/>
      <c r="F810" s="5"/>
      <c r="G810" s="2"/>
      <c r="H810" s="6"/>
      <c r="I810" s="7"/>
      <c r="J810" s="2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2"/>
      <c r="C811" s="3"/>
      <c r="D811" s="4"/>
      <c r="E811" s="5"/>
      <c r="F811" s="5"/>
      <c r="G811" s="2"/>
      <c r="H811" s="6"/>
      <c r="I811" s="7"/>
      <c r="J811" s="2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2"/>
      <c r="C812" s="3"/>
      <c r="D812" s="4"/>
      <c r="E812" s="5"/>
      <c r="F812" s="5"/>
      <c r="G812" s="2"/>
      <c r="H812" s="6"/>
      <c r="I812" s="7"/>
      <c r="J812" s="2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2"/>
      <c r="C813" s="3"/>
      <c r="D813" s="4"/>
      <c r="E813" s="5"/>
      <c r="F813" s="5"/>
      <c r="G813" s="2"/>
      <c r="H813" s="6"/>
      <c r="I813" s="7"/>
      <c r="J813" s="2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2"/>
      <c r="C814" s="3"/>
      <c r="D814" s="4"/>
      <c r="E814" s="5"/>
      <c r="F814" s="5"/>
      <c r="G814" s="2"/>
      <c r="H814" s="6"/>
      <c r="I814" s="7"/>
      <c r="J814" s="2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2"/>
      <c r="C815" s="3"/>
      <c r="D815" s="4"/>
      <c r="E815" s="5"/>
      <c r="F815" s="5"/>
      <c r="G815" s="2"/>
      <c r="H815" s="6"/>
      <c r="I815" s="7"/>
      <c r="J815" s="2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2"/>
      <c r="C816" s="3"/>
      <c r="D816" s="4"/>
      <c r="E816" s="5"/>
      <c r="F816" s="5"/>
      <c r="G816" s="2"/>
      <c r="H816" s="6"/>
      <c r="I816" s="7"/>
      <c r="J816" s="2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2"/>
      <c r="C817" s="3"/>
      <c r="D817" s="4"/>
      <c r="E817" s="5"/>
      <c r="F817" s="5"/>
      <c r="G817" s="2"/>
      <c r="H817" s="6"/>
      <c r="I817" s="7"/>
      <c r="J817" s="2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2"/>
      <c r="C818" s="3"/>
      <c r="D818" s="4"/>
      <c r="E818" s="5"/>
      <c r="F818" s="5"/>
      <c r="G818" s="2"/>
      <c r="H818" s="6"/>
      <c r="I818" s="7"/>
      <c r="J818" s="2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2"/>
      <c r="C819" s="3"/>
      <c r="D819" s="4"/>
      <c r="E819" s="5"/>
      <c r="F819" s="5"/>
      <c r="G819" s="2"/>
      <c r="H819" s="6"/>
      <c r="I819" s="7"/>
      <c r="J819" s="2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2"/>
      <c r="C820" s="3"/>
      <c r="D820" s="4"/>
      <c r="E820" s="5"/>
      <c r="F820" s="5"/>
      <c r="G820" s="2"/>
      <c r="H820" s="6"/>
      <c r="I820" s="7"/>
      <c r="J820" s="2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2"/>
      <c r="C821" s="3"/>
      <c r="D821" s="4"/>
      <c r="E821" s="5"/>
      <c r="F821" s="5"/>
      <c r="G821" s="2"/>
      <c r="H821" s="6"/>
      <c r="I821" s="7"/>
      <c r="J821" s="2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2"/>
      <c r="C822" s="3"/>
      <c r="D822" s="4"/>
      <c r="E822" s="5"/>
      <c r="F822" s="5"/>
      <c r="G822" s="2"/>
      <c r="H822" s="6"/>
      <c r="I822" s="7"/>
      <c r="J822" s="2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2"/>
      <c r="C823" s="3"/>
      <c r="D823" s="4"/>
      <c r="E823" s="5"/>
      <c r="F823" s="5"/>
      <c r="G823" s="2"/>
      <c r="H823" s="6"/>
      <c r="I823" s="7"/>
      <c r="J823" s="2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2"/>
      <c r="C824" s="3"/>
      <c r="D824" s="4"/>
      <c r="E824" s="5"/>
      <c r="F824" s="5"/>
      <c r="G824" s="2"/>
      <c r="H824" s="6"/>
      <c r="I824" s="7"/>
      <c r="J824" s="2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2"/>
      <c r="C825" s="3"/>
      <c r="D825" s="4"/>
      <c r="E825" s="5"/>
      <c r="F825" s="5"/>
      <c r="G825" s="2"/>
      <c r="H825" s="6"/>
      <c r="I825" s="7"/>
      <c r="J825" s="2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2"/>
      <c r="C826" s="3"/>
      <c r="D826" s="4"/>
      <c r="E826" s="5"/>
      <c r="F826" s="5"/>
      <c r="G826" s="2"/>
      <c r="H826" s="6"/>
      <c r="I826" s="7"/>
      <c r="J826" s="2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2"/>
      <c r="C827" s="3"/>
      <c r="D827" s="4"/>
      <c r="E827" s="5"/>
      <c r="F827" s="5"/>
      <c r="G827" s="2"/>
      <c r="H827" s="6"/>
      <c r="I827" s="7"/>
      <c r="J827" s="2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2"/>
      <c r="C828" s="3"/>
      <c r="D828" s="4"/>
      <c r="E828" s="5"/>
      <c r="F828" s="5"/>
      <c r="G828" s="2"/>
      <c r="H828" s="6"/>
      <c r="I828" s="7"/>
      <c r="J828" s="2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2"/>
      <c r="C829" s="3"/>
      <c r="D829" s="4"/>
      <c r="E829" s="5"/>
      <c r="F829" s="5"/>
      <c r="G829" s="2"/>
      <c r="H829" s="6"/>
      <c r="I829" s="7"/>
      <c r="J829" s="2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2"/>
      <c r="C830" s="3"/>
      <c r="D830" s="4"/>
      <c r="E830" s="5"/>
      <c r="F830" s="5"/>
      <c r="G830" s="2"/>
      <c r="H830" s="6"/>
      <c r="I830" s="7"/>
      <c r="J830" s="2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2"/>
      <c r="C831" s="3"/>
      <c r="D831" s="4"/>
      <c r="E831" s="5"/>
      <c r="F831" s="5"/>
      <c r="G831" s="2"/>
      <c r="H831" s="6"/>
      <c r="I831" s="7"/>
      <c r="J831" s="2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2"/>
      <c r="C832" s="3"/>
      <c r="D832" s="4"/>
      <c r="E832" s="5"/>
      <c r="F832" s="5"/>
      <c r="G832" s="2"/>
      <c r="H832" s="6"/>
      <c r="I832" s="7"/>
      <c r="J832" s="2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2"/>
      <c r="C833" s="3"/>
      <c r="D833" s="4"/>
      <c r="E833" s="5"/>
      <c r="F833" s="5"/>
      <c r="G833" s="2"/>
      <c r="H833" s="6"/>
      <c r="I833" s="7"/>
      <c r="J833" s="2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2"/>
      <c r="C834" s="3"/>
      <c r="D834" s="4"/>
      <c r="E834" s="5"/>
      <c r="F834" s="5"/>
      <c r="G834" s="2"/>
      <c r="H834" s="6"/>
      <c r="I834" s="7"/>
      <c r="J834" s="2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2"/>
      <c r="C835" s="3"/>
      <c r="D835" s="4"/>
      <c r="E835" s="5"/>
      <c r="F835" s="5"/>
      <c r="G835" s="2"/>
      <c r="H835" s="6"/>
      <c r="I835" s="7"/>
      <c r="J835" s="2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2"/>
      <c r="C836" s="3"/>
      <c r="D836" s="4"/>
      <c r="E836" s="5"/>
      <c r="F836" s="5"/>
      <c r="G836" s="2"/>
      <c r="H836" s="6"/>
      <c r="I836" s="7"/>
      <c r="J836" s="2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2"/>
      <c r="C837" s="3"/>
      <c r="D837" s="4"/>
      <c r="E837" s="5"/>
      <c r="F837" s="5"/>
      <c r="G837" s="2"/>
      <c r="H837" s="6"/>
      <c r="I837" s="7"/>
      <c r="J837" s="2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2"/>
      <c r="C838" s="3"/>
      <c r="D838" s="4"/>
      <c r="E838" s="5"/>
      <c r="F838" s="5"/>
      <c r="G838" s="2"/>
      <c r="H838" s="6"/>
      <c r="I838" s="7"/>
      <c r="J838" s="2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2"/>
      <c r="C839" s="3"/>
      <c r="D839" s="4"/>
      <c r="E839" s="5"/>
      <c r="F839" s="5"/>
      <c r="G839" s="2"/>
      <c r="H839" s="6"/>
      <c r="I839" s="7"/>
      <c r="J839" s="2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2"/>
      <c r="C840" s="3"/>
      <c r="D840" s="4"/>
      <c r="E840" s="5"/>
      <c r="F840" s="5"/>
      <c r="G840" s="2"/>
      <c r="H840" s="6"/>
      <c r="I840" s="7"/>
      <c r="J840" s="2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2"/>
      <c r="C841" s="3"/>
      <c r="D841" s="4"/>
      <c r="E841" s="5"/>
      <c r="F841" s="5"/>
      <c r="G841" s="2"/>
      <c r="H841" s="6"/>
      <c r="I841" s="7"/>
      <c r="J841" s="2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2"/>
      <c r="C842" s="3"/>
      <c r="D842" s="4"/>
      <c r="E842" s="5"/>
      <c r="F842" s="5"/>
      <c r="G842" s="2"/>
      <c r="H842" s="6"/>
      <c r="I842" s="7"/>
      <c r="J842" s="2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2"/>
      <c r="C843" s="3"/>
      <c r="D843" s="4"/>
      <c r="E843" s="5"/>
      <c r="F843" s="5"/>
      <c r="G843" s="2"/>
      <c r="H843" s="6"/>
      <c r="I843" s="7"/>
      <c r="J843" s="2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2"/>
      <c r="C844" s="3"/>
      <c r="D844" s="4"/>
      <c r="E844" s="5"/>
      <c r="F844" s="5"/>
      <c r="G844" s="2"/>
      <c r="H844" s="6"/>
      <c r="I844" s="7"/>
      <c r="J844" s="2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2"/>
      <c r="C845" s="3"/>
      <c r="D845" s="4"/>
      <c r="E845" s="5"/>
      <c r="F845" s="5"/>
      <c r="G845" s="2"/>
      <c r="H845" s="6"/>
      <c r="I845" s="7"/>
      <c r="J845" s="2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2"/>
      <c r="C846" s="3"/>
      <c r="D846" s="4"/>
      <c r="E846" s="5"/>
      <c r="F846" s="5"/>
      <c r="G846" s="2"/>
      <c r="H846" s="6"/>
      <c r="I846" s="7"/>
      <c r="J846" s="2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2"/>
      <c r="C847" s="3"/>
      <c r="D847" s="4"/>
      <c r="E847" s="5"/>
      <c r="F847" s="5"/>
      <c r="G847" s="2"/>
      <c r="H847" s="6"/>
      <c r="I847" s="7"/>
      <c r="J847" s="2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2"/>
      <c r="C848" s="3"/>
      <c r="D848" s="4"/>
      <c r="E848" s="5"/>
      <c r="F848" s="5"/>
      <c r="G848" s="2"/>
      <c r="H848" s="6"/>
      <c r="I848" s="7"/>
      <c r="J848" s="2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2"/>
      <c r="C849" s="3"/>
      <c r="D849" s="4"/>
      <c r="E849" s="5"/>
      <c r="F849" s="5"/>
      <c r="G849" s="2"/>
      <c r="H849" s="6"/>
      <c r="I849" s="7"/>
      <c r="J849" s="2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2"/>
      <c r="C850" s="3"/>
      <c r="D850" s="4"/>
      <c r="E850" s="5"/>
      <c r="F850" s="5"/>
      <c r="G850" s="2"/>
      <c r="H850" s="6"/>
      <c r="I850" s="7"/>
      <c r="J850" s="2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2"/>
      <c r="C851" s="3"/>
      <c r="D851" s="4"/>
      <c r="E851" s="5"/>
      <c r="F851" s="5"/>
      <c r="G851" s="2"/>
      <c r="H851" s="6"/>
      <c r="I851" s="7"/>
      <c r="J851" s="2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2"/>
      <c r="C852" s="3"/>
      <c r="D852" s="4"/>
      <c r="E852" s="5"/>
      <c r="F852" s="5"/>
      <c r="G852" s="2"/>
      <c r="H852" s="6"/>
      <c r="I852" s="7"/>
      <c r="J852" s="2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2"/>
      <c r="C853" s="3"/>
      <c r="D853" s="4"/>
      <c r="E853" s="5"/>
      <c r="F853" s="5"/>
      <c r="G853" s="2"/>
      <c r="H853" s="6"/>
      <c r="I853" s="7"/>
      <c r="J853" s="2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2"/>
      <c r="C854" s="3"/>
      <c r="D854" s="4"/>
      <c r="E854" s="5"/>
      <c r="F854" s="5"/>
      <c r="G854" s="2"/>
      <c r="H854" s="6"/>
      <c r="I854" s="7"/>
      <c r="J854" s="2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2"/>
      <c r="C855" s="3"/>
      <c r="D855" s="4"/>
      <c r="E855" s="5"/>
      <c r="F855" s="5"/>
      <c r="G855" s="2"/>
      <c r="H855" s="6"/>
      <c r="I855" s="7"/>
      <c r="J855" s="2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2"/>
      <c r="C856" s="3"/>
      <c r="D856" s="4"/>
      <c r="E856" s="5"/>
      <c r="F856" s="5"/>
      <c r="G856" s="2"/>
      <c r="H856" s="6"/>
      <c r="I856" s="7"/>
      <c r="J856" s="2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2"/>
      <c r="C857" s="3"/>
      <c r="D857" s="4"/>
      <c r="E857" s="5"/>
      <c r="F857" s="5"/>
      <c r="G857" s="2"/>
      <c r="H857" s="6"/>
      <c r="I857" s="7"/>
      <c r="J857" s="2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2"/>
      <c r="C858" s="3"/>
      <c r="D858" s="4"/>
      <c r="E858" s="5"/>
      <c r="F858" s="5"/>
      <c r="G858" s="2"/>
      <c r="H858" s="6"/>
      <c r="I858" s="7"/>
      <c r="J858" s="2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2"/>
      <c r="C859" s="3"/>
      <c r="D859" s="4"/>
      <c r="E859" s="5"/>
      <c r="F859" s="5"/>
      <c r="G859" s="2"/>
      <c r="H859" s="6"/>
      <c r="I859" s="7"/>
      <c r="J859" s="2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2"/>
      <c r="C860" s="3"/>
      <c r="D860" s="4"/>
      <c r="E860" s="5"/>
      <c r="F860" s="5"/>
      <c r="G860" s="2"/>
      <c r="H860" s="6"/>
      <c r="I860" s="7"/>
      <c r="J860" s="2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2"/>
      <c r="C861" s="3"/>
      <c r="D861" s="4"/>
      <c r="E861" s="5"/>
      <c r="F861" s="5"/>
      <c r="G861" s="2"/>
      <c r="H861" s="6"/>
      <c r="I861" s="7"/>
      <c r="J861" s="2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2"/>
      <c r="C862" s="3"/>
      <c r="D862" s="4"/>
      <c r="E862" s="5"/>
      <c r="F862" s="5"/>
      <c r="G862" s="2"/>
      <c r="H862" s="6"/>
      <c r="I862" s="7"/>
      <c r="J862" s="2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2"/>
      <c r="C863" s="3"/>
      <c r="D863" s="4"/>
      <c r="E863" s="5"/>
      <c r="F863" s="5"/>
      <c r="G863" s="2"/>
      <c r="H863" s="6"/>
      <c r="I863" s="7"/>
      <c r="J863" s="2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2"/>
      <c r="C864" s="3"/>
      <c r="D864" s="4"/>
      <c r="E864" s="5"/>
      <c r="F864" s="5"/>
      <c r="G864" s="2"/>
      <c r="H864" s="6"/>
      <c r="I864" s="7"/>
      <c r="J864" s="2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2"/>
      <c r="C865" s="3"/>
      <c r="D865" s="4"/>
      <c r="E865" s="5"/>
      <c r="F865" s="5"/>
      <c r="G865" s="2"/>
      <c r="H865" s="6"/>
      <c r="I865" s="7"/>
      <c r="J865" s="2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2"/>
      <c r="C866" s="3"/>
      <c r="D866" s="4"/>
      <c r="E866" s="5"/>
      <c r="F866" s="5"/>
      <c r="G866" s="2"/>
      <c r="H866" s="6"/>
      <c r="I866" s="7"/>
      <c r="J866" s="2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2"/>
      <c r="C867" s="3"/>
      <c r="D867" s="4"/>
      <c r="E867" s="5"/>
      <c r="F867" s="5"/>
      <c r="G867" s="2"/>
      <c r="H867" s="6"/>
      <c r="I867" s="7"/>
      <c r="J867" s="2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2"/>
      <c r="C868" s="3"/>
      <c r="D868" s="4"/>
      <c r="E868" s="5"/>
      <c r="F868" s="5"/>
      <c r="G868" s="2"/>
      <c r="H868" s="6"/>
      <c r="I868" s="7"/>
      <c r="J868" s="2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2"/>
      <c r="C869" s="3"/>
      <c r="D869" s="4"/>
      <c r="E869" s="5"/>
      <c r="F869" s="5"/>
      <c r="G869" s="2"/>
      <c r="H869" s="6"/>
      <c r="I869" s="7"/>
      <c r="J869" s="2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2"/>
      <c r="C870" s="3"/>
      <c r="D870" s="4"/>
      <c r="E870" s="5"/>
      <c r="F870" s="5"/>
      <c r="G870" s="2"/>
      <c r="H870" s="6"/>
      <c r="I870" s="7"/>
      <c r="J870" s="2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2"/>
      <c r="C871" s="3"/>
      <c r="D871" s="4"/>
      <c r="E871" s="5"/>
      <c r="F871" s="5"/>
      <c r="G871" s="2"/>
      <c r="H871" s="6"/>
      <c r="I871" s="7"/>
      <c r="J871" s="2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2"/>
      <c r="C872" s="3"/>
      <c r="D872" s="4"/>
      <c r="E872" s="5"/>
      <c r="F872" s="5"/>
      <c r="G872" s="2"/>
      <c r="H872" s="6"/>
      <c r="I872" s="7"/>
      <c r="J872" s="2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2"/>
      <c r="C873" s="3"/>
      <c r="D873" s="4"/>
      <c r="E873" s="5"/>
      <c r="F873" s="5"/>
      <c r="G873" s="2"/>
      <c r="H873" s="6"/>
      <c r="I873" s="7"/>
      <c r="J873" s="2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2"/>
      <c r="C874" s="3"/>
      <c r="D874" s="4"/>
      <c r="E874" s="5"/>
      <c r="F874" s="5"/>
      <c r="G874" s="2"/>
      <c r="H874" s="6"/>
      <c r="I874" s="7"/>
      <c r="J874" s="2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2"/>
      <c r="C875" s="3"/>
      <c r="D875" s="4"/>
      <c r="E875" s="5"/>
      <c r="F875" s="5"/>
      <c r="G875" s="2"/>
      <c r="H875" s="6"/>
      <c r="I875" s="7"/>
      <c r="J875" s="2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2"/>
      <c r="C876" s="3"/>
      <c r="D876" s="4"/>
      <c r="E876" s="5"/>
      <c r="F876" s="5"/>
      <c r="G876" s="2"/>
      <c r="H876" s="6"/>
      <c r="I876" s="7"/>
      <c r="J876" s="2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2"/>
      <c r="C877" s="3"/>
      <c r="D877" s="4"/>
      <c r="E877" s="5"/>
      <c r="F877" s="5"/>
      <c r="G877" s="2"/>
      <c r="H877" s="6"/>
      <c r="I877" s="7"/>
      <c r="J877" s="2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2"/>
      <c r="C878" s="3"/>
      <c r="D878" s="4"/>
      <c r="E878" s="5"/>
      <c r="F878" s="5"/>
      <c r="G878" s="2"/>
      <c r="H878" s="6"/>
      <c r="I878" s="7"/>
      <c r="J878" s="2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2"/>
      <c r="C879" s="3"/>
      <c r="D879" s="4"/>
      <c r="E879" s="5"/>
      <c r="F879" s="5"/>
      <c r="G879" s="2"/>
      <c r="H879" s="6"/>
      <c r="I879" s="7"/>
      <c r="J879" s="2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2"/>
      <c r="C880" s="3"/>
      <c r="D880" s="4"/>
      <c r="E880" s="5"/>
      <c r="F880" s="5"/>
      <c r="G880" s="2"/>
      <c r="H880" s="6"/>
      <c r="I880" s="7"/>
      <c r="J880" s="2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2"/>
      <c r="C881" s="3"/>
      <c r="D881" s="4"/>
      <c r="E881" s="5"/>
      <c r="F881" s="5"/>
      <c r="G881" s="2"/>
      <c r="H881" s="6"/>
      <c r="I881" s="7"/>
      <c r="J881" s="2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2"/>
      <c r="C882" s="3"/>
      <c r="D882" s="4"/>
      <c r="E882" s="5"/>
      <c r="F882" s="5"/>
      <c r="G882" s="2"/>
      <c r="H882" s="6"/>
      <c r="I882" s="7"/>
      <c r="J882" s="2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2"/>
      <c r="C883" s="3"/>
      <c r="D883" s="4"/>
      <c r="E883" s="5"/>
      <c r="F883" s="5"/>
      <c r="G883" s="2"/>
      <c r="H883" s="6"/>
      <c r="I883" s="7"/>
      <c r="J883" s="2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2"/>
      <c r="C884" s="3"/>
      <c r="D884" s="4"/>
      <c r="E884" s="5"/>
      <c r="F884" s="5"/>
      <c r="G884" s="2"/>
      <c r="H884" s="6"/>
      <c r="I884" s="7"/>
      <c r="J884" s="2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2"/>
      <c r="C885" s="3"/>
      <c r="D885" s="4"/>
      <c r="E885" s="5"/>
      <c r="F885" s="5"/>
      <c r="G885" s="2"/>
      <c r="H885" s="6"/>
      <c r="I885" s="7"/>
      <c r="J885" s="2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2"/>
      <c r="C886" s="3"/>
      <c r="D886" s="4"/>
      <c r="E886" s="5"/>
      <c r="F886" s="5"/>
      <c r="G886" s="2"/>
      <c r="H886" s="6"/>
      <c r="I886" s="7"/>
      <c r="J886" s="2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2"/>
      <c r="C887" s="3"/>
      <c r="D887" s="4"/>
      <c r="E887" s="5"/>
      <c r="F887" s="5"/>
      <c r="G887" s="2"/>
      <c r="H887" s="6"/>
      <c r="I887" s="7"/>
      <c r="J887" s="2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2"/>
      <c r="C888" s="3"/>
      <c r="D888" s="4"/>
      <c r="E888" s="5"/>
      <c r="F888" s="5"/>
      <c r="G888" s="2"/>
      <c r="H888" s="6"/>
      <c r="I888" s="7"/>
      <c r="J888" s="2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2"/>
      <c r="C889" s="3"/>
      <c r="D889" s="4"/>
      <c r="E889" s="5"/>
      <c r="F889" s="5"/>
      <c r="G889" s="2"/>
      <c r="H889" s="6"/>
      <c r="I889" s="7"/>
      <c r="J889" s="2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2"/>
      <c r="C890" s="3"/>
      <c r="D890" s="4"/>
      <c r="E890" s="5"/>
      <c r="F890" s="5"/>
      <c r="G890" s="2"/>
      <c r="H890" s="6"/>
      <c r="I890" s="7"/>
      <c r="J890" s="2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2"/>
      <c r="C891" s="3"/>
      <c r="D891" s="4"/>
      <c r="E891" s="5"/>
      <c r="F891" s="5"/>
      <c r="G891" s="2"/>
      <c r="H891" s="6"/>
      <c r="I891" s="7"/>
      <c r="J891" s="2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2"/>
      <c r="C892" s="3"/>
      <c r="D892" s="4"/>
      <c r="E892" s="5"/>
      <c r="F892" s="5"/>
      <c r="G892" s="2"/>
      <c r="H892" s="6"/>
      <c r="I892" s="7"/>
      <c r="J892" s="2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2"/>
      <c r="C893" s="3"/>
      <c r="D893" s="4"/>
      <c r="E893" s="5"/>
      <c r="F893" s="5"/>
      <c r="G893" s="2"/>
      <c r="H893" s="6"/>
      <c r="I893" s="7"/>
      <c r="J893" s="2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2"/>
      <c r="C894" s="3"/>
      <c r="D894" s="4"/>
      <c r="E894" s="5"/>
      <c r="F894" s="5"/>
      <c r="G894" s="2"/>
      <c r="H894" s="6"/>
      <c r="I894" s="7"/>
      <c r="J894" s="2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2"/>
      <c r="C895" s="3"/>
      <c r="D895" s="4"/>
      <c r="E895" s="5"/>
      <c r="F895" s="5"/>
      <c r="G895" s="2"/>
      <c r="H895" s="6"/>
      <c r="I895" s="7"/>
      <c r="J895" s="2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2"/>
      <c r="C896" s="3"/>
      <c r="D896" s="4"/>
      <c r="E896" s="5"/>
      <c r="F896" s="5"/>
      <c r="G896" s="2"/>
      <c r="H896" s="6"/>
      <c r="I896" s="7"/>
      <c r="J896" s="2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2"/>
      <c r="C897" s="3"/>
      <c r="D897" s="4"/>
      <c r="E897" s="5"/>
      <c r="F897" s="5"/>
      <c r="G897" s="2"/>
      <c r="H897" s="6"/>
      <c r="I897" s="7"/>
      <c r="J897" s="2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2"/>
      <c r="C898" s="3"/>
      <c r="D898" s="4"/>
      <c r="E898" s="5"/>
      <c r="F898" s="5"/>
      <c r="G898" s="2"/>
      <c r="H898" s="6"/>
      <c r="I898" s="7"/>
      <c r="J898" s="2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2"/>
      <c r="C899" s="3"/>
      <c r="D899" s="4"/>
      <c r="E899" s="5"/>
      <c r="F899" s="5"/>
      <c r="G899" s="2"/>
      <c r="H899" s="6"/>
      <c r="I899" s="7"/>
      <c r="J899" s="2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2"/>
      <c r="C900" s="3"/>
      <c r="D900" s="4"/>
      <c r="E900" s="5"/>
      <c r="F900" s="5"/>
      <c r="G900" s="2"/>
      <c r="H900" s="6"/>
      <c r="I900" s="7"/>
      <c r="J900" s="2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2"/>
      <c r="C901" s="3"/>
      <c r="D901" s="4"/>
      <c r="E901" s="5"/>
      <c r="F901" s="5"/>
      <c r="G901" s="2"/>
      <c r="H901" s="6"/>
      <c r="I901" s="7"/>
      <c r="J901" s="2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2"/>
      <c r="C902" s="3"/>
      <c r="D902" s="4"/>
      <c r="E902" s="5"/>
      <c r="F902" s="5"/>
      <c r="G902" s="2"/>
      <c r="H902" s="6"/>
      <c r="I902" s="7"/>
      <c r="J902" s="2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2"/>
      <c r="C903" s="3"/>
      <c r="D903" s="4"/>
      <c r="E903" s="5"/>
      <c r="F903" s="5"/>
      <c r="G903" s="2"/>
      <c r="H903" s="6"/>
      <c r="I903" s="7"/>
      <c r="J903" s="2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2"/>
      <c r="C904" s="3"/>
      <c r="D904" s="4"/>
      <c r="E904" s="5"/>
      <c r="F904" s="5"/>
      <c r="G904" s="2"/>
      <c r="H904" s="6"/>
      <c r="I904" s="7"/>
      <c r="J904" s="2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2"/>
      <c r="C905" s="3"/>
      <c r="D905" s="4"/>
      <c r="E905" s="5"/>
      <c r="F905" s="5"/>
      <c r="G905" s="2"/>
      <c r="H905" s="6"/>
      <c r="I905" s="7"/>
      <c r="J905" s="2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2"/>
      <c r="C906" s="3"/>
      <c r="D906" s="4"/>
      <c r="E906" s="5"/>
      <c r="F906" s="5"/>
      <c r="G906" s="2"/>
      <c r="H906" s="6"/>
      <c r="I906" s="7"/>
      <c r="J906" s="2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2"/>
      <c r="C907" s="3"/>
      <c r="D907" s="4"/>
      <c r="E907" s="5"/>
      <c r="F907" s="5"/>
      <c r="G907" s="2"/>
      <c r="H907" s="6"/>
      <c r="I907" s="7"/>
      <c r="J907" s="2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2"/>
      <c r="C908" s="3"/>
      <c r="D908" s="4"/>
      <c r="E908" s="5"/>
      <c r="F908" s="5"/>
      <c r="G908" s="2"/>
      <c r="H908" s="6"/>
      <c r="I908" s="7"/>
      <c r="J908" s="2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2"/>
      <c r="C909" s="3"/>
      <c r="D909" s="4"/>
      <c r="E909" s="5"/>
      <c r="F909" s="5"/>
      <c r="G909" s="2"/>
      <c r="H909" s="6"/>
      <c r="I909" s="7"/>
      <c r="J909" s="2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2"/>
      <c r="C910" s="3"/>
      <c r="D910" s="4"/>
      <c r="E910" s="5"/>
      <c r="F910" s="5"/>
      <c r="G910" s="2"/>
      <c r="H910" s="6"/>
      <c r="I910" s="7"/>
      <c r="J910" s="2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2"/>
      <c r="C911" s="3"/>
      <c r="D911" s="4"/>
      <c r="E911" s="5"/>
      <c r="F911" s="5"/>
      <c r="G911" s="2"/>
      <c r="H911" s="6"/>
      <c r="I911" s="7"/>
      <c r="J911" s="2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2"/>
      <c r="C912" s="3"/>
      <c r="D912" s="4"/>
      <c r="E912" s="5"/>
      <c r="F912" s="5"/>
      <c r="G912" s="2"/>
      <c r="H912" s="6"/>
      <c r="I912" s="7"/>
      <c r="J912" s="2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2"/>
      <c r="C913" s="3"/>
      <c r="D913" s="4"/>
      <c r="E913" s="5"/>
      <c r="F913" s="5"/>
      <c r="G913" s="2"/>
      <c r="H913" s="6"/>
      <c r="I913" s="7"/>
      <c r="J913" s="2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2"/>
      <c r="C914" s="3"/>
      <c r="D914" s="4"/>
      <c r="E914" s="5"/>
      <c r="F914" s="5"/>
      <c r="G914" s="2"/>
      <c r="H914" s="6"/>
      <c r="I914" s="7"/>
      <c r="J914" s="2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2"/>
      <c r="C915" s="3"/>
      <c r="D915" s="4"/>
      <c r="E915" s="5"/>
      <c r="F915" s="5"/>
      <c r="G915" s="2"/>
      <c r="H915" s="6"/>
      <c r="I915" s="7"/>
      <c r="J915" s="2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2"/>
      <c r="C916" s="3"/>
      <c r="D916" s="4"/>
      <c r="E916" s="5"/>
      <c r="F916" s="5"/>
      <c r="G916" s="2"/>
      <c r="H916" s="6"/>
      <c r="I916" s="7"/>
      <c r="J916" s="2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2"/>
      <c r="C917" s="3"/>
      <c r="D917" s="4"/>
      <c r="E917" s="5"/>
      <c r="F917" s="5"/>
      <c r="G917" s="2"/>
      <c r="H917" s="6"/>
      <c r="I917" s="7"/>
      <c r="J917" s="2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2"/>
      <c r="C918" s="3"/>
      <c r="D918" s="4"/>
      <c r="E918" s="5"/>
      <c r="F918" s="5"/>
      <c r="G918" s="2"/>
      <c r="H918" s="6"/>
      <c r="I918" s="7"/>
      <c r="J918" s="2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2"/>
      <c r="C919" s="3"/>
      <c r="D919" s="4"/>
      <c r="E919" s="5"/>
      <c r="F919" s="5"/>
      <c r="G919" s="2"/>
      <c r="H919" s="6"/>
      <c r="I919" s="7"/>
      <c r="J919" s="2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2"/>
      <c r="C920" s="3"/>
      <c r="D920" s="4"/>
      <c r="E920" s="5"/>
      <c r="F920" s="5"/>
      <c r="G920" s="2"/>
      <c r="H920" s="6"/>
      <c r="I920" s="7"/>
      <c r="J920" s="2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2"/>
      <c r="C921" s="3"/>
      <c r="D921" s="4"/>
      <c r="E921" s="5"/>
      <c r="F921" s="5"/>
      <c r="G921" s="2"/>
      <c r="H921" s="6"/>
      <c r="I921" s="7"/>
      <c r="J921" s="2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2"/>
      <c r="C922" s="3"/>
      <c r="D922" s="4"/>
      <c r="E922" s="5"/>
      <c r="F922" s="5"/>
      <c r="G922" s="2"/>
      <c r="H922" s="6"/>
      <c r="I922" s="7"/>
      <c r="J922" s="2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2"/>
      <c r="C923" s="3"/>
      <c r="D923" s="4"/>
      <c r="E923" s="5"/>
      <c r="F923" s="5"/>
      <c r="G923" s="2"/>
      <c r="H923" s="6"/>
      <c r="I923" s="7"/>
      <c r="J923" s="2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2"/>
      <c r="C924" s="3"/>
      <c r="D924" s="4"/>
      <c r="E924" s="5"/>
      <c r="F924" s="5"/>
      <c r="G924" s="2"/>
      <c r="H924" s="6"/>
      <c r="I924" s="7"/>
      <c r="J924" s="2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2"/>
      <c r="C925" s="3"/>
      <c r="D925" s="4"/>
      <c r="E925" s="5"/>
      <c r="F925" s="5"/>
      <c r="G925" s="2"/>
      <c r="H925" s="6"/>
      <c r="I925" s="7"/>
      <c r="J925" s="2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2"/>
      <c r="C926" s="3"/>
      <c r="D926" s="4"/>
      <c r="E926" s="5"/>
      <c r="F926" s="5"/>
      <c r="G926" s="2"/>
      <c r="H926" s="6"/>
      <c r="I926" s="7"/>
      <c r="J926" s="2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2"/>
      <c r="C927" s="3"/>
      <c r="D927" s="4"/>
      <c r="E927" s="5"/>
      <c r="F927" s="5"/>
      <c r="G927" s="2"/>
      <c r="H927" s="6"/>
      <c r="I927" s="7"/>
      <c r="J927" s="2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2"/>
      <c r="C928" s="3"/>
      <c r="D928" s="4"/>
      <c r="E928" s="5"/>
      <c r="F928" s="5"/>
      <c r="G928" s="2"/>
      <c r="H928" s="6"/>
      <c r="I928" s="7"/>
      <c r="J928" s="2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2"/>
      <c r="C929" s="3"/>
      <c r="D929" s="4"/>
      <c r="E929" s="5"/>
      <c r="F929" s="5"/>
      <c r="G929" s="2"/>
      <c r="H929" s="6"/>
      <c r="I929" s="7"/>
      <c r="J929" s="2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2"/>
      <c r="C930" s="3"/>
      <c r="D930" s="4"/>
      <c r="E930" s="5"/>
      <c r="F930" s="5"/>
      <c r="G930" s="2"/>
      <c r="H930" s="6"/>
      <c r="I930" s="7"/>
      <c r="J930" s="2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2"/>
      <c r="C931" s="3"/>
      <c r="D931" s="4"/>
      <c r="E931" s="5"/>
      <c r="F931" s="5"/>
      <c r="G931" s="2"/>
      <c r="H931" s="6"/>
      <c r="I931" s="7"/>
      <c r="J931" s="2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2"/>
      <c r="C932" s="3"/>
      <c r="D932" s="4"/>
      <c r="E932" s="5"/>
      <c r="F932" s="5"/>
      <c r="G932" s="2"/>
      <c r="H932" s="6"/>
      <c r="I932" s="7"/>
      <c r="J932" s="2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2"/>
      <c r="C933" s="3"/>
      <c r="D933" s="4"/>
      <c r="E933" s="5"/>
      <c r="F933" s="5"/>
      <c r="G933" s="2"/>
      <c r="H933" s="6"/>
      <c r="I933" s="7"/>
      <c r="J933" s="2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2"/>
      <c r="C934" s="3"/>
      <c r="D934" s="4"/>
      <c r="E934" s="5"/>
      <c r="F934" s="5"/>
      <c r="G934" s="2"/>
      <c r="H934" s="6"/>
      <c r="I934" s="7"/>
      <c r="J934" s="2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2"/>
      <c r="C935" s="3"/>
      <c r="D935" s="4"/>
      <c r="E935" s="5"/>
      <c r="F935" s="5"/>
      <c r="G935" s="2"/>
      <c r="H935" s="6"/>
      <c r="I935" s="7"/>
      <c r="J935" s="2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2"/>
      <c r="C936" s="3"/>
      <c r="D936" s="4"/>
      <c r="E936" s="5"/>
      <c r="F936" s="5"/>
      <c r="G936" s="2"/>
      <c r="H936" s="6"/>
      <c r="I936" s="7"/>
      <c r="J936" s="2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2"/>
      <c r="C937" s="3"/>
      <c r="D937" s="4"/>
      <c r="E937" s="5"/>
      <c r="F937" s="5"/>
      <c r="G937" s="2"/>
      <c r="H937" s="6"/>
      <c r="I937" s="7"/>
      <c r="J937" s="2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2"/>
      <c r="C938" s="3"/>
      <c r="D938" s="4"/>
      <c r="E938" s="5"/>
      <c r="F938" s="5"/>
      <c r="G938" s="2"/>
      <c r="H938" s="6"/>
      <c r="I938" s="7"/>
      <c r="J938" s="2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2"/>
      <c r="C939" s="3"/>
      <c r="D939" s="4"/>
      <c r="E939" s="5"/>
      <c r="F939" s="5"/>
      <c r="G939" s="2"/>
      <c r="H939" s="6"/>
      <c r="I939" s="7"/>
      <c r="J939" s="2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2"/>
      <c r="C940" s="3"/>
      <c r="D940" s="4"/>
      <c r="E940" s="5"/>
      <c r="F940" s="5"/>
      <c r="G940" s="2"/>
      <c r="H940" s="6"/>
      <c r="I940" s="7"/>
      <c r="J940" s="2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2"/>
      <c r="C941" s="3"/>
      <c r="D941" s="4"/>
      <c r="E941" s="5"/>
      <c r="F941" s="5"/>
      <c r="G941" s="2"/>
      <c r="H941" s="6"/>
      <c r="I941" s="7"/>
      <c r="J941" s="2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2"/>
      <c r="C942" s="3"/>
      <c r="D942" s="4"/>
      <c r="E942" s="5"/>
      <c r="F942" s="5"/>
      <c r="G942" s="2"/>
      <c r="H942" s="6"/>
      <c r="I942" s="7"/>
      <c r="J942" s="2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2"/>
      <c r="C943" s="3"/>
      <c r="D943" s="4"/>
      <c r="E943" s="5"/>
      <c r="F943" s="5"/>
      <c r="G943" s="2"/>
      <c r="H943" s="6"/>
      <c r="I943" s="7"/>
      <c r="J943" s="2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2"/>
      <c r="C944" s="3"/>
      <c r="D944" s="4"/>
      <c r="E944" s="5"/>
      <c r="F944" s="5"/>
      <c r="G944" s="2"/>
      <c r="H944" s="6"/>
      <c r="I944" s="7"/>
      <c r="J944" s="2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2"/>
      <c r="C945" s="3"/>
      <c r="D945" s="4"/>
      <c r="E945" s="5"/>
      <c r="F945" s="5"/>
      <c r="G945" s="2"/>
      <c r="H945" s="6"/>
      <c r="I945" s="7"/>
      <c r="J945" s="2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2"/>
      <c r="C946" s="3"/>
      <c r="D946" s="4"/>
      <c r="E946" s="5"/>
      <c r="F946" s="5"/>
      <c r="G946" s="2"/>
      <c r="H946" s="6"/>
      <c r="I946" s="7"/>
      <c r="J946" s="2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2"/>
      <c r="C947" s="3"/>
      <c r="D947" s="4"/>
      <c r="E947" s="5"/>
      <c r="F947" s="5"/>
      <c r="G947" s="2"/>
      <c r="H947" s="6"/>
      <c r="I947" s="7"/>
      <c r="J947" s="2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2"/>
      <c r="C948" s="3"/>
      <c r="D948" s="4"/>
      <c r="E948" s="5"/>
      <c r="F948" s="5"/>
      <c r="G948" s="2"/>
      <c r="H948" s="6"/>
      <c r="I948" s="7"/>
      <c r="J948" s="2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2"/>
      <c r="C949" s="3"/>
      <c r="D949" s="4"/>
      <c r="E949" s="5"/>
      <c r="F949" s="5"/>
      <c r="G949" s="2"/>
      <c r="H949" s="6"/>
      <c r="I949" s="7"/>
      <c r="J949" s="2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2"/>
      <c r="C950" s="3"/>
      <c r="D950" s="4"/>
      <c r="E950" s="5"/>
      <c r="F950" s="5"/>
      <c r="G950" s="2"/>
      <c r="H950" s="6"/>
      <c r="I950" s="7"/>
      <c r="J950" s="2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2"/>
      <c r="C951" s="3"/>
      <c r="D951" s="4"/>
      <c r="E951" s="5"/>
      <c r="F951" s="5"/>
      <c r="G951" s="2"/>
      <c r="H951" s="6"/>
      <c r="I951" s="7"/>
      <c r="J951" s="2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2"/>
      <c r="C952" s="3"/>
      <c r="D952" s="4"/>
      <c r="E952" s="5"/>
      <c r="F952" s="5"/>
      <c r="G952" s="2"/>
      <c r="H952" s="6"/>
      <c r="I952" s="7"/>
      <c r="J952" s="2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2"/>
      <c r="C953" s="3"/>
      <c r="D953" s="4"/>
      <c r="E953" s="5"/>
      <c r="F953" s="5"/>
      <c r="G953" s="2"/>
      <c r="H953" s="6"/>
      <c r="I953" s="7"/>
      <c r="J953" s="2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2"/>
      <c r="C954" s="3"/>
      <c r="D954" s="4"/>
      <c r="E954" s="5"/>
      <c r="F954" s="5"/>
      <c r="G954" s="2"/>
      <c r="H954" s="6"/>
      <c r="I954" s="7"/>
      <c r="J954" s="2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2"/>
      <c r="C955" s="3"/>
      <c r="D955" s="4"/>
      <c r="E955" s="5"/>
      <c r="F955" s="5"/>
      <c r="G955" s="2"/>
      <c r="H955" s="6"/>
      <c r="I955" s="7"/>
      <c r="J955" s="2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2"/>
      <c r="C956" s="3"/>
      <c r="D956" s="4"/>
      <c r="E956" s="5"/>
      <c r="F956" s="5"/>
      <c r="G956" s="2"/>
      <c r="H956" s="6"/>
      <c r="I956" s="7"/>
      <c r="J956" s="2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2"/>
      <c r="C957" s="3"/>
      <c r="D957" s="4"/>
      <c r="E957" s="5"/>
      <c r="F957" s="5"/>
      <c r="G957" s="2"/>
      <c r="H957" s="6"/>
      <c r="I957" s="7"/>
      <c r="J957" s="2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2"/>
      <c r="C958" s="3"/>
      <c r="D958" s="4"/>
      <c r="E958" s="5"/>
      <c r="F958" s="5"/>
      <c r="G958" s="2"/>
      <c r="H958" s="6"/>
      <c r="I958" s="7"/>
      <c r="J958" s="2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2"/>
      <c r="C959" s="3"/>
      <c r="D959" s="4"/>
      <c r="E959" s="5"/>
      <c r="F959" s="5"/>
      <c r="G959" s="2"/>
      <c r="H959" s="6"/>
      <c r="I959" s="7"/>
      <c r="J959" s="2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2"/>
      <c r="C960" s="3"/>
      <c r="D960" s="4"/>
      <c r="E960" s="5"/>
      <c r="F960" s="5"/>
      <c r="G960" s="2"/>
      <c r="H960" s="6"/>
      <c r="I960" s="7"/>
      <c r="J960" s="2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2"/>
      <c r="C961" s="3"/>
      <c r="D961" s="4"/>
      <c r="E961" s="5"/>
      <c r="F961" s="5"/>
      <c r="G961" s="2"/>
      <c r="H961" s="6"/>
      <c r="I961" s="7"/>
      <c r="J961" s="2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2"/>
      <c r="C962" s="3"/>
      <c r="D962" s="4"/>
      <c r="E962" s="5"/>
      <c r="F962" s="5"/>
      <c r="G962" s="2"/>
      <c r="H962" s="6"/>
      <c r="I962" s="7"/>
      <c r="J962" s="2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2"/>
      <c r="C963" s="3"/>
      <c r="D963" s="4"/>
      <c r="E963" s="5"/>
      <c r="F963" s="5"/>
      <c r="G963" s="2"/>
      <c r="H963" s="6"/>
      <c r="I963" s="7"/>
      <c r="J963" s="2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2"/>
      <c r="C964" s="3"/>
      <c r="D964" s="4"/>
      <c r="E964" s="5"/>
      <c r="F964" s="5"/>
      <c r="G964" s="2"/>
      <c r="H964" s="6"/>
      <c r="I964" s="7"/>
      <c r="J964" s="2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2"/>
      <c r="C965" s="3"/>
      <c r="D965" s="4"/>
      <c r="E965" s="5"/>
      <c r="F965" s="5"/>
      <c r="G965" s="2"/>
      <c r="H965" s="6"/>
      <c r="I965" s="7"/>
      <c r="J965" s="2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2"/>
      <c r="C966" s="3"/>
      <c r="D966" s="4"/>
      <c r="E966" s="5"/>
      <c r="F966" s="5"/>
      <c r="G966" s="2"/>
      <c r="H966" s="6"/>
      <c r="I966" s="7"/>
      <c r="J966" s="2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2"/>
      <c r="C967" s="3"/>
      <c r="D967" s="4"/>
      <c r="E967" s="5"/>
      <c r="F967" s="5"/>
      <c r="G967" s="2"/>
      <c r="H967" s="6"/>
      <c r="I967" s="7"/>
      <c r="J967" s="2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2"/>
      <c r="C968" s="3"/>
      <c r="D968" s="4"/>
      <c r="E968" s="5"/>
      <c r="F968" s="5"/>
      <c r="G968" s="2"/>
      <c r="H968" s="6"/>
      <c r="I968" s="7"/>
      <c r="J968" s="2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2"/>
      <c r="C969" s="3"/>
      <c r="D969" s="4"/>
      <c r="E969" s="5"/>
      <c r="F969" s="5"/>
      <c r="G969" s="2"/>
      <c r="H969" s="6"/>
      <c r="I969" s="7"/>
      <c r="J969" s="2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2"/>
      <c r="C970" s="3"/>
      <c r="D970" s="4"/>
      <c r="E970" s="5"/>
      <c r="F970" s="5"/>
      <c r="G970" s="2"/>
      <c r="H970" s="6"/>
      <c r="I970" s="7"/>
      <c r="J970" s="2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2"/>
      <c r="C971" s="3"/>
      <c r="D971" s="4"/>
      <c r="E971" s="5"/>
      <c r="F971" s="5"/>
      <c r="G971" s="2"/>
      <c r="H971" s="6"/>
      <c r="I971" s="7"/>
      <c r="J971" s="2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2"/>
      <c r="C972" s="3"/>
      <c r="D972" s="4"/>
      <c r="E972" s="5"/>
      <c r="F972" s="5"/>
      <c r="G972" s="2"/>
      <c r="H972" s="6"/>
      <c r="I972" s="7"/>
      <c r="J972" s="2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2"/>
      <c r="C973" s="3"/>
      <c r="D973" s="4"/>
      <c r="E973" s="5"/>
      <c r="F973" s="5"/>
      <c r="G973" s="2"/>
      <c r="H973" s="6"/>
      <c r="I973" s="7"/>
      <c r="J973" s="2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2"/>
      <c r="C974" s="3"/>
      <c r="D974" s="4"/>
      <c r="E974" s="5"/>
      <c r="F974" s="5"/>
      <c r="G974" s="2"/>
      <c r="H974" s="6"/>
      <c r="I974" s="7"/>
      <c r="J974" s="2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2"/>
      <c r="C975" s="3"/>
      <c r="D975" s="4"/>
      <c r="E975" s="5"/>
      <c r="F975" s="5"/>
      <c r="G975" s="2"/>
      <c r="H975" s="6"/>
      <c r="I975" s="7"/>
      <c r="J975" s="2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2"/>
      <c r="C976" s="3"/>
      <c r="D976" s="4"/>
      <c r="E976" s="5"/>
      <c r="F976" s="5"/>
      <c r="G976" s="2"/>
      <c r="H976" s="6"/>
      <c r="I976" s="7"/>
      <c r="J976" s="2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2"/>
      <c r="C977" s="3"/>
      <c r="D977" s="4"/>
      <c r="E977" s="5"/>
      <c r="F977" s="5"/>
      <c r="G977" s="2"/>
      <c r="H977" s="6"/>
      <c r="I977" s="7"/>
      <c r="J977" s="2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2"/>
      <c r="C978" s="3"/>
      <c r="D978" s="4"/>
      <c r="E978" s="5"/>
      <c r="F978" s="5"/>
      <c r="G978" s="2"/>
      <c r="H978" s="6"/>
      <c r="I978" s="7"/>
      <c r="J978" s="2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2"/>
      <c r="C979" s="3"/>
      <c r="D979" s="4"/>
      <c r="E979" s="5"/>
      <c r="F979" s="5"/>
      <c r="G979" s="2"/>
      <c r="H979" s="6"/>
      <c r="I979" s="7"/>
      <c r="J979" s="2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2"/>
      <c r="C980" s="3"/>
      <c r="D980" s="4"/>
      <c r="E980" s="5"/>
      <c r="F980" s="5"/>
      <c r="G980" s="2"/>
      <c r="H980" s="6"/>
      <c r="I980" s="7"/>
      <c r="J980" s="2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2"/>
      <c r="C981" s="3"/>
      <c r="D981" s="4"/>
      <c r="E981" s="5"/>
      <c r="F981" s="5"/>
      <c r="G981" s="2"/>
      <c r="H981" s="6"/>
      <c r="I981" s="7"/>
      <c r="J981" s="2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2"/>
      <c r="C982" s="3"/>
      <c r="D982" s="4"/>
      <c r="E982" s="5"/>
      <c r="F982" s="5"/>
      <c r="G982" s="2"/>
      <c r="H982" s="6"/>
      <c r="I982" s="7"/>
      <c r="J982" s="2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2"/>
      <c r="C983" s="3"/>
      <c r="D983" s="4"/>
      <c r="E983" s="5"/>
      <c r="F983" s="5"/>
      <c r="G983" s="2"/>
      <c r="H983" s="6"/>
      <c r="I983" s="7"/>
      <c r="J983" s="2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2"/>
      <c r="C984" s="3"/>
      <c r="D984" s="4"/>
      <c r="E984" s="5"/>
      <c r="F984" s="5"/>
      <c r="G984" s="2"/>
      <c r="H984" s="6"/>
      <c r="I984" s="7"/>
      <c r="J984" s="2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2"/>
      <c r="C985" s="3"/>
      <c r="D985" s="4"/>
      <c r="E985" s="5"/>
      <c r="F985" s="5"/>
      <c r="G985" s="2"/>
      <c r="H985" s="6"/>
      <c r="I985" s="7"/>
      <c r="J985" s="2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2"/>
      <c r="C986" s="3"/>
      <c r="D986" s="4"/>
      <c r="E986" s="5"/>
      <c r="F986" s="5"/>
      <c r="G986" s="2"/>
      <c r="H986" s="6"/>
      <c r="I986" s="7"/>
      <c r="J986" s="2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2"/>
      <c r="C987" s="3"/>
      <c r="D987" s="4"/>
      <c r="E987" s="5"/>
      <c r="F987" s="5"/>
      <c r="G987" s="2"/>
      <c r="H987" s="6"/>
      <c r="I987" s="7"/>
      <c r="J987" s="2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2"/>
      <c r="C988" s="3"/>
      <c r="D988" s="4"/>
      <c r="E988" s="5"/>
      <c r="F988" s="5"/>
      <c r="G988" s="2"/>
      <c r="H988" s="6"/>
      <c r="I988" s="7"/>
      <c r="J988" s="2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2"/>
      <c r="C989" s="3"/>
      <c r="D989" s="4"/>
      <c r="E989" s="5"/>
      <c r="F989" s="5"/>
      <c r="G989" s="2"/>
      <c r="H989" s="6"/>
      <c r="I989" s="7"/>
      <c r="J989" s="2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2"/>
      <c r="C990" s="3"/>
      <c r="D990" s="4"/>
      <c r="E990" s="5"/>
      <c r="F990" s="5"/>
      <c r="G990" s="2"/>
      <c r="H990" s="6"/>
      <c r="I990" s="7"/>
      <c r="J990" s="2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2"/>
      <c r="C991" s="3"/>
      <c r="D991" s="4"/>
      <c r="E991" s="5"/>
      <c r="F991" s="5"/>
      <c r="G991" s="2"/>
      <c r="H991" s="6"/>
      <c r="I991" s="7"/>
      <c r="J991" s="2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2"/>
      <c r="C992" s="3"/>
      <c r="D992" s="4"/>
      <c r="E992" s="5"/>
      <c r="F992" s="5"/>
      <c r="G992" s="2"/>
      <c r="H992" s="6"/>
      <c r="I992" s="7"/>
      <c r="J992" s="2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2"/>
      <c r="C993" s="3"/>
      <c r="D993" s="4"/>
      <c r="E993" s="5"/>
      <c r="F993" s="5"/>
      <c r="G993" s="2"/>
      <c r="H993" s="6"/>
      <c r="I993" s="7"/>
      <c r="J993" s="2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2"/>
      <c r="C994" s="3"/>
      <c r="D994" s="4"/>
      <c r="E994" s="5"/>
      <c r="F994" s="5"/>
      <c r="G994" s="2"/>
      <c r="H994" s="6"/>
      <c r="I994" s="7"/>
      <c r="J994" s="2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2"/>
      <c r="C995" s="3"/>
      <c r="D995" s="4"/>
      <c r="E995" s="5"/>
      <c r="F995" s="5"/>
      <c r="G995" s="2"/>
      <c r="H995" s="6"/>
      <c r="I995" s="7"/>
      <c r="J995" s="2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2"/>
      <c r="C996" s="3"/>
      <c r="D996" s="4"/>
      <c r="E996" s="5"/>
      <c r="F996" s="5"/>
      <c r="G996" s="2"/>
      <c r="H996" s="6"/>
      <c r="I996" s="7"/>
      <c r="J996" s="2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2"/>
      <c r="C997" s="3"/>
      <c r="D997" s="4"/>
      <c r="E997" s="5"/>
      <c r="F997" s="5"/>
      <c r="G997" s="2"/>
      <c r="H997" s="6"/>
      <c r="I997" s="7"/>
      <c r="J997" s="2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2"/>
      <c r="C998" s="3"/>
      <c r="D998" s="4"/>
      <c r="E998" s="5"/>
      <c r="F998" s="5"/>
      <c r="G998" s="2"/>
      <c r="H998" s="6"/>
      <c r="I998" s="7"/>
      <c r="J998" s="2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2"/>
      <c r="C999" s="3"/>
      <c r="D999" s="4"/>
      <c r="E999" s="5"/>
      <c r="F999" s="5"/>
      <c r="G999" s="2"/>
      <c r="H999" s="6"/>
      <c r="I999" s="7"/>
      <c r="J999" s="2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2"/>
      <c r="C1000" s="3"/>
      <c r="D1000" s="4"/>
      <c r="E1000" s="5"/>
      <c r="F1000" s="5"/>
      <c r="G1000" s="2"/>
      <c r="H1000" s="6"/>
      <c r="I1000" s="7"/>
      <c r="J1000" s="2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2"/>
      <c r="C1001" s="3"/>
      <c r="D1001" s="4"/>
      <c r="E1001" s="5"/>
      <c r="F1001" s="5"/>
      <c r="G1001" s="2"/>
      <c r="H1001" s="6"/>
      <c r="I1001" s="7"/>
      <c r="J1001" s="2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2"/>
      <c r="C1002" s="3"/>
      <c r="D1002" s="4"/>
      <c r="E1002" s="5"/>
      <c r="F1002" s="5"/>
      <c r="G1002" s="2"/>
      <c r="H1002" s="6"/>
      <c r="I1002" s="7"/>
      <c r="J1002" s="2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2"/>
      <c r="C1003" s="3"/>
      <c r="D1003" s="4"/>
      <c r="E1003" s="5"/>
      <c r="F1003" s="5"/>
      <c r="G1003" s="2"/>
      <c r="H1003" s="6"/>
      <c r="I1003" s="7"/>
      <c r="J1003" s="2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2"/>
      <c r="C1004" s="3"/>
      <c r="D1004" s="4"/>
      <c r="E1004" s="5"/>
      <c r="F1004" s="5"/>
      <c r="G1004" s="2"/>
      <c r="H1004" s="6"/>
      <c r="I1004" s="7"/>
      <c r="J1004" s="2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2"/>
      <c r="C1005" s="3"/>
      <c r="D1005" s="4"/>
      <c r="E1005" s="5"/>
      <c r="F1005" s="5"/>
      <c r="G1005" s="2"/>
      <c r="H1005" s="6"/>
      <c r="I1005" s="7"/>
      <c r="J1005" s="2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2"/>
      <c r="C1006" s="3"/>
      <c r="D1006" s="4"/>
      <c r="E1006" s="5"/>
      <c r="F1006" s="5"/>
      <c r="G1006" s="2"/>
      <c r="H1006" s="6"/>
      <c r="I1006" s="7"/>
      <c r="J1006" s="2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2"/>
      <c r="C1007" s="3"/>
      <c r="D1007" s="4"/>
      <c r="E1007" s="5"/>
      <c r="F1007" s="5"/>
      <c r="G1007" s="2"/>
      <c r="H1007" s="6"/>
      <c r="I1007" s="7"/>
      <c r="J1007" s="2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2"/>
      <c r="C1008" s="3"/>
      <c r="D1008" s="4"/>
      <c r="E1008" s="5"/>
      <c r="F1008" s="5"/>
      <c r="G1008" s="2"/>
      <c r="H1008" s="6"/>
      <c r="I1008" s="7"/>
      <c r="J1008" s="2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2"/>
      <c r="C1009" s="3"/>
      <c r="D1009" s="4"/>
      <c r="E1009" s="5"/>
      <c r="F1009" s="5"/>
      <c r="G1009" s="2"/>
      <c r="H1009" s="6"/>
      <c r="I1009" s="7"/>
      <c r="J1009" s="2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2"/>
      <c r="C1010" s="3"/>
      <c r="D1010" s="4"/>
      <c r="E1010" s="5"/>
      <c r="F1010" s="5"/>
      <c r="G1010" s="2"/>
      <c r="H1010" s="6"/>
      <c r="I1010" s="7"/>
      <c r="J1010" s="2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2"/>
      <c r="C1011" s="3"/>
      <c r="D1011" s="4"/>
      <c r="E1011" s="5"/>
      <c r="F1011" s="5"/>
      <c r="G1011" s="2"/>
      <c r="H1011" s="6"/>
      <c r="I1011" s="7"/>
      <c r="J1011" s="2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2"/>
      <c r="C1012" s="3"/>
      <c r="D1012" s="4"/>
      <c r="E1012" s="5"/>
      <c r="F1012" s="5"/>
      <c r="G1012" s="2"/>
      <c r="H1012" s="6"/>
      <c r="I1012" s="7"/>
      <c r="J1012" s="2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2"/>
      <c r="C1013" s="3"/>
      <c r="D1013" s="4"/>
      <c r="E1013" s="5"/>
      <c r="F1013" s="5"/>
      <c r="G1013" s="2"/>
      <c r="H1013" s="6"/>
      <c r="I1013" s="7"/>
      <c r="J1013" s="2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2"/>
      <c r="C1014" s="3"/>
      <c r="D1014" s="4"/>
      <c r="E1014" s="5"/>
      <c r="F1014" s="5"/>
      <c r="G1014" s="2"/>
      <c r="H1014" s="6"/>
      <c r="I1014" s="7"/>
      <c r="J1014" s="2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2"/>
      <c r="C1015" s="3"/>
      <c r="D1015" s="4"/>
      <c r="E1015" s="5"/>
      <c r="F1015" s="5"/>
      <c r="G1015" s="2"/>
      <c r="H1015" s="6"/>
      <c r="I1015" s="7"/>
      <c r="J1015" s="2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2"/>
      <c r="C1016" s="3"/>
      <c r="D1016" s="4"/>
      <c r="E1016" s="5"/>
      <c r="F1016" s="5"/>
      <c r="G1016" s="2"/>
      <c r="H1016" s="6"/>
      <c r="I1016" s="7"/>
      <c r="J1016" s="2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2"/>
      <c r="C1017" s="3"/>
      <c r="D1017" s="4"/>
      <c r="E1017" s="5"/>
      <c r="F1017" s="5"/>
      <c r="G1017" s="2"/>
      <c r="H1017" s="6"/>
      <c r="I1017" s="7"/>
      <c r="J1017" s="2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2"/>
      <c r="C1018" s="3"/>
      <c r="D1018" s="4"/>
      <c r="E1018" s="5"/>
      <c r="F1018" s="5"/>
      <c r="G1018" s="2"/>
      <c r="H1018" s="6"/>
      <c r="I1018" s="7"/>
      <c r="J1018" s="2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2"/>
      <c r="C1019" s="3"/>
      <c r="D1019" s="4"/>
      <c r="E1019" s="5"/>
      <c r="F1019" s="5"/>
      <c r="G1019" s="2"/>
      <c r="H1019" s="6"/>
      <c r="I1019" s="7"/>
      <c r="J1019" s="2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2"/>
      <c r="C1020" s="3"/>
      <c r="D1020" s="4"/>
      <c r="E1020" s="5"/>
      <c r="F1020" s="5"/>
      <c r="G1020" s="2"/>
      <c r="H1020" s="6"/>
      <c r="I1020" s="7"/>
      <c r="J1020" s="2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2"/>
      <c r="C1021" s="3"/>
      <c r="D1021" s="4"/>
      <c r="E1021" s="5"/>
      <c r="F1021" s="5"/>
      <c r="G1021" s="2"/>
      <c r="H1021" s="6"/>
      <c r="I1021" s="7"/>
      <c r="J1021" s="2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2"/>
      <c r="C1022" s="3"/>
      <c r="D1022" s="4"/>
      <c r="E1022" s="5"/>
      <c r="F1022" s="5"/>
      <c r="G1022" s="2"/>
      <c r="H1022" s="6"/>
      <c r="I1022" s="7"/>
      <c r="J1022" s="2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2"/>
      <c r="C1023" s="3"/>
      <c r="D1023" s="4"/>
      <c r="E1023" s="5"/>
      <c r="F1023" s="5"/>
      <c r="G1023" s="2"/>
      <c r="H1023" s="6"/>
      <c r="I1023" s="7"/>
      <c r="J1023" s="2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/>
      <c r="B1024" s="2"/>
      <c r="C1024" s="3"/>
      <c r="D1024" s="4"/>
      <c r="E1024" s="5"/>
      <c r="F1024" s="5"/>
      <c r="G1024" s="2"/>
      <c r="H1024" s="6"/>
      <c r="I1024" s="7"/>
      <c r="J1024" s="2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5"/>
      <c r="B1025" s="2"/>
      <c r="C1025" s="3"/>
      <c r="D1025" s="4"/>
      <c r="E1025" s="5"/>
      <c r="F1025" s="5"/>
      <c r="G1025" s="2"/>
      <c r="H1025" s="6"/>
      <c r="I1025" s="7"/>
      <c r="J1025" s="2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5"/>
      <c r="B1026" s="2"/>
      <c r="C1026" s="3"/>
      <c r="D1026" s="4"/>
      <c r="E1026" s="5"/>
      <c r="F1026" s="5"/>
      <c r="G1026" s="2"/>
      <c r="H1026" s="6"/>
      <c r="I1026" s="7"/>
      <c r="J1026" s="2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5"/>
      <c r="B1027" s="2"/>
      <c r="C1027" s="3"/>
      <c r="D1027" s="4"/>
      <c r="E1027" s="5"/>
      <c r="F1027" s="5"/>
      <c r="G1027" s="2"/>
      <c r="H1027" s="6"/>
      <c r="I1027" s="7"/>
      <c r="J1027" s="2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5"/>
      <c r="B1028" s="2"/>
      <c r="C1028" s="3"/>
      <c r="D1028" s="4"/>
      <c r="E1028" s="5"/>
      <c r="F1028" s="5"/>
      <c r="G1028" s="2"/>
      <c r="H1028" s="6"/>
      <c r="I1028" s="7"/>
      <c r="J1028" s="2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5"/>
      <c r="B1029" s="2"/>
      <c r="C1029" s="3"/>
      <c r="D1029" s="4"/>
      <c r="E1029" s="5"/>
      <c r="F1029" s="5"/>
      <c r="G1029" s="2"/>
      <c r="H1029" s="6"/>
      <c r="I1029" s="7"/>
      <c r="J1029" s="2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5"/>
      <c r="B1030" s="2"/>
      <c r="C1030" s="3"/>
      <c r="D1030" s="4"/>
      <c r="E1030" s="5"/>
      <c r="F1030" s="5"/>
      <c r="G1030" s="2"/>
      <c r="H1030" s="6"/>
      <c r="I1030" s="7"/>
      <c r="J1030" s="2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5"/>
      <c r="B1031" s="2"/>
      <c r="C1031" s="3"/>
      <c r="D1031" s="4"/>
      <c r="E1031" s="5"/>
      <c r="F1031" s="5"/>
      <c r="G1031" s="2"/>
      <c r="H1031" s="6"/>
      <c r="I1031" s="7"/>
      <c r="J1031" s="2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5"/>
      <c r="B1032" s="2"/>
      <c r="C1032" s="3"/>
      <c r="D1032" s="4"/>
      <c r="E1032" s="5"/>
      <c r="F1032" s="5"/>
      <c r="G1032" s="2"/>
      <c r="H1032" s="6"/>
      <c r="I1032" s="7"/>
      <c r="J1032" s="2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5"/>
      <c r="B1033" s="2"/>
      <c r="C1033" s="3"/>
      <c r="D1033" s="4"/>
      <c r="E1033" s="5"/>
      <c r="F1033" s="5"/>
      <c r="G1033" s="2"/>
      <c r="H1033" s="6"/>
      <c r="I1033" s="7"/>
      <c r="J1033" s="2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5"/>
      <c r="B1034" s="2"/>
      <c r="C1034" s="3"/>
      <c r="D1034" s="4"/>
      <c r="E1034" s="5"/>
      <c r="F1034" s="5"/>
      <c r="G1034" s="2"/>
      <c r="H1034" s="6"/>
      <c r="I1034" s="7"/>
      <c r="J1034" s="2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5"/>
      <c r="B1035" s="2"/>
      <c r="C1035" s="3"/>
      <c r="D1035" s="4"/>
      <c r="E1035" s="5"/>
      <c r="F1035" s="5"/>
      <c r="G1035" s="2"/>
      <c r="H1035" s="6"/>
      <c r="I1035" s="7"/>
      <c r="J1035" s="2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5"/>
      <c r="B1036" s="2"/>
      <c r="C1036" s="3"/>
      <c r="D1036" s="4"/>
      <c r="E1036" s="5"/>
      <c r="F1036" s="5"/>
      <c r="G1036" s="2"/>
      <c r="H1036" s="6"/>
      <c r="I1036" s="7"/>
      <c r="J1036" s="2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5"/>
      <c r="B1037" s="2"/>
      <c r="C1037" s="3"/>
      <c r="D1037" s="4"/>
      <c r="E1037" s="5"/>
      <c r="F1037" s="5"/>
      <c r="G1037" s="2"/>
      <c r="H1037" s="6"/>
      <c r="I1037" s="7"/>
      <c r="J1037" s="2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5"/>
      <c r="B1038" s="2"/>
      <c r="C1038" s="3"/>
      <c r="D1038" s="4"/>
      <c r="E1038" s="5"/>
      <c r="F1038" s="5"/>
      <c r="G1038" s="2"/>
      <c r="H1038" s="6"/>
      <c r="I1038" s="7"/>
      <c r="J1038" s="2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5"/>
      <c r="B1039" s="2"/>
      <c r="C1039" s="3"/>
      <c r="D1039" s="4"/>
      <c r="E1039" s="5"/>
      <c r="F1039" s="5"/>
      <c r="G1039" s="2"/>
      <c r="H1039" s="6"/>
      <c r="I1039" s="7"/>
      <c r="J1039" s="2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5"/>
      <c r="B1040" s="2"/>
      <c r="C1040" s="3"/>
      <c r="D1040" s="4"/>
      <c r="E1040" s="5"/>
      <c r="F1040" s="5"/>
      <c r="G1040" s="2"/>
      <c r="H1040" s="6"/>
      <c r="I1040" s="7"/>
      <c r="J1040" s="2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5"/>
      <c r="B1041" s="2"/>
      <c r="C1041" s="3"/>
      <c r="D1041" s="4"/>
      <c r="E1041" s="5"/>
      <c r="F1041" s="5"/>
      <c r="G1041" s="2"/>
      <c r="H1041" s="6"/>
      <c r="I1041" s="7"/>
      <c r="J1041" s="2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5"/>
      <c r="B1042" s="2"/>
      <c r="C1042" s="3"/>
      <c r="D1042" s="4"/>
      <c r="E1042" s="5"/>
      <c r="F1042" s="5"/>
      <c r="G1042" s="2"/>
      <c r="H1042" s="6"/>
      <c r="I1042" s="7"/>
      <c r="J1042" s="2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5"/>
      <c r="B1043" s="2"/>
      <c r="C1043" s="3"/>
      <c r="D1043" s="4"/>
      <c r="E1043" s="5"/>
      <c r="F1043" s="5"/>
      <c r="G1043" s="2"/>
      <c r="H1043" s="6"/>
      <c r="I1043" s="7"/>
      <c r="J1043" s="2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5"/>
      <c r="B1044" s="2"/>
      <c r="C1044" s="3"/>
      <c r="D1044" s="4"/>
      <c r="E1044" s="5"/>
      <c r="F1044" s="5"/>
      <c r="G1044" s="2"/>
      <c r="H1044" s="6"/>
      <c r="I1044" s="7"/>
      <c r="J1044" s="2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5"/>
      <c r="B1045" s="2"/>
      <c r="C1045" s="3"/>
      <c r="D1045" s="4"/>
      <c r="E1045" s="5"/>
      <c r="F1045" s="5"/>
      <c r="G1045" s="2"/>
      <c r="H1045" s="6"/>
      <c r="I1045" s="7"/>
      <c r="J1045" s="2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5"/>
      <c r="B1046" s="2"/>
      <c r="C1046" s="3"/>
      <c r="D1046" s="4"/>
      <c r="E1046" s="5"/>
      <c r="F1046" s="5"/>
      <c r="G1046" s="2"/>
      <c r="H1046" s="6"/>
      <c r="I1046" s="7"/>
      <c r="J1046" s="2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5"/>
      <c r="B1047" s="2"/>
      <c r="C1047" s="3"/>
      <c r="D1047" s="4"/>
      <c r="E1047" s="5"/>
      <c r="F1047" s="5"/>
      <c r="G1047" s="2"/>
      <c r="H1047" s="6"/>
      <c r="I1047" s="7"/>
      <c r="J1047" s="2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5"/>
      <c r="B1048" s="2"/>
      <c r="C1048" s="3"/>
      <c r="D1048" s="4"/>
      <c r="E1048" s="5"/>
      <c r="F1048" s="5"/>
      <c r="G1048" s="2"/>
      <c r="H1048" s="6"/>
      <c r="I1048" s="7"/>
      <c r="J1048" s="2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5"/>
      <c r="B1049" s="2"/>
      <c r="C1049" s="3"/>
      <c r="D1049" s="4"/>
      <c r="E1049" s="5"/>
      <c r="F1049" s="5"/>
      <c r="G1049" s="2"/>
      <c r="H1049" s="6"/>
      <c r="I1049" s="7"/>
      <c r="J1049" s="2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5"/>
      <c r="B1050" s="2"/>
      <c r="C1050" s="3"/>
      <c r="D1050" s="4"/>
      <c r="E1050" s="5"/>
      <c r="F1050" s="5"/>
      <c r="G1050" s="2"/>
      <c r="H1050" s="6"/>
      <c r="I1050" s="7"/>
      <c r="J1050" s="2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5"/>
      <c r="B1051" s="2"/>
      <c r="C1051" s="3"/>
      <c r="D1051" s="4"/>
      <c r="E1051" s="5"/>
      <c r="F1051" s="5"/>
      <c r="G1051" s="2"/>
      <c r="H1051" s="6"/>
      <c r="I1051" s="7"/>
      <c r="J1051" s="2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5"/>
      <c r="B1052" s="2"/>
      <c r="C1052" s="3"/>
      <c r="D1052" s="4"/>
      <c r="E1052" s="5"/>
      <c r="F1052" s="5"/>
      <c r="G1052" s="2"/>
      <c r="H1052" s="6"/>
      <c r="I1052" s="7"/>
      <c r="J1052" s="2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5"/>
      <c r="B1053" s="2"/>
      <c r="C1053" s="3"/>
      <c r="D1053" s="4"/>
      <c r="E1053" s="5"/>
      <c r="F1053" s="5"/>
      <c r="G1053" s="2"/>
      <c r="H1053" s="6"/>
      <c r="I1053" s="7"/>
      <c r="J1053" s="2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5"/>
      <c r="B1054" s="2"/>
      <c r="C1054" s="3"/>
      <c r="D1054" s="4"/>
      <c r="E1054" s="5"/>
      <c r="F1054" s="5"/>
      <c r="G1054" s="2"/>
      <c r="H1054" s="6"/>
      <c r="I1054" s="7"/>
      <c r="J1054" s="2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5"/>
      <c r="B1055" s="2"/>
      <c r="C1055" s="3"/>
      <c r="D1055" s="4"/>
      <c r="E1055" s="5"/>
      <c r="F1055" s="5"/>
      <c r="G1055" s="2"/>
      <c r="H1055" s="6"/>
      <c r="I1055" s="7"/>
      <c r="J1055" s="2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5"/>
      <c r="B1056" s="2"/>
      <c r="C1056" s="3"/>
      <c r="D1056" s="4"/>
      <c r="E1056" s="5"/>
      <c r="F1056" s="5"/>
      <c r="G1056" s="2"/>
      <c r="H1056" s="6"/>
      <c r="I1056" s="7"/>
      <c r="J1056" s="2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5"/>
      <c r="B1057" s="2"/>
      <c r="C1057" s="3"/>
      <c r="D1057" s="4"/>
      <c r="E1057" s="5"/>
      <c r="F1057" s="5"/>
      <c r="G1057" s="2"/>
      <c r="H1057" s="6"/>
      <c r="I1057" s="7"/>
      <c r="J1057" s="2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5"/>
      <c r="B1058" s="2"/>
      <c r="C1058" s="3"/>
      <c r="D1058" s="4"/>
      <c r="E1058" s="5"/>
      <c r="F1058" s="5"/>
      <c r="G1058" s="2"/>
      <c r="H1058" s="6"/>
      <c r="I1058" s="7"/>
      <c r="J1058" s="2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5"/>
      <c r="B1059" s="2"/>
      <c r="C1059" s="3"/>
      <c r="D1059" s="4"/>
      <c r="E1059" s="5"/>
      <c r="F1059" s="5"/>
      <c r="G1059" s="2"/>
      <c r="H1059" s="6"/>
      <c r="I1059" s="7"/>
      <c r="J1059" s="2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5"/>
      <c r="B1060" s="2"/>
      <c r="C1060" s="3"/>
      <c r="D1060" s="4"/>
      <c r="E1060" s="5"/>
      <c r="F1060" s="5"/>
      <c r="G1060" s="2"/>
      <c r="H1060" s="6"/>
      <c r="I1060" s="7"/>
      <c r="J1060" s="2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5"/>
      <c r="B1061" s="2"/>
      <c r="C1061" s="3"/>
      <c r="D1061" s="4"/>
      <c r="E1061" s="5"/>
      <c r="F1061" s="5"/>
      <c r="G1061" s="2"/>
      <c r="H1061" s="6"/>
      <c r="I1061" s="7"/>
      <c r="J1061" s="2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5"/>
      <c r="B1062" s="2"/>
      <c r="C1062" s="3"/>
      <c r="D1062" s="4"/>
      <c r="E1062" s="5"/>
      <c r="F1062" s="5"/>
      <c r="G1062" s="2"/>
      <c r="H1062" s="6"/>
      <c r="I1062" s="7"/>
      <c r="J1062" s="2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>
      <c r="A1063" s="5"/>
      <c r="B1063" s="2"/>
      <c r="C1063" s="3"/>
      <c r="D1063" s="4"/>
      <c r="E1063" s="5"/>
      <c r="F1063" s="5"/>
      <c r="G1063" s="2"/>
      <c r="H1063" s="6"/>
      <c r="I1063" s="7"/>
      <c r="J1063" s="2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>
      <c r="A1064" s="5"/>
      <c r="B1064" s="2"/>
      <c r="C1064" s="3"/>
      <c r="D1064" s="4"/>
      <c r="E1064" s="5"/>
      <c r="F1064" s="5"/>
      <c r="G1064" s="2"/>
      <c r="H1064" s="6"/>
      <c r="I1064" s="7"/>
      <c r="J1064" s="2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>
      <c r="A1065" s="5"/>
      <c r="B1065" s="2"/>
      <c r="C1065" s="3"/>
      <c r="D1065" s="4"/>
      <c r="E1065" s="5"/>
      <c r="F1065" s="5"/>
      <c r="G1065" s="2"/>
      <c r="H1065" s="6"/>
      <c r="I1065" s="7"/>
      <c r="J1065" s="2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>
      <c r="A1066" s="5"/>
      <c r="B1066" s="2"/>
      <c r="C1066" s="3"/>
      <c r="D1066" s="4"/>
      <c r="E1066" s="5"/>
      <c r="F1066" s="5"/>
      <c r="G1066" s="2"/>
      <c r="H1066" s="6"/>
      <c r="I1066" s="7"/>
      <c r="J1066" s="2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>
      <c r="A1067" s="5"/>
      <c r="B1067" s="2"/>
      <c r="C1067" s="3"/>
      <c r="D1067" s="4"/>
      <c r="E1067" s="5"/>
      <c r="F1067" s="5"/>
      <c r="G1067" s="2"/>
      <c r="H1067" s="6"/>
      <c r="I1067" s="7"/>
      <c r="J1067" s="2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>
      <c r="A1068" s="5"/>
      <c r="B1068" s="2"/>
      <c r="C1068" s="3"/>
      <c r="D1068" s="4"/>
      <c r="E1068" s="5"/>
      <c r="F1068" s="5"/>
      <c r="G1068" s="2"/>
      <c r="H1068" s="6"/>
      <c r="I1068" s="7"/>
      <c r="J1068" s="2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>
      <c r="A1069" s="5"/>
      <c r="B1069" s="2"/>
      <c r="C1069" s="3"/>
      <c r="D1069" s="4"/>
      <c r="E1069" s="5"/>
      <c r="F1069" s="5"/>
      <c r="G1069" s="2"/>
      <c r="H1069" s="6"/>
      <c r="I1069" s="7"/>
      <c r="J1069" s="2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>
      <c r="A1070" s="5"/>
      <c r="B1070" s="2"/>
      <c r="C1070" s="3"/>
      <c r="D1070" s="4"/>
      <c r="E1070" s="5"/>
      <c r="F1070" s="5"/>
      <c r="G1070" s="2"/>
      <c r="H1070" s="6"/>
      <c r="I1070" s="7"/>
      <c r="J1070" s="2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>
      <c r="A1071" s="5"/>
      <c r="B1071" s="2"/>
      <c r="C1071" s="3"/>
      <c r="D1071" s="4"/>
      <c r="E1071" s="5"/>
      <c r="F1071" s="5"/>
      <c r="G1071" s="2"/>
      <c r="H1071" s="6"/>
      <c r="I1071" s="7"/>
      <c r="J1071" s="2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>
      <c r="A1072" s="5"/>
      <c r="B1072" s="2"/>
      <c r="C1072" s="3"/>
      <c r="D1072" s="4"/>
      <c r="E1072" s="5"/>
      <c r="F1072" s="5"/>
      <c r="G1072" s="2"/>
      <c r="H1072" s="6"/>
      <c r="I1072" s="7"/>
      <c r="J1072" s="2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>
      <c r="A1073" s="5"/>
      <c r="B1073" s="2"/>
      <c r="C1073" s="3"/>
      <c r="D1073" s="4"/>
      <c r="E1073" s="5"/>
      <c r="F1073" s="5"/>
      <c r="G1073" s="2"/>
      <c r="H1073" s="6"/>
      <c r="I1073" s="7"/>
      <c r="J1073" s="2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>
      <c r="A1074" s="5"/>
      <c r="B1074" s="2"/>
      <c r="C1074" s="3"/>
      <c r="D1074" s="4"/>
      <c r="E1074" s="5"/>
      <c r="F1074" s="5"/>
      <c r="G1074" s="2"/>
      <c r="H1074" s="6"/>
      <c r="I1074" s="7"/>
      <c r="J1074" s="2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>
      <c r="A1075" s="5"/>
      <c r="B1075" s="2"/>
      <c r="C1075" s="3"/>
      <c r="D1075" s="4"/>
      <c r="E1075" s="5"/>
      <c r="F1075" s="5"/>
      <c r="G1075" s="2"/>
      <c r="H1075" s="6"/>
      <c r="I1075" s="7"/>
      <c r="J1075" s="2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>
      <c r="A1076" s="5"/>
      <c r="B1076" s="2"/>
      <c r="C1076" s="3"/>
      <c r="D1076" s="4"/>
      <c r="E1076" s="5"/>
      <c r="F1076" s="5"/>
      <c r="G1076" s="2"/>
      <c r="H1076" s="6"/>
      <c r="I1076" s="7"/>
      <c r="J1076" s="2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>
      <c r="A1077" s="5"/>
      <c r="B1077" s="2"/>
      <c r="C1077" s="3"/>
      <c r="D1077" s="4"/>
      <c r="E1077" s="5"/>
      <c r="F1077" s="5"/>
      <c r="G1077" s="2"/>
      <c r="H1077" s="6"/>
      <c r="I1077" s="7"/>
      <c r="J1077" s="2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>
      <c r="A1078" s="5"/>
      <c r="B1078" s="2"/>
      <c r="C1078" s="3"/>
      <c r="D1078" s="4"/>
      <c r="E1078" s="5"/>
      <c r="F1078" s="5"/>
      <c r="G1078" s="2"/>
      <c r="H1078" s="6"/>
      <c r="I1078" s="7"/>
      <c r="J1078" s="2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>
      <c r="A1079" s="5"/>
      <c r="B1079" s="2"/>
      <c r="C1079" s="3"/>
      <c r="D1079" s="4"/>
      <c r="E1079" s="5"/>
      <c r="F1079" s="5"/>
      <c r="G1079" s="2"/>
      <c r="H1079" s="6"/>
      <c r="I1079" s="7"/>
      <c r="J1079" s="2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>
      <c r="A1080" s="5"/>
      <c r="B1080" s="2"/>
      <c r="C1080" s="3"/>
      <c r="D1080" s="4"/>
      <c r="E1080" s="5"/>
      <c r="F1080" s="5"/>
      <c r="G1080" s="2"/>
      <c r="H1080" s="6"/>
      <c r="I1080" s="7"/>
      <c r="J1080" s="2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>
      <c r="A1081" s="5"/>
      <c r="B1081" s="2"/>
      <c r="C1081" s="3"/>
      <c r="D1081" s="4"/>
      <c r="E1081" s="5"/>
      <c r="F1081" s="5"/>
      <c r="G1081" s="2"/>
      <c r="H1081" s="6"/>
      <c r="I1081" s="7"/>
      <c r="J1081" s="2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>
      <c r="A1082" s="5"/>
      <c r="B1082" s="2"/>
      <c r="C1082" s="3"/>
      <c r="D1082" s="4"/>
      <c r="E1082" s="5"/>
      <c r="F1082" s="5"/>
      <c r="G1082" s="2"/>
      <c r="H1082" s="6"/>
      <c r="I1082" s="7"/>
      <c r="J1082" s="2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>
      <c r="A1083" s="5"/>
      <c r="B1083" s="2"/>
      <c r="C1083" s="3"/>
      <c r="D1083" s="4"/>
      <c r="E1083" s="5"/>
      <c r="F1083" s="5"/>
      <c r="G1083" s="2"/>
      <c r="H1083" s="6"/>
      <c r="I1083" s="7"/>
      <c r="J1083" s="2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>
      <c r="A1084" s="5"/>
      <c r="B1084" s="2"/>
      <c r="C1084" s="3"/>
      <c r="D1084" s="4"/>
      <c r="E1084" s="5"/>
      <c r="F1084" s="5"/>
      <c r="G1084" s="2"/>
      <c r="H1084" s="6"/>
      <c r="I1084" s="7"/>
      <c r="J1084" s="2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>
      <c r="A1085" s="5"/>
      <c r="B1085" s="2"/>
      <c r="C1085" s="3"/>
      <c r="D1085" s="4"/>
      <c r="E1085" s="5"/>
      <c r="F1085" s="5"/>
      <c r="G1085" s="2"/>
      <c r="H1085" s="6"/>
      <c r="I1085" s="7"/>
      <c r="J1085" s="2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>
      <c r="A1086" s="5"/>
      <c r="B1086" s="2"/>
      <c r="C1086" s="3"/>
      <c r="D1086" s="4"/>
      <c r="E1086" s="5"/>
      <c r="F1086" s="5"/>
      <c r="G1086" s="2"/>
      <c r="H1086" s="6"/>
      <c r="I1086" s="7"/>
      <c r="J1086" s="2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>
      <c r="A1087" s="5"/>
      <c r="B1087" s="2"/>
      <c r="C1087" s="3"/>
      <c r="D1087" s="4"/>
      <c r="E1087" s="5"/>
      <c r="F1087" s="5"/>
      <c r="G1087" s="2"/>
      <c r="H1087" s="6"/>
      <c r="I1087" s="7"/>
      <c r="J1087" s="2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>
      <c r="A1088" s="5"/>
      <c r="B1088" s="2"/>
      <c r="C1088" s="3"/>
      <c r="D1088" s="4"/>
      <c r="E1088" s="5"/>
      <c r="F1088" s="5"/>
      <c r="G1088" s="2"/>
      <c r="H1088" s="6"/>
      <c r="I1088" s="7"/>
      <c r="J1088" s="2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>
      <c r="A1089" s="5"/>
      <c r="B1089" s="2"/>
      <c r="C1089" s="3"/>
      <c r="D1089" s="4"/>
      <c r="E1089" s="5"/>
      <c r="F1089" s="5"/>
      <c r="G1089" s="2"/>
      <c r="H1089" s="6"/>
      <c r="I1089" s="7"/>
      <c r="J1089" s="2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>
      <c r="A1090" s="5"/>
      <c r="B1090" s="2"/>
      <c r="C1090" s="3"/>
      <c r="D1090" s="4"/>
      <c r="E1090" s="5"/>
      <c r="F1090" s="5"/>
      <c r="G1090" s="2"/>
      <c r="H1090" s="6"/>
      <c r="I1090" s="7"/>
      <c r="J1090" s="2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>
      <c r="A1091" s="5"/>
      <c r="B1091" s="2"/>
      <c r="C1091" s="3"/>
      <c r="D1091" s="4"/>
      <c r="E1091" s="5"/>
      <c r="F1091" s="5"/>
      <c r="G1091" s="2"/>
      <c r="H1091" s="6"/>
      <c r="I1091" s="7"/>
      <c r="J1091" s="2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>
      <c r="A1092" s="5"/>
      <c r="B1092" s="2"/>
      <c r="C1092" s="3"/>
      <c r="D1092" s="4"/>
      <c r="E1092" s="5"/>
      <c r="F1092" s="5"/>
      <c r="G1092" s="2"/>
      <c r="H1092" s="6"/>
      <c r="I1092" s="7"/>
      <c r="J1092" s="2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>
      <c r="A1093" s="5"/>
      <c r="B1093" s="2"/>
      <c r="C1093" s="3"/>
      <c r="D1093" s="4"/>
      <c r="E1093" s="5"/>
      <c r="F1093" s="5"/>
      <c r="G1093" s="2"/>
      <c r="H1093" s="6"/>
      <c r="I1093" s="7"/>
      <c r="J1093" s="2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>
      <c r="A1094" s="5"/>
      <c r="B1094" s="2"/>
      <c r="C1094" s="3"/>
      <c r="D1094" s="4"/>
      <c r="E1094" s="5"/>
      <c r="F1094" s="5"/>
      <c r="G1094" s="2"/>
      <c r="H1094" s="6"/>
      <c r="I1094" s="7"/>
      <c r="J1094" s="2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>
      <c r="A1095" s="5"/>
      <c r="B1095" s="2"/>
      <c r="C1095" s="3"/>
      <c r="D1095" s="4"/>
      <c r="E1095" s="5"/>
      <c r="F1095" s="5"/>
      <c r="G1095" s="2"/>
      <c r="H1095" s="6"/>
      <c r="I1095" s="7"/>
      <c r="J1095" s="2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>
      <c r="A1096" s="5"/>
      <c r="B1096" s="2"/>
      <c r="C1096" s="3"/>
      <c r="D1096" s="4"/>
      <c r="E1096" s="5"/>
      <c r="F1096" s="5"/>
      <c r="G1096" s="2"/>
      <c r="H1096" s="6"/>
      <c r="I1096" s="7"/>
      <c r="J1096" s="2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>
      <c r="A1097" s="5"/>
      <c r="B1097" s="2"/>
      <c r="C1097" s="3"/>
      <c r="D1097" s="4"/>
      <c r="E1097" s="5"/>
      <c r="F1097" s="5"/>
      <c r="G1097" s="2"/>
      <c r="H1097" s="6"/>
      <c r="I1097" s="7"/>
      <c r="J1097" s="2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>
      <c r="A1098" s="5"/>
      <c r="B1098" s="2"/>
      <c r="C1098" s="3"/>
      <c r="D1098" s="4"/>
      <c r="E1098" s="5"/>
      <c r="F1098" s="5"/>
      <c r="G1098" s="2"/>
      <c r="H1098" s="6"/>
      <c r="I1098" s="7"/>
      <c r="J1098" s="2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>
      <c r="A1099" s="5"/>
      <c r="B1099" s="2"/>
      <c r="C1099" s="3"/>
      <c r="D1099" s="4"/>
      <c r="E1099" s="5"/>
      <c r="F1099" s="5"/>
      <c r="G1099" s="2"/>
      <c r="H1099" s="6"/>
      <c r="I1099" s="7"/>
      <c r="J1099" s="2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>
      <c r="A1100" s="5"/>
      <c r="B1100" s="2"/>
      <c r="C1100" s="3"/>
      <c r="D1100" s="4"/>
      <c r="E1100" s="5"/>
      <c r="F1100" s="5"/>
      <c r="G1100" s="2"/>
      <c r="H1100" s="6"/>
      <c r="I1100" s="7"/>
      <c r="J1100" s="2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>
      <c r="A1101" s="5"/>
      <c r="B1101" s="2"/>
      <c r="C1101" s="3"/>
      <c r="D1101" s="4"/>
      <c r="E1101" s="5"/>
      <c r="F1101" s="5"/>
      <c r="G1101" s="2"/>
      <c r="H1101" s="6"/>
      <c r="I1101" s="7"/>
      <c r="J1101" s="2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>
      <c r="A1102" s="5"/>
      <c r="B1102" s="2"/>
      <c r="C1102" s="3"/>
      <c r="D1102" s="4"/>
      <c r="E1102" s="5"/>
      <c r="F1102" s="5"/>
      <c r="G1102" s="2"/>
      <c r="H1102" s="6"/>
      <c r="I1102" s="7"/>
      <c r="J1102" s="2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>
      <c r="A1103" s="5"/>
      <c r="B1103" s="2"/>
      <c r="C1103" s="3"/>
      <c r="D1103" s="4"/>
      <c r="E1103" s="5"/>
      <c r="F1103" s="5"/>
      <c r="G1103" s="2"/>
      <c r="H1103" s="6"/>
      <c r="I1103" s="7"/>
      <c r="J1103" s="2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>
      <c r="A1104" s="5"/>
      <c r="B1104" s="2"/>
      <c r="C1104" s="3"/>
      <c r="D1104" s="4"/>
      <c r="E1104" s="5"/>
      <c r="F1104" s="5"/>
      <c r="G1104" s="2"/>
      <c r="H1104" s="6"/>
      <c r="I1104" s="7"/>
      <c r="J1104" s="2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>
      <c r="A1105" s="5"/>
      <c r="B1105" s="2"/>
      <c r="C1105" s="3"/>
      <c r="D1105" s="4"/>
      <c r="E1105" s="5"/>
      <c r="F1105" s="5"/>
      <c r="G1105" s="2"/>
      <c r="H1105" s="6"/>
      <c r="I1105" s="7"/>
      <c r="J1105" s="2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>
      <c r="A1106" s="5"/>
      <c r="B1106" s="2"/>
      <c r="C1106" s="3"/>
      <c r="D1106" s="4"/>
      <c r="E1106" s="5"/>
      <c r="F1106" s="5"/>
      <c r="G1106" s="2"/>
      <c r="H1106" s="6"/>
      <c r="I1106" s="7"/>
      <c r="J1106" s="2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>
      <c r="A1107" s="5"/>
      <c r="B1107" s="2"/>
      <c r="C1107" s="3"/>
      <c r="D1107" s="4"/>
      <c r="E1107" s="5"/>
      <c r="F1107" s="5"/>
      <c r="G1107" s="2"/>
      <c r="H1107" s="6"/>
      <c r="I1107" s="7"/>
      <c r="J1107" s="2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>
      <c r="A1108" s="5"/>
      <c r="B1108" s="2"/>
      <c r="C1108" s="3"/>
      <c r="D1108" s="4"/>
      <c r="E1108" s="5"/>
      <c r="F1108" s="5"/>
      <c r="G1108" s="2"/>
      <c r="H1108" s="6"/>
      <c r="I1108" s="7"/>
      <c r="J1108" s="2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>
      <c r="A1109" s="5"/>
      <c r="B1109" s="2"/>
      <c r="C1109" s="3"/>
      <c r="D1109" s="4"/>
      <c r="E1109" s="5"/>
      <c r="F1109" s="5"/>
      <c r="G1109" s="2"/>
      <c r="H1109" s="6"/>
      <c r="I1109" s="7"/>
      <c r="J1109" s="2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>
      <c r="A1110" s="5"/>
      <c r="B1110" s="2"/>
      <c r="C1110" s="3"/>
      <c r="D1110" s="4"/>
      <c r="E1110" s="5"/>
      <c r="F1110" s="5"/>
      <c r="G1110" s="2"/>
      <c r="H1110" s="6"/>
      <c r="I1110" s="7"/>
      <c r="J1110" s="2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>
      <c r="A1111" s="5"/>
      <c r="B1111" s="2"/>
      <c r="C1111" s="3"/>
      <c r="D1111" s="4"/>
      <c r="E1111" s="5"/>
      <c r="F1111" s="5"/>
      <c r="G1111" s="2"/>
      <c r="H1111" s="6"/>
      <c r="I1111" s="7"/>
      <c r="J1111" s="2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>
      <c r="A1112" s="5"/>
      <c r="B1112" s="2"/>
      <c r="C1112" s="3"/>
      <c r="D1112" s="4"/>
      <c r="E1112" s="5"/>
      <c r="F1112" s="5"/>
      <c r="G1112" s="2"/>
      <c r="H1112" s="6"/>
      <c r="I1112" s="7"/>
      <c r="J1112" s="2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>
      <c r="A1113" s="5"/>
      <c r="B1113" s="2"/>
      <c r="C1113" s="3"/>
      <c r="D1113" s="4"/>
      <c r="E1113" s="5"/>
      <c r="F1113" s="5"/>
      <c r="G1113" s="2"/>
      <c r="H1113" s="6"/>
      <c r="I1113" s="7"/>
      <c r="J1113" s="2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>
      <c r="A1114" s="5"/>
      <c r="B1114" s="2"/>
      <c r="C1114" s="3"/>
      <c r="D1114" s="4"/>
      <c r="E1114" s="5"/>
      <c r="F1114" s="5"/>
      <c r="G1114" s="2"/>
      <c r="H1114" s="6"/>
      <c r="I1114" s="7"/>
      <c r="J1114" s="2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>
      <c r="A1115" s="5"/>
      <c r="B1115" s="2"/>
      <c r="C1115" s="3"/>
      <c r="D1115" s="4"/>
      <c r="E1115" s="5"/>
      <c r="F1115" s="5"/>
      <c r="G1115" s="2"/>
      <c r="H1115" s="6"/>
      <c r="I1115" s="7"/>
      <c r="J1115" s="2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>
      <c r="A1116" s="5"/>
      <c r="B1116" s="2"/>
      <c r="C1116" s="3"/>
      <c r="D1116" s="4"/>
      <c r="E1116" s="5"/>
      <c r="F1116" s="5"/>
      <c r="G1116" s="2"/>
      <c r="H1116" s="6"/>
      <c r="I1116" s="7"/>
      <c r="J1116" s="2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>
      <c r="A1117" s="5"/>
      <c r="B1117" s="2"/>
      <c r="C1117" s="3"/>
      <c r="D1117" s="4"/>
      <c r="E1117" s="5"/>
      <c r="F1117" s="5"/>
      <c r="G1117" s="2"/>
      <c r="H1117" s="6"/>
      <c r="I1117" s="7"/>
      <c r="J1117" s="2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>
      <c r="A1118" s="5"/>
      <c r="B1118" s="2"/>
      <c r="C1118" s="3"/>
      <c r="D1118" s="4"/>
      <c r="E1118" s="5"/>
      <c r="F1118" s="5"/>
      <c r="G1118" s="2"/>
      <c r="H1118" s="6"/>
      <c r="I1118" s="7"/>
      <c r="J1118" s="2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>
      <c r="A1119" s="5"/>
      <c r="B1119" s="2"/>
      <c r="C1119" s="3"/>
      <c r="D1119" s="4"/>
      <c r="E1119" s="5"/>
      <c r="F1119" s="5"/>
      <c r="G1119" s="2"/>
      <c r="H1119" s="6"/>
      <c r="I1119" s="7"/>
      <c r="J1119" s="2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>
      <c r="A1120" s="5"/>
      <c r="B1120" s="2"/>
      <c r="C1120" s="3"/>
      <c r="D1120" s="4"/>
      <c r="E1120" s="5"/>
      <c r="F1120" s="5"/>
      <c r="G1120" s="2"/>
      <c r="H1120" s="6"/>
      <c r="I1120" s="7"/>
      <c r="J1120" s="2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>
      <c r="A1121" s="5"/>
      <c r="B1121" s="2"/>
      <c r="C1121" s="3"/>
      <c r="D1121" s="4"/>
      <c r="E1121" s="5"/>
      <c r="F1121" s="5"/>
      <c r="G1121" s="2"/>
      <c r="H1121" s="6"/>
      <c r="I1121" s="7"/>
      <c r="J1121" s="2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>
      <c r="A1122" s="5"/>
      <c r="B1122" s="2"/>
      <c r="C1122" s="3"/>
      <c r="D1122" s="4"/>
      <c r="E1122" s="5"/>
      <c r="F1122" s="5"/>
      <c r="G1122" s="2"/>
      <c r="H1122" s="6"/>
      <c r="I1122" s="7"/>
      <c r="J1122" s="2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>
      <c r="A1123" s="5"/>
      <c r="B1123" s="2"/>
      <c r="C1123" s="3"/>
      <c r="D1123" s="4"/>
      <c r="E1123" s="5"/>
      <c r="F1123" s="5"/>
      <c r="G1123" s="2"/>
      <c r="H1123" s="6"/>
      <c r="I1123" s="7"/>
      <c r="J1123" s="2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>
      <c r="A1124" s="5"/>
      <c r="B1124" s="2"/>
      <c r="C1124" s="3"/>
      <c r="D1124" s="4"/>
      <c r="E1124" s="5"/>
      <c r="F1124" s="5"/>
      <c r="G1124" s="2"/>
      <c r="H1124" s="6"/>
      <c r="I1124" s="7"/>
      <c r="J1124" s="2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>
      <c r="A1125" s="5"/>
      <c r="B1125" s="2"/>
      <c r="C1125" s="3"/>
      <c r="D1125" s="4"/>
      <c r="E1125" s="5"/>
      <c r="F1125" s="5"/>
      <c r="G1125" s="2"/>
      <c r="H1125" s="6"/>
      <c r="I1125" s="7"/>
      <c r="J1125" s="2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>
      <c r="A1126" s="5"/>
      <c r="B1126" s="2"/>
      <c r="C1126" s="3"/>
      <c r="D1126" s="4"/>
      <c r="E1126" s="5"/>
      <c r="F1126" s="5"/>
      <c r="G1126" s="2"/>
      <c r="H1126" s="6"/>
      <c r="I1126" s="7"/>
      <c r="J1126" s="2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>
      <c r="A1127" s="5"/>
      <c r="B1127" s="2"/>
      <c r="C1127" s="3"/>
      <c r="D1127" s="4"/>
      <c r="E1127" s="5"/>
      <c r="F1127" s="5"/>
      <c r="G1127" s="2"/>
      <c r="H1127" s="6"/>
      <c r="I1127" s="7"/>
      <c r="J1127" s="2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>
      <c r="A1128" s="5"/>
      <c r="B1128" s="2"/>
      <c r="C1128" s="3"/>
      <c r="D1128" s="4"/>
      <c r="E1128" s="5"/>
      <c r="F1128" s="5"/>
      <c r="G1128" s="2"/>
      <c r="H1128" s="6"/>
      <c r="I1128" s="7"/>
      <c r="J1128" s="2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>
      <c r="A1129" s="5"/>
      <c r="B1129" s="2"/>
      <c r="C1129" s="3"/>
      <c r="D1129" s="4"/>
      <c r="E1129" s="5"/>
      <c r="F1129" s="5"/>
      <c r="G1129" s="2"/>
      <c r="H1129" s="6"/>
      <c r="I1129" s="7"/>
      <c r="J1129" s="2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>
      <c r="A1130" s="5"/>
      <c r="B1130" s="2"/>
      <c r="C1130" s="3"/>
      <c r="D1130" s="4"/>
      <c r="E1130" s="5"/>
      <c r="F1130" s="5"/>
      <c r="G1130" s="2"/>
      <c r="H1130" s="6"/>
      <c r="I1130" s="7"/>
      <c r="J1130" s="2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>
      <c r="A1131" s="5"/>
      <c r="B1131" s="2"/>
      <c r="C1131" s="3"/>
      <c r="D1131" s="4"/>
      <c r="E1131" s="5"/>
      <c r="F1131" s="5"/>
      <c r="G1131" s="2"/>
      <c r="H1131" s="6"/>
      <c r="I1131" s="7"/>
      <c r="J1131" s="2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>
      <c r="A1132" s="5"/>
      <c r="B1132" s="2"/>
      <c r="C1132" s="3"/>
      <c r="D1132" s="4"/>
      <c r="E1132" s="5"/>
      <c r="F1132" s="5"/>
      <c r="G1132" s="2"/>
      <c r="H1132" s="6"/>
      <c r="I1132" s="7"/>
      <c r="J1132" s="2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>
      <c r="A1133" s="5"/>
      <c r="B1133" s="2"/>
      <c r="C1133" s="3"/>
      <c r="D1133" s="4"/>
      <c r="E1133" s="5"/>
      <c r="F1133" s="5"/>
      <c r="G1133" s="2"/>
      <c r="H1133" s="6"/>
      <c r="I1133" s="7"/>
      <c r="J1133" s="2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>
      <c r="A1134" s="5"/>
      <c r="B1134" s="2"/>
      <c r="C1134" s="3"/>
      <c r="D1134" s="4"/>
      <c r="E1134" s="5"/>
      <c r="F1134" s="5"/>
      <c r="G1134" s="2"/>
      <c r="H1134" s="6"/>
      <c r="I1134" s="7"/>
      <c r="J1134" s="2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>
      <c r="A1135" s="5"/>
      <c r="B1135" s="2"/>
      <c r="C1135" s="3"/>
      <c r="D1135" s="4"/>
      <c r="E1135" s="5"/>
      <c r="F1135" s="5"/>
      <c r="G1135" s="2"/>
      <c r="H1135" s="6"/>
      <c r="I1135" s="7"/>
      <c r="J1135" s="2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>
      <c r="A1136" s="5"/>
      <c r="B1136" s="2"/>
      <c r="C1136" s="3"/>
      <c r="D1136" s="4"/>
      <c r="E1136" s="5"/>
      <c r="F1136" s="5"/>
      <c r="G1136" s="2"/>
      <c r="H1136" s="6"/>
      <c r="I1136" s="7"/>
      <c r="J1136" s="2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>
      <c r="A1137" s="5"/>
      <c r="B1137" s="2"/>
      <c r="C1137" s="3"/>
      <c r="D1137" s="4"/>
      <c r="E1137" s="5"/>
      <c r="F1137" s="5"/>
      <c r="G1137" s="2"/>
      <c r="H1137" s="6"/>
      <c r="I1137" s="7"/>
      <c r="J1137" s="2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>
      <c r="A1138" s="5"/>
      <c r="B1138" s="2"/>
      <c r="C1138" s="3"/>
      <c r="D1138" s="4"/>
      <c r="E1138" s="5"/>
      <c r="F1138" s="5"/>
      <c r="G1138" s="2"/>
      <c r="H1138" s="6"/>
      <c r="I1138" s="7"/>
      <c r="J1138" s="2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>
      <c r="A1139" s="5"/>
      <c r="B1139" s="2"/>
      <c r="C1139" s="3"/>
      <c r="D1139" s="4"/>
      <c r="E1139" s="5"/>
      <c r="F1139" s="5"/>
      <c r="G1139" s="2"/>
      <c r="H1139" s="6"/>
      <c r="I1139" s="7"/>
      <c r="J1139" s="2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>
      <c r="A1140" s="5"/>
      <c r="B1140" s="2"/>
      <c r="C1140" s="3"/>
      <c r="D1140" s="4"/>
      <c r="E1140" s="5"/>
      <c r="F1140" s="5"/>
      <c r="G1140" s="2"/>
      <c r="H1140" s="6"/>
      <c r="I1140" s="7"/>
      <c r="J1140" s="2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>
      <c r="A1141" s="5"/>
      <c r="B1141" s="2"/>
      <c r="C1141" s="3"/>
      <c r="D1141" s="4"/>
      <c r="E1141" s="5"/>
      <c r="F1141" s="5"/>
      <c r="G1141" s="2"/>
      <c r="H1141" s="6"/>
      <c r="I1141" s="7"/>
      <c r="J1141" s="2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>
      <c r="A1142" s="5"/>
      <c r="B1142" s="2"/>
      <c r="C1142" s="3"/>
      <c r="D1142" s="4"/>
      <c r="E1142" s="5"/>
      <c r="F1142" s="5"/>
      <c r="G1142" s="2"/>
      <c r="H1142" s="6"/>
      <c r="I1142" s="7"/>
      <c r="J1142" s="2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>
      <c r="A1143" s="5"/>
      <c r="B1143" s="2"/>
      <c r="C1143" s="3"/>
      <c r="D1143" s="4"/>
      <c r="E1143" s="5"/>
      <c r="F1143" s="5"/>
      <c r="G1143" s="2"/>
      <c r="H1143" s="6"/>
      <c r="I1143" s="7"/>
      <c r="J1143" s="2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>
      <c r="A1144" s="5"/>
      <c r="B1144" s="2"/>
      <c r="C1144" s="3"/>
      <c r="D1144" s="4"/>
      <c r="E1144" s="5"/>
      <c r="F1144" s="5"/>
      <c r="G1144" s="2"/>
      <c r="H1144" s="6"/>
      <c r="I1144" s="7"/>
      <c r="J1144" s="2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>
      <c r="A1145" s="5"/>
      <c r="B1145" s="2"/>
      <c r="C1145" s="3"/>
      <c r="D1145" s="4"/>
      <c r="E1145" s="5"/>
      <c r="F1145" s="5"/>
      <c r="G1145" s="2"/>
      <c r="H1145" s="6"/>
      <c r="I1145" s="7"/>
      <c r="J1145" s="2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>
      <c r="A1146" s="5"/>
      <c r="B1146" s="2"/>
      <c r="C1146" s="3"/>
      <c r="D1146" s="4"/>
      <c r="E1146" s="5"/>
      <c r="F1146" s="5"/>
      <c r="G1146" s="2"/>
      <c r="H1146" s="6"/>
      <c r="I1146" s="7"/>
      <c r="J1146" s="2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>
      <c r="A1147" s="5"/>
      <c r="B1147" s="2"/>
      <c r="C1147" s="3"/>
      <c r="D1147" s="4"/>
      <c r="E1147" s="5"/>
      <c r="F1147" s="5"/>
      <c r="G1147" s="2"/>
      <c r="H1147" s="6"/>
      <c r="I1147" s="7"/>
      <c r="J1147" s="2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>
      <c r="A1148" s="5"/>
      <c r="B1148" s="2"/>
      <c r="C1148" s="3"/>
      <c r="D1148" s="4"/>
      <c r="E1148" s="5"/>
      <c r="F1148" s="5"/>
      <c r="G1148" s="2"/>
      <c r="H1148" s="6"/>
      <c r="I1148" s="7"/>
      <c r="J1148" s="2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>
      <c r="A1149" s="5"/>
      <c r="B1149" s="2"/>
      <c r="C1149" s="3"/>
      <c r="D1149" s="4"/>
      <c r="E1149" s="5"/>
      <c r="F1149" s="5"/>
      <c r="G1149" s="2"/>
      <c r="H1149" s="6"/>
      <c r="I1149" s="7"/>
      <c r="J1149" s="2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>
      <c r="A1150" s="5"/>
      <c r="B1150" s="2"/>
      <c r="C1150" s="3"/>
      <c r="D1150" s="4"/>
      <c r="E1150" s="5"/>
      <c r="F1150" s="5"/>
      <c r="G1150" s="2"/>
      <c r="H1150" s="6"/>
      <c r="I1150" s="7"/>
      <c r="J1150" s="2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>
      <c r="A1151" s="5"/>
      <c r="B1151" s="2"/>
      <c r="C1151" s="3"/>
      <c r="D1151" s="4"/>
      <c r="E1151" s="5"/>
      <c r="F1151" s="5"/>
      <c r="G1151" s="2"/>
      <c r="H1151" s="6"/>
      <c r="I1151" s="7"/>
      <c r="J1151" s="2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>
      <c r="A1152" s="5"/>
      <c r="B1152" s="2"/>
      <c r="C1152" s="3"/>
      <c r="D1152" s="4"/>
      <c r="E1152" s="5"/>
      <c r="F1152" s="5"/>
      <c r="G1152" s="2"/>
      <c r="H1152" s="6"/>
      <c r="I1152" s="7"/>
      <c r="J1152" s="2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>
      <c r="A1153" s="5"/>
      <c r="B1153" s="2"/>
      <c r="C1153" s="3"/>
      <c r="D1153" s="4"/>
      <c r="E1153" s="5"/>
      <c r="F1153" s="5"/>
      <c r="G1153" s="2"/>
      <c r="H1153" s="6"/>
      <c r="I1153" s="7"/>
      <c r="J1153" s="2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>
      <c r="A1154" s="5"/>
      <c r="B1154" s="2"/>
      <c r="C1154" s="3"/>
      <c r="D1154" s="4"/>
      <c r="E1154" s="5"/>
      <c r="F1154" s="5"/>
      <c r="G1154" s="2"/>
      <c r="H1154" s="6"/>
      <c r="I1154" s="7"/>
      <c r="J1154" s="2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>
      <c r="A1155" s="5"/>
      <c r="B1155" s="2"/>
      <c r="C1155" s="3"/>
      <c r="D1155" s="4"/>
      <c r="E1155" s="5"/>
      <c r="F1155" s="5"/>
      <c r="G1155" s="2"/>
      <c r="H1155" s="6"/>
      <c r="I1155" s="7"/>
      <c r="J1155" s="2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>
      <c r="A1156" s="5"/>
      <c r="B1156" s="2"/>
      <c r="C1156" s="3"/>
      <c r="D1156" s="4"/>
      <c r="E1156" s="5"/>
      <c r="F1156" s="5"/>
      <c r="G1156" s="2"/>
      <c r="H1156" s="6"/>
      <c r="I1156" s="7"/>
      <c r="J1156" s="2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>
      <c r="A1157" s="5"/>
      <c r="B1157" s="2"/>
      <c r="C1157" s="3"/>
      <c r="D1157" s="4"/>
      <c r="E1157" s="5"/>
      <c r="F1157" s="5"/>
      <c r="G1157" s="2"/>
      <c r="H1157" s="6"/>
      <c r="I1157" s="7"/>
      <c r="J1157" s="2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>
      <c r="A1158" s="5"/>
      <c r="B1158" s="2"/>
      <c r="C1158" s="3"/>
      <c r="D1158" s="4"/>
      <c r="E1158" s="5"/>
      <c r="F1158" s="5"/>
      <c r="G1158" s="2"/>
      <c r="H1158" s="6"/>
      <c r="I1158" s="7"/>
      <c r="J1158" s="2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>
      <c r="A1159" s="5"/>
      <c r="B1159" s="2"/>
      <c r="C1159" s="3"/>
      <c r="D1159" s="4"/>
      <c r="E1159" s="5"/>
      <c r="F1159" s="5"/>
      <c r="G1159" s="2"/>
      <c r="H1159" s="6"/>
      <c r="I1159" s="7"/>
      <c r="J1159" s="2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>
      <c r="A1160" s="5"/>
      <c r="B1160" s="2"/>
      <c r="C1160" s="3"/>
      <c r="D1160" s="4"/>
      <c r="E1160" s="5"/>
      <c r="F1160" s="5"/>
      <c r="G1160" s="2"/>
      <c r="H1160" s="6"/>
      <c r="I1160" s="7"/>
      <c r="J1160" s="2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>
      <c r="A1161" s="5"/>
      <c r="B1161" s="2"/>
      <c r="C1161" s="3"/>
      <c r="D1161" s="4"/>
      <c r="E1161" s="5"/>
      <c r="F1161" s="5"/>
      <c r="G1161" s="2"/>
      <c r="H1161" s="6"/>
      <c r="I1161" s="7"/>
      <c r="J1161" s="2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>
      <c r="A1162" s="5"/>
      <c r="B1162" s="2"/>
      <c r="C1162" s="3"/>
      <c r="D1162" s="4"/>
      <c r="E1162" s="5"/>
      <c r="F1162" s="5"/>
      <c r="G1162" s="2"/>
      <c r="H1162" s="6"/>
      <c r="I1162" s="7"/>
      <c r="J1162" s="2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>
      <c r="A1163" s="5"/>
      <c r="B1163" s="2"/>
      <c r="C1163" s="3"/>
      <c r="D1163" s="4"/>
      <c r="E1163" s="5"/>
      <c r="F1163" s="5"/>
      <c r="G1163" s="2"/>
      <c r="H1163" s="6"/>
      <c r="I1163" s="7"/>
      <c r="J1163" s="2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>
      <c r="A1164" s="5"/>
      <c r="B1164" s="2"/>
      <c r="C1164" s="3"/>
      <c r="D1164" s="4"/>
      <c r="E1164" s="5"/>
      <c r="F1164" s="5"/>
      <c r="G1164" s="2"/>
      <c r="H1164" s="6"/>
      <c r="I1164" s="7"/>
      <c r="J1164" s="2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>
      <c r="A1165" s="5"/>
      <c r="B1165" s="2"/>
      <c r="C1165" s="3"/>
      <c r="D1165" s="4"/>
      <c r="E1165" s="5"/>
      <c r="F1165" s="5"/>
      <c r="G1165" s="2"/>
      <c r="H1165" s="6"/>
      <c r="I1165" s="7"/>
      <c r="J1165" s="2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>
      <c r="A1166" s="5"/>
      <c r="B1166" s="2"/>
      <c r="C1166" s="3"/>
      <c r="D1166" s="4"/>
      <c r="E1166" s="5"/>
      <c r="F1166" s="5"/>
      <c r="G1166" s="2"/>
      <c r="H1166" s="6"/>
      <c r="I1166" s="7"/>
      <c r="J1166" s="2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>
      <c r="A1167" s="5"/>
      <c r="B1167" s="2"/>
      <c r="C1167" s="3"/>
      <c r="D1167" s="4"/>
      <c r="E1167" s="5"/>
      <c r="F1167" s="5"/>
      <c r="G1167" s="2"/>
      <c r="H1167" s="6"/>
      <c r="I1167" s="7"/>
      <c r="J1167" s="2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>
      <c r="A1168" s="5"/>
      <c r="B1168" s="2"/>
      <c r="C1168" s="3"/>
      <c r="D1168" s="4"/>
      <c r="E1168" s="5"/>
      <c r="F1168" s="5"/>
      <c r="G1168" s="2"/>
      <c r="H1168" s="6"/>
      <c r="I1168" s="7"/>
      <c r="J1168" s="2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>
      <c r="A1169" s="5"/>
      <c r="B1169" s="2"/>
      <c r="C1169" s="3"/>
      <c r="D1169" s="4"/>
      <c r="E1169" s="5"/>
      <c r="F1169" s="5"/>
      <c r="G1169" s="2"/>
      <c r="H1169" s="6"/>
      <c r="I1169" s="7"/>
      <c r="J1169" s="2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>
      <c r="A1170" s="5"/>
      <c r="B1170" s="2"/>
      <c r="C1170" s="3"/>
      <c r="D1170" s="4"/>
      <c r="E1170" s="5"/>
      <c r="F1170" s="5"/>
      <c r="G1170" s="2"/>
      <c r="H1170" s="6"/>
      <c r="I1170" s="7"/>
      <c r="J1170" s="2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>
      <c r="A1171" s="5"/>
      <c r="B1171" s="2"/>
      <c r="C1171" s="3"/>
      <c r="D1171" s="4"/>
      <c r="E1171" s="5"/>
      <c r="F1171" s="5"/>
      <c r="G1171" s="2"/>
      <c r="H1171" s="6"/>
      <c r="I1171" s="7"/>
      <c r="J1171" s="2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>
      <c r="A1172" s="5"/>
      <c r="B1172" s="2"/>
      <c r="C1172" s="3"/>
      <c r="D1172" s="4"/>
      <c r="E1172" s="5"/>
      <c r="F1172" s="5"/>
      <c r="G1172" s="2"/>
      <c r="H1172" s="6"/>
      <c r="I1172" s="7"/>
      <c r="J1172" s="2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>
      <c r="A1173" s="5"/>
      <c r="B1173" s="2"/>
      <c r="C1173" s="3"/>
      <c r="D1173" s="4"/>
      <c r="E1173" s="5"/>
      <c r="F1173" s="5"/>
      <c r="G1173" s="2"/>
      <c r="H1173" s="6"/>
      <c r="I1173" s="7"/>
      <c r="J1173" s="2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>
      <c r="A1174" s="5"/>
      <c r="B1174" s="2"/>
      <c r="C1174" s="3"/>
      <c r="D1174" s="4"/>
      <c r="E1174" s="5"/>
      <c r="F1174" s="5"/>
      <c r="G1174" s="2"/>
      <c r="H1174" s="6"/>
      <c r="I1174" s="7"/>
      <c r="J1174" s="2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>
      <c r="A1175" s="5"/>
      <c r="B1175" s="2"/>
      <c r="C1175" s="3"/>
      <c r="D1175" s="4"/>
      <c r="E1175" s="5"/>
      <c r="F1175" s="5"/>
      <c r="G1175" s="2"/>
      <c r="H1175" s="6"/>
      <c r="I1175" s="7"/>
      <c r="J1175" s="2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>
      <c r="A1176" s="5"/>
      <c r="B1176" s="2"/>
      <c r="C1176" s="3"/>
      <c r="D1176" s="4"/>
      <c r="E1176" s="5"/>
      <c r="F1176" s="5"/>
      <c r="G1176" s="2"/>
      <c r="H1176" s="6"/>
      <c r="I1176" s="7"/>
      <c r="J1176" s="2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>
      <c r="A1177" s="5"/>
      <c r="B1177" s="2"/>
      <c r="C1177" s="3"/>
      <c r="D1177" s="4"/>
      <c r="E1177" s="5"/>
      <c r="F1177" s="5"/>
      <c r="G1177" s="2"/>
      <c r="H1177" s="6"/>
      <c r="I1177" s="7"/>
      <c r="J1177" s="2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>
      <c r="A1178" s="5"/>
      <c r="B1178" s="2"/>
      <c r="C1178" s="3"/>
      <c r="D1178" s="4"/>
      <c r="E1178" s="5"/>
      <c r="F1178" s="5"/>
      <c r="G1178" s="2"/>
      <c r="H1178" s="6"/>
      <c r="I1178" s="7"/>
      <c r="J1178" s="2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>
      <c r="A1179" s="5"/>
      <c r="B1179" s="2"/>
      <c r="C1179" s="3"/>
      <c r="D1179" s="4"/>
      <c r="E1179" s="5"/>
      <c r="F1179" s="5"/>
      <c r="G1179" s="2"/>
      <c r="H1179" s="6"/>
      <c r="I1179" s="7"/>
      <c r="J1179" s="2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>
      <c r="A1180" s="5"/>
      <c r="B1180" s="2"/>
      <c r="C1180" s="3"/>
      <c r="D1180" s="4"/>
      <c r="E1180" s="5"/>
      <c r="F1180" s="5"/>
      <c r="G1180" s="2"/>
      <c r="H1180" s="6"/>
      <c r="I1180" s="7"/>
      <c r="J1180" s="2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>
      <c r="A1181" s="5"/>
      <c r="B1181" s="2"/>
      <c r="C1181" s="3"/>
      <c r="D1181" s="4"/>
      <c r="E1181" s="5"/>
      <c r="F1181" s="5"/>
      <c r="G1181" s="2"/>
      <c r="H1181" s="6"/>
      <c r="I1181" s="7"/>
      <c r="J1181" s="2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>
      <c r="A1182" s="5"/>
      <c r="B1182" s="2"/>
      <c r="C1182" s="3"/>
      <c r="D1182" s="4"/>
      <c r="E1182" s="5"/>
      <c r="F1182" s="5"/>
      <c r="G1182" s="2"/>
      <c r="H1182" s="6"/>
      <c r="I1182" s="7"/>
      <c r="J1182" s="2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>
      <c r="A1183" s="5"/>
      <c r="B1183" s="2"/>
      <c r="C1183" s="3"/>
      <c r="D1183" s="4"/>
      <c r="E1183" s="5"/>
      <c r="F1183" s="5"/>
      <c r="G1183" s="2"/>
      <c r="H1183" s="6"/>
      <c r="I1183" s="7"/>
      <c r="J1183" s="2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>
      <c r="A1184" s="5"/>
      <c r="B1184" s="2"/>
      <c r="C1184" s="3"/>
      <c r="D1184" s="4"/>
      <c r="E1184" s="5"/>
      <c r="F1184" s="5"/>
      <c r="G1184" s="2"/>
      <c r="H1184" s="6"/>
      <c r="I1184" s="7"/>
      <c r="J1184" s="2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>
      <c r="A1185" s="5"/>
      <c r="B1185" s="2"/>
      <c r="C1185" s="3"/>
      <c r="D1185" s="4"/>
      <c r="E1185" s="5"/>
      <c r="F1185" s="5"/>
      <c r="G1185" s="2"/>
      <c r="H1185" s="6"/>
      <c r="I1185" s="7"/>
      <c r="J1185" s="2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>
      <c r="A1186" s="5"/>
      <c r="B1186" s="2"/>
      <c r="C1186" s="3"/>
      <c r="D1186" s="4"/>
      <c r="E1186" s="5"/>
      <c r="F1186" s="5"/>
      <c r="G1186" s="2"/>
      <c r="H1186" s="6"/>
      <c r="I1186" s="7"/>
      <c r="J1186" s="2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>
      <c r="A1187" s="5"/>
      <c r="B1187" s="2"/>
      <c r="C1187" s="3"/>
      <c r="D1187" s="4"/>
      <c r="E1187" s="5"/>
      <c r="F1187" s="5"/>
      <c r="G1187" s="2"/>
      <c r="H1187" s="6"/>
      <c r="I1187" s="7"/>
      <c r="J1187" s="2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>
      <c r="A1188" s="5"/>
      <c r="B1188" s="2"/>
      <c r="C1188" s="3"/>
      <c r="D1188" s="4"/>
      <c r="E1188" s="5"/>
      <c r="F1188" s="5"/>
      <c r="G1188" s="2"/>
      <c r="H1188" s="6"/>
      <c r="I1188" s="7"/>
      <c r="J1188" s="2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>
      <c r="A1189" s="5"/>
      <c r="B1189" s="2"/>
      <c r="C1189" s="3"/>
      <c r="D1189" s="4"/>
      <c r="E1189" s="5"/>
      <c r="F1189" s="5"/>
      <c r="G1189" s="2"/>
      <c r="H1189" s="6"/>
      <c r="I1189" s="7"/>
      <c r="J1189" s="2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>
      <c r="A1190" s="5"/>
      <c r="B1190" s="2"/>
      <c r="C1190" s="3"/>
      <c r="D1190" s="4"/>
      <c r="E1190" s="5"/>
      <c r="F1190" s="5"/>
      <c r="G1190" s="2"/>
      <c r="H1190" s="6"/>
      <c r="I1190" s="7"/>
      <c r="J1190" s="2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>
      <c r="A1191" s="5"/>
      <c r="B1191" s="2"/>
      <c r="C1191" s="3"/>
      <c r="D1191" s="4"/>
      <c r="E1191" s="5"/>
      <c r="F1191" s="5"/>
      <c r="G1191" s="2"/>
      <c r="H1191" s="6"/>
      <c r="I1191" s="7"/>
      <c r="J1191" s="2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>
      <c r="A1192" s="5"/>
      <c r="B1192" s="2"/>
      <c r="C1192" s="3"/>
      <c r="D1192" s="4"/>
      <c r="E1192" s="5"/>
      <c r="F1192" s="5"/>
      <c r="G1192" s="2"/>
      <c r="H1192" s="6"/>
      <c r="I1192" s="7"/>
      <c r="J1192" s="2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>
      <c r="A1193" s="5"/>
      <c r="B1193" s="2"/>
      <c r="C1193" s="3"/>
      <c r="D1193" s="4"/>
      <c r="E1193" s="5"/>
      <c r="F1193" s="5"/>
      <c r="G1193" s="2"/>
      <c r="H1193" s="6"/>
      <c r="I1193" s="7"/>
      <c r="J1193" s="2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>
      <c r="A1194" s="5"/>
      <c r="B1194" s="2"/>
      <c r="C1194" s="3"/>
      <c r="D1194" s="4"/>
      <c r="E1194" s="5"/>
      <c r="F1194" s="5"/>
      <c r="G1194" s="2"/>
      <c r="H1194" s="6"/>
      <c r="I1194" s="7"/>
      <c r="J1194" s="2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>
      <c r="A1195" s="5"/>
      <c r="B1195" s="2"/>
      <c r="C1195" s="3"/>
      <c r="D1195" s="4"/>
      <c r="E1195" s="5"/>
      <c r="F1195" s="5"/>
      <c r="G1195" s="2"/>
      <c r="H1195" s="6"/>
      <c r="I1195" s="7"/>
      <c r="J1195" s="2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>
      <c r="A1196" s="5"/>
      <c r="B1196" s="2"/>
      <c r="C1196" s="3"/>
      <c r="D1196" s="4"/>
      <c r="E1196" s="5"/>
      <c r="F1196" s="5"/>
      <c r="G1196" s="2"/>
      <c r="H1196" s="6"/>
      <c r="I1196" s="7"/>
      <c r="J1196" s="2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>
      <c r="A1197" s="5"/>
      <c r="B1197" s="2"/>
      <c r="C1197" s="3"/>
      <c r="D1197" s="4"/>
      <c r="E1197" s="5"/>
      <c r="F1197" s="5"/>
      <c r="G1197" s="2"/>
      <c r="H1197" s="6"/>
      <c r="I1197" s="7"/>
      <c r="J1197" s="2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>
      <c r="A1198" s="5"/>
      <c r="B1198" s="2"/>
      <c r="C1198" s="3"/>
      <c r="D1198" s="4"/>
      <c r="E1198" s="5"/>
      <c r="F1198" s="5"/>
      <c r="G1198" s="2"/>
      <c r="H1198" s="6"/>
      <c r="I1198" s="7"/>
      <c r="J1198" s="2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>
      <c r="A1199" s="5"/>
      <c r="B1199" s="2"/>
      <c r="C1199" s="3"/>
      <c r="D1199" s="4"/>
      <c r="E1199" s="5"/>
      <c r="F1199" s="5"/>
      <c r="G1199" s="2"/>
      <c r="H1199" s="6"/>
      <c r="I1199" s="7"/>
      <c r="J1199" s="2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>
      <c r="A1200" s="5"/>
      <c r="B1200" s="2"/>
      <c r="C1200" s="3"/>
      <c r="D1200" s="4"/>
      <c r="E1200" s="5"/>
      <c r="F1200" s="5"/>
      <c r="G1200" s="2"/>
      <c r="H1200" s="6"/>
      <c r="I1200" s="7"/>
      <c r="J1200" s="2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>
      <c r="A1201" s="5"/>
      <c r="B1201" s="2"/>
      <c r="C1201" s="3"/>
      <c r="D1201" s="4"/>
      <c r="E1201" s="5"/>
      <c r="F1201" s="5"/>
      <c r="G1201" s="2"/>
      <c r="H1201" s="6"/>
      <c r="I1201" s="7"/>
      <c r="J1201" s="2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>
      <c r="A1202" s="5"/>
      <c r="B1202" s="2"/>
      <c r="C1202" s="3"/>
      <c r="D1202" s="4"/>
      <c r="E1202" s="5"/>
      <c r="F1202" s="5"/>
      <c r="G1202" s="2"/>
      <c r="H1202" s="6"/>
      <c r="I1202" s="7"/>
      <c r="J1202" s="2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>
      <c r="A1203" s="5"/>
      <c r="B1203" s="2"/>
      <c r="C1203" s="3"/>
      <c r="D1203" s="4"/>
      <c r="E1203" s="5"/>
      <c r="F1203" s="5"/>
      <c r="G1203" s="2"/>
      <c r="H1203" s="6"/>
      <c r="I1203" s="7"/>
      <c r="J1203" s="2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>
      <c r="A1204" s="5"/>
      <c r="B1204" s="2"/>
      <c r="C1204" s="3"/>
      <c r="D1204" s="4"/>
      <c r="E1204" s="5"/>
      <c r="F1204" s="5"/>
      <c r="G1204" s="2"/>
      <c r="H1204" s="6"/>
      <c r="I1204" s="7"/>
      <c r="J1204" s="2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>
      <c r="A1205" s="5"/>
      <c r="B1205" s="2"/>
      <c r="C1205" s="3"/>
      <c r="D1205" s="4"/>
      <c r="E1205" s="5"/>
      <c r="F1205" s="5"/>
      <c r="G1205" s="2"/>
      <c r="H1205" s="6"/>
      <c r="I1205" s="7"/>
      <c r="J1205" s="2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>
      <c r="A1206" s="5"/>
      <c r="B1206" s="2"/>
      <c r="C1206" s="3"/>
      <c r="D1206" s="4"/>
      <c r="E1206" s="5"/>
      <c r="F1206" s="5"/>
      <c r="G1206" s="2"/>
      <c r="H1206" s="6"/>
      <c r="I1206" s="7"/>
      <c r="J1206" s="2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>
      <c r="A1207" s="5"/>
      <c r="B1207" s="2"/>
      <c r="C1207" s="3"/>
      <c r="D1207" s="4"/>
      <c r="E1207" s="5"/>
      <c r="F1207" s="5"/>
      <c r="G1207" s="2"/>
      <c r="H1207" s="6"/>
      <c r="I1207" s="7"/>
      <c r="J1207" s="2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>
      <c r="A1208" s="5"/>
      <c r="B1208" s="2"/>
      <c r="C1208" s="3"/>
      <c r="D1208" s="4"/>
      <c r="E1208" s="5"/>
      <c r="F1208" s="5"/>
      <c r="G1208" s="2"/>
      <c r="H1208" s="6"/>
      <c r="I1208" s="7"/>
      <c r="J1208" s="2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>
      <c r="A1209" s="5"/>
      <c r="B1209" s="2"/>
      <c r="C1209" s="3"/>
      <c r="D1209" s="4"/>
      <c r="E1209" s="5"/>
      <c r="F1209" s="5"/>
      <c r="G1209" s="2"/>
      <c r="H1209" s="6"/>
      <c r="I1209" s="7"/>
      <c r="J1209" s="2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>
      <c r="A1210" s="5"/>
      <c r="B1210" s="2"/>
      <c r="C1210" s="3"/>
      <c r="D1210" s="4"/>
      <c r="E1210" s="5"/>
      <c r="F1210" s="5"/>
      <c r="G1210" s="2"/>
      <c r="H1210" s="6"/>
      <c r="I1210" s="7"/>
      <c r="J1210" s="2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>
      <c r="A1211" s="5"/>
      <c r="B1211" s="2"/>
      <c r="C1211" s="3"/>
      <c r="D1211" s="4"/>
      <c r="E1211" s="5"/>
      <c r="F1211" s="5"/>
      <c r="G1211" s="2"/>
      <c r="H1211" s="6"/>
      <c r="I1211" s="7"/>
      <c r="J1211" s="2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>
      <c r="A1212" s="5"/>
      <c r="B1212" s="2"/>
      <c r="C1212" s="3"/>
      <c r="D1212" s="4"/>
      <c r="E1212" s="5"/>
      <c r="F1212" s="5"/>
      <c r="G1212" s="2"/>
      <c r="H1212" s="6"/>
      <c r="I1212" s="7"/>
      <c r="J1212" s="2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>
      <c r="A1213" s="5"/>
      <c r="B1213" s="2"/>
      <c r="C1213" s="3"/>
      <c r="D1213" s="4"/>
      <c r="E1213" s="5"/>
      <c r="F1213" s="5"/>
      <c r="G1213" s="2"/>
      <c r="H1213" s="6"/>
      <c r="I1213" s="7"/>
      <c r="J1213" s="2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>
      <c r="A1214" s="5"/>
      <c r="B1214" s="2"/>
      <c r="C1214" s="3"/>
      <c r="D1214" s="4"/>
      <c r="E1214" s="5"/>
      <c r="F1214" s="5"/>
      <c r="G1214" s="2"/>
      <c r="H1214" s="6"/>
      <c r="I1214" s="7"/>
      <c r="J1214" s="2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>
      <c r="A1215" s="5"/>
      <c r="B1215" s="2"/>
      <c r="C1215" s="3"/>
      <c r="D1215" s="4"/>
      <c r="E1215" s="5"/>
      <c r="F1215" s="5"/>
      <c r="G1215" s="2"/>
      <c r="H1215" s="6"/>
      <c r="I1215" s="7"/>
      <c r="J1215" s="2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>
      <c r="A1216" s="5"/>
      <c r="B1216" s="2"/>
      <c r="C1216" s="3"/>
      <c r="D1216" s="4"/>
      <c r="E1216" s="5"/>
      <c r="F1216" s="5"/>
      <c r="G1216" s="2"/>
      <c r="H1216" s="6"/>
      <c r="I1216" s="7"/>
      <c r="J1216" s="2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>
      <c r="A1217" s="5"/>
      <c r="B1217" s="2"/>
      <c r="C1217" s="3"/>
      <c r="D1217" s="4"/>
      <c r="E1217" s="5"/>
      <c r="F1217" s="5"/>
      <c r="G1217" s="2"/>
      <c r="H1217" s="6"/>
      <c r="I1217" s="7"/>
      <c r="J1217" s="2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>
      <c r="A1218" s="5"/>
      <c r="B1218" s="2"/>
      <c r="C1218" s="3"/>
      <c r="D1218" s="4"/>
      <c r="E1218" s="5"/>
      <c r="F1218" s="5"/>
      <c r="G1218" s="2"/>
      <c r="H1218" s="6"/>
      <c r="I1218" s="7"/>
      <c r="J1218" s="2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>
      <c r="A1219" s="5"/>
      <c r="B1219" s="2"/>
      <c r="C1219" s="3"/>
      <c r="D1219" s="4"/>
      <c r="E1219" s="5"/>
      <c r="F1219" s="5"/>
      <c r="G1219" s="2"/>
      <c r="H1219" s="6"/>
      <c r="I1219" s="7"/>
      <c r="J1219" s="2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>
      <c r="A1220" s="5"/>
      <c r="B1220" s="2"/>
      <c r="C1220" s="3"/>
      <c r="D1220" s="4"/>
      <c r="E1220" s="5"/>
      <c r="F1220" s="5"/>
      <c r="G1220" s="2"/>
      <c r="H1220" s="6"/>
      <c r="I1220" s="7"/>
      <c r="J1220" s="2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>
      <c r="A1221" s="5"/>
      <c r="B1221" s="2"/>
      <c r="C1221" s="3"/>
      <c r="D1221" s="4"/>
      <c r="E1221" s="5"/>
      <c r="F1221" s="5"/>
      <c r="G1221" s="2"/>
      <c r="H1221" s="6"/>
      <c r="I1221" s="7"/>
      <c r="J1221" s="2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>
      <c r="A1222" s="5"/>
      <c r="B1222" s="2"/>
      <c r="C1222" s="3"/>
      <c r="D1222" s="4"/>
      <c r="E1222" s="5"/>
      <c r="F1222" s="5"/>
      <c r="G1222" s="2"/>
      <c r="H1222" s="6"/>
      <c r="I1222" s="7"/>
      <c r="J1222" s="2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>
      <c r="A1223" s="5"/>
      <c r="B1223" s="2"/>
      <c r="C1223" s="3"/>
      <c r="D1223" s="4"/>
      <c r="E1223" s="5"/>
      <c r="F1223" s="5"/>
      <c r="G1223" s="2"/>
      <c r="H1223" s="6"/>
      <c r="I1223" s="7"/>
      <c r="J1223" s="2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>
      <c r="A1224" s="5"/>
      <c r="B1224" s="2"/>
      <c r="C1224" s="3"/>
      <c r="D1224" s="4"/>
      <c r="E1224" s="5"/>
      <c r="F1224" s="5"/>
      <c r="G1224" s="2"/>
      <c r="H1224" s="6"/>
      <c r="I1224" s="7"/>
      <c r="J1224" s="2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>
      <c r="A1225" s="5"/>
      <c r="B1225" s="2"/>
      <c r="C1225" s="3"/>
      <c r="D1225" s="4"/>
      <c r="E1225" s="5"/>
      <c r="F1225" s="5"/>
      <c r="G1225" s="2"/>
      <c r="H1225" s="6"/>
      <c r="I1225" s="7"/>
      <c r="J1225" s="2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>
      <c r="A1226" s="5"/>
      <c r="B1226" s="2"/>
      <c r="C1226" s="3"/>
      <c r="D1226" s="4"/>
      <c r="E1226" s="5"/>
      <c r="F1226" s="5"/>
      <c r="G1226" s="2"/>
      <c r="H1226" s="6"/>
      <c r="I1226" s="7"/>
      <c r="J1226" s="2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>
      <c r="A1227" s="5"/>
      <c r="B1227" s="2"/>
      <c r="C1227" s="3"/>
      <c r="D1227" s="4"/>
      <c r="E1227" s="5"/>
      <c r="F1227" s="5"/>
      <c r="G1227" s="2"/>
      <c r="H1227" s="6"/>
      <c r="I1227" s="7"/>
      <c r="J1227" s="2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>
      <c r="A1228" s="5"/>
      <c r="B1228" s="2"/>
      <c r="C1228" s="3"/>
      <c r="D1228" s="4"/>
      <c r="E1228" s="5"/>
      <c r="F1228" s="5"/>
      <c r="G1228" s="2"/>
      <c r="H1228" s="6"/>
      <c r="I1228" s="7"/>
      <c r="J1228" s="2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>
      <c r="A1229" s="5"/>
      <c r="B1229" s="2"/>
      <c r="C1229" s="3"/>
      <c r="D1229" s="4"/>
      <c r="E1229" s="5"/>
      <c r="F1229" s="5"/>
      <c r="G1229" s="2"/>
      <c r="H1229" s="6"/>
      <c r="I1229" s="7"/>
      <c r="J1229" s="2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>
      <c r="A1230" s="5"/>
      <c r="B1230" s="2"/>
      <c r="C1230" s="3"/>
      <c r="D1230" s="4"/>
      <c r="E1230" s="5"/>
      <c r="F1230" s="5"/>
      <c r="G1230" s="2"/>
      <c r="H1230" s="6"/>
      <c r="I1230" s="7"/>
      <c r="J1230" s="2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>
      <c r="A1231" s="5"/>
      <c r="B1231" s="2"/>
      <c r="C1231" s="3"/>
      <c r="D1231" s="4"/>
      <c r="E1231" s="5"/>
      <c r="F1231" s="5"/>
      <c r="G1231" s="2"/>
      <c r="H1231" s="6"/>
      <c r="I1231" s="7"/>
      <c r="J1231" s="2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>
      <c r="A1232" s="5"/>
      <c r="B1232" s="2"/>
      <c r="C1232" s="3"/>
      <c r="D1232" s="4"/>
      <c r="E1232" s="5"/>
      <c r="F1232" s="5"/>
      <c r="G1232" s="2"/>
      <c r="H1232" s="6"/>
      <c r="I1232" s="7"/>
      <c r="J1232" s="2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>
      <c r="A1233" s="5"/>
      <c r="B1233" s="2"/>
      <c r="C1233" s="3"/>
      <c r="D1233" s="4"/>
      <c r="E1233" s="5"/>
      <c r="F1233" s="5"/>
      <c r="G1233" s="2"/>
      <c r="H1233" s="6"/>
      <c r="I1233" s="7"/>
      <c r="J1233" s="2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>
      <c r="A1234" s="5"/>
      <c r="B1234" s="2"/>
      <c r="C1234" s="3"/>
      <c r="D1234" s="4"/>
      <c r="E1234" s="5"/>
      <c r="F1234" s="5"/>
      <c r="G1234" s="2"/>
      <c r="H1234" s="6"/>
      <c r="I1234" s="7"/>
      <c r="J1234" s="2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>
      <c r="A1235" s="5"/>
      <c r="B1235" s="2"/>
      <c r="C1235" s="3"/>
      <c r="D1235" s="4"/>
      <c r="E1235" s="5"/>
      <c r="F1235" s="5"/>
      <c r="G1235" s="2"/>
      <c r="H1235" s="6"/>
      <c r="I1235" s="7"/>
      <c r="J1235" s="2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>
      <c r="A1236" s="5"/>
      <c r="B1236" s="2"/>
      <c r="C1236" s="3"/>
      <c r="D1236" s="4"/>
      <c r="E1236" s="5"/>
      <c r="F1236" s="5"/>
      <c r="G1236" s="2"/>
      <c r="H1236" s="6"/>
      <c r="I1236" s="7"/>
      <c r="J1236" s="2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>
      <c r="A1237" s="5"/>
      <c r="B1237" s="2"/>
      <c r="C1237" s="3"/>
      <c r="D1237" s="4"/>
      <c r="E1237" s="5"/>
      <c r="F1237" s="5"/>
      <c r="G1237" s="2"/>
      <c r="H1237" s="6"/>
      <c r="I1237" s="7"/>
      <c r="J1237" s="2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>
      <c r="A1238" s="5"/>
      <c r="B1238" s="2"/>
      <c r="C1238" s="3"/>
      <c r="D1238" s="4"/>
      <c r="E1238" s="5"/>
      <c r="F1238" s="5"/>
      <c r="G1238" s="2"/>
      <c r="H1238" s="6"/>
      <c r="I1238" s="7"/>
      <c r="J1238" s="2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>
      <c r="A1239" s="5"/>
      <c r="B1239" s="2"/>
      <c r="C1239" s="3"/>
      <c r="D1239" s="4"/>
      <c r="E1239" s="5"/>
      <c r="F1239" s="5"/>
      <c r="G1239" s="2"/>
      <c r="H1239" s="6"/>
      <c r="I1239" s="7"/>
      <c r="J1239" s="2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>
      <c r="A1240" s="5"/>
      <c r="B1240" s="2"/>
      <c r="C1240" s="3"/>
      <c r="D1240" s="4"/>
      <c r="E1240" s="5"/>
      <c r="F1240" s="5"/>
      <c r="G1240" s="2"/>
      <c r="H1240" s="6"/>
      <c r="I1240" s="7"/>
      <c r="J1240" s="2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>
      <c r="A1241" s="5"/>
      <c r="B1241" s="2"/>
      <c r="C1241" s="3"/>
      <c r="D1241" s="4"/>
      <c r="E1241" s="5"/>
      <c r="F1241" s="5"/>
      <c r="G1241" s="2"/>
      <c r="H1241" s="6"/>
      <c r="I1241" s="7"/>
      <c r="J1241" s="2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>
      <c r="A1242" s="5"/>
      <c r="B1242" s="2"/>
      <c r="C1242" s="3"/>
      <c r="D1242" s="4"/>
      <c r="E1242" s="5"/>
      <c r="F1242" s="5"/>
      <c r="G1242" s="2"/>
      <c r="H1242" s="6"/>
      <c r="I1242" s="7"/>
      <c r="J1242" s="2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>
      <c r="A1243" s="5"/>
      <c r="B1243" s="2"/>
      <c r="C1243" s="3"/>
      <c r="D1243" s="4"/>
      <c r="E1243" s="5"/>
      <c r="F1243" s="5"/>
      <c r="G1243" s="2"/>
      <c r="H1243" s="6"/>
      <c r="I1243" s="7"/>
      <c r="J1243" s="2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>
      <c r="A1244" s="5"/>
      <c r="B1244" s="2"/>
      <c r="C1244" s="3"/>
      <c r="D1244" s="4"/>
      <c r="E1244" s="5"/>
      <c r="F1244" s="5"/>
      <c r="G1244" s="2"/>
      <c r="H1244" s="6"/>
      <c r="I1244" s="7"/>
      <c r="J1244" s="2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>
      <c r="A1245" s="5"/>
      <c r="B1245" s="2"/>
      <c r="C1245" s="3"/>
      <c r="D1245" s="4"/>
      <c r="E1245" s="5"/>
      <c r="F1245" s="5"/>
      <c r="G1245" s="2"/>
      <c r="H1245" s="6"/>
      <c r="I1245" s="7"/>
      <c r="J1245" s="2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>
      <c r="A1246" s="5"/>
      <c r="B1246" s="2"/>
      <c r="C1246" s="3"/>
      <c r="D1246" s="4"/>
      <c r="E1246" s="5"/>
      <c r="F1246" s="5"/>
      <c r="G1246" s="2"/>
      <c r="H1246" s="6"/>
      <c r="I1246" s="7"/>
      <c r="J1246" s="2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>
      <c r="A1247" s="5"/>
      <c r="B1247" s="2"/>
      <c r="C1247" s="3"/>
      <c r="D1247" s="4"/>
      <c r="E1247" s="5"/>
      <c r="F1247" s="5"/>
      <c r="G1247" s="2"/>
      <c r="H1247" s="6"/>
      <c r="I1247" s="7"/>
      <c r="J1247" s="2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>
      <c r="A1248" s="5"/>
      <c r="B1248" s="2"/>
      <c r="C1248" s="3"/>
      <c r="D1248" s="4"/>
      <c r="E1248" s="5"/>
      <c r="F1248" s="5"/>
      <c r="G1248" s="2"/>
      <c r="H1248" s="6"/>
      <c r="I1248" s="7"/>
      <c r="J1248" s="2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>
      <c r="A1249" s="5"/>
      <c r="B1249" s="2"/>
      <c r="C1249" s="3"/>
      <c r="D1249" s="4"/>
      <c r="E1249" s="5"/>
      <c r="F1249" s="5"/>
      <c r="G1249" s="2"/>
      <c r="H1249" s="6"/>
      <c r="I1249" s="7"/>
      <c r="J1249" s="2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>
      <c r="A1250" s="5"/>
      <c r="B1250" s="2"/>
      <c r="C1250" s="3"/>
      <c r="D1250" s="4"/>
      <c r="E1250" s="5"/>
      <c r="F1250" s="5"/>
      <c r="G1250" s="2"/>
      <c r="H1250" s="6"/>
      <c r="I1250" s="7"/>
      <c r="J1250" s="2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>
      <c r="A1251" s="5"/>
      <c r="B1251" s="2"/>
      <c r="C1251" s="3"/>
      <c r="D1251" s="4"/>
      <c r="E1251" s="5"/>
      <c r="F1251" s="5"/>
      <c r="G1251" s="2"/>
      <c r="H1251" s="6"/>
      <c r="I1251" s="7"/>
      <c r="J1251" s="2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>
      <c r="A1252" s="5"/>
      <c r="B1252" s="2"/>
      <c r="C1252" s="3"/>
      <c r="D1252" s="4"/>
      <c r="E1252" s="5"/>
      <c r="F1252" s="5"/>
      <c r="G1252" s="2"/>
      <c r="H1252" s="6"/>
      <c r="I1252" s="7"/>
      <c r="J1252" s="2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>
      <c r="A1253" s="5"/>
      <c r="B1253" s="2"/>
      <c r="C1253" s="3"/>
      <c r="D1253" s="4"/>
      <c r="E1253" s="5"/>
      <c r="F1253" s="5"/>
      <c r="G1253" s="2"/>
      <c r="H1253" s="6"/>
      <c r="I1253" s="7"/>
      <c r="J1253" s="2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>
      <c r="A1254" s="5"/>
      <c r="B1254" s="2"/>
      <c r="C1254" s="3"/>
      <c r="D1254" s="4"/>
      <c r="E1254" s="5"/>
      <c r="F1254" s="5"/>
      <c r="G1254" s="2"/>
      <c r="H1254" s="6"/>
      <c r="I1254" s="7"/>
      <c r="J1254" s="2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>
      <c r="A1255" s="5"/>
      <c r="B1255" s="2"/>
      <c r="C1255" s="3"/>
      <c r="D1255" s="4"/>
      <c r="E1255" s="5"/>
      <c r="F1255" s="5"/>
      <c r="G1255" s="2"/>
      <c r="H1255" s="6"/>
      <c r="I1255" s="7"/>
      <c r="J1255" s="2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>
      <c r="A1256" s="5"/>
      <c r="B1256" s="2"/>
      <c r="C1256" s="3"/>
      <c r="D1256" s="4"/>
      <c r="E1256" s="5"/>
      <c r="F1256" s="5"/>
      <c r="G1256" s="2"/>
      <c r="H1256" s="6"/>
      <c r="I1256" s="7"/>
      <c r="J1256" s="2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>
      <c r="A1257" s="5"/>
      <c r="B1257" s="2"/>
      <c r="C1257" s="3"/>
      <c r="D1257" s="4"/>
      <c r="E1257" s="5"/>
      <c r="F1257" s="5"/>
      <c r="G1257" s="2"/>
      <c r="H1257" s="6"/>
      <c r="I1257" s="7"/>
      <c r="J1257" s="2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>
      <c r="A1258" s="5"/>
      <c r="B1258" s="2"/>
      <c r="C1258" s="3"/>
      <c r="D1258" s="4"/>
      <c r="E1258" s="5"/>
      <c r="F1258" s="5"/>
      <c r="G1258" s="2"/>
      <c r="H1258" s="6"/>
      <c r="I1258" s="7"/>
      <c r="J1258" s="2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>
      <c r="A1259" s="5"/>
      <c r="B1259" s="2"/>
      <c r="C1259" s="3"/>
      <c r="D1259" s="4"/>
      <c r="E1259" s="5"/>
      <c r="F1259" s="5"/>
      <c r="G1259" s="2"/>
      <c r="H1259" s="6"/>
      <c r="I1259" s="7"/>
      <c r="J1259" s="2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>
      <c r="A1260" s="5"/>
      <c r="B1260" s="2"/>
      <c r="C1260" s="3"/>
      <c r="D1260" s="4"/>
      <c r="E1260" s="5"/>
      <c r="F1260" s="5"/>
      <c r="G1260" s="2"/>
      <c r="H1260" s="6"/>
      <c r="I1260" s="7"/>
      <c r="J1260" s="2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>
      <c r="A1261" s="5"/>
      <c r="B1261" s="2"/>
      <c r="C1261" s="3"/>
      <c r="D1261" s="4"/>
      <c r="E1261" s="5"/>
      <c r="F1261" s="5"/>
      <c r="G1261" s="2"/>
      <c r="H1261" s="6"/>
      <c r="I1261" s="7"/>
      <c r="J1261" s="2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>
      <c r="A1262" s="5"/>
      <c r="B1262" s="2"/>
      <c r="C1262" s="3"/>
      <c r="D1262" s="4"/>
      <c r="E1262" s="5"/>
      <c r="F1262" s="5"/>
      <c r="G1262" s="2"/>
      <c r="H1262" s="6"/>
      <c r="I1262" s="7"/>
      <c r="J1262" s="2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>
      <c r="A1263" s="5"/>
      <c r="B1263" s="2"/>
      <c r="C1263" s="3"/>
      <c r="D1263" s="4"/>
      <c r="E1263" s="5"/>
      <c r="F1263" s="5"/>
      <c r="G1263" s="2"/>
      <c r="H1263" s="6"/>
      <c r="I1263" s="7"/>
      <c r="J1263" s="2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>
      <c r="A1264" s="5"/>
      <c r="B1264" s="2"/>
      <c r="C1264" s="3"/>
      <c r="D1264" s="4"/>
      <c r="E1264" s="5"/>
      <c r="F1264" s="5"/>
      <c r="G1264" s="2"/>
      <c r="H1264" s="6"/>
      <c r="I1264" s="7"/>
      <c r="J1264" s="2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>
      <c r="A1265" s="5"/>
      <c r="B1265" s="2"/>
      <c r="C1265" s="3"/>
      <c r="D1265" s="4"/>
      <c r="E1265" s="5"/>
      <c r="F1265" s="5"/>
      <c r="G1265" s="2"/>
      <c r="H1265" s="6"/>
      <c r="I1265" s="7"/>
      <c r="J1265" s="2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>
      <c r="A1266" s="5"/>
      <c r="B1266" s="2"/>
      <c r="C1266" s="3"/>
      <c r="D1266" s="4"/>
      <c r="E1266" s="5"/>
      <c r="F1266" s="5"/>
      <c r="G1266" s="2"/>
      <c r="H1266" s="6"/>
      <c r="I1266" s="7"/>
      <c r="J1266" s="2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>
      <c r="A1267" s="5"/>
      <c r="B1267" s="2"/>
      <c r="C1267" s="3"/>
      <c r="D1267" s="4"/>
      <c r="E1267" s="5"/>
      <c r="F1267" s="5"/>
      <c r="G1267" s="2"/>
      <c r="H1267" s="6"/>
      <c r="I1267" s="7"/>
      <c r="J1267" s="2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>
      <c r="A1268" s="5"/>
      <c r="B1268" s="2"/>
      <c r="C1268" s="3"/>
      <c r="D1268" s="4"/>
      <c r="E1268" s="5"/>
      <c r="F1268" s="5"/>
      <c r="G1268" s="2"/>
      <c r="H1268" s="6"/>
      <c r="I1268" s="7"/>
      <c r="J1268" s="2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>
      <c r="A1269" s="5"/>
      <c r="B1269" s="2"/>
      <c r="C1269" s="3"/>
      <c r="D1269" s="4"/>
      <c r="E1269" s="5"/>
      <c r="F1269" s="5"/>
      <c r="G1269" s="2"/>
      <c r="H1269" s="6"/>
      <c r="I1269" s="7"/>
      <c r="J1269" s="2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>
      <c r="A1270" s="5"/>
      <c r="B1270" s="2"/>
      <c r="C1270" s="3"/>
      <c r="D1270" s="4"/>
      <c r="E1270" s="5"/>
      <c r="F1270" s="5"/>
      <c r="G1270" s="2"/>
      <c r="H1270" s="6"/>
      <c r="I1270" s="7"/>
      <c r="J1270" s="2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>
      <c r="A1271" s="5"/>
      <c r="B1271" s="2"/>
      <c r="C1271" s="3"/>
      <c r="D1271" s="4"/>
      <c r="E1271" s="5"/>
      <c r="F1271" s="5"/>
      <c r="G1271" s="2"/>
      <c r="H1271" s="6"/>
      <c r="I1271" s="7"/>
      <c r="J1271" s="2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>
      <c r="A1272" s="5"/>
      <c r="B1272" s="2"/>
      <c r="C1272" s="3"/>
      <c r="D1272" s="4"/>
      <c r="E1272" s="5"/>
      <c r="F1272" s="5"/>
      <c r="G1272" s="2"/>
      <c r="H1272" s="6"/>
      <c r="I1272" s="7"/>
      <c r="J1272" s="2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>
      <c r="A1273" s="5"/>
      <c r="B1273" s="2"/>
      <c r="C1273" s="3"/>
      <c r="D1273" s="4"/>
      <c r="E1273" s="5"/>
      <c r="F1273" s="5"/>
      <c r="G1273" s="2"/>
      <c r="H1273" s="6"/>
      <c r="I1273" s="7"/>
      <c r="J1273" s="2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>
      <c r="A1274" s="5"/>
      <c r="B1274" s="2"/>
      <c r="C1274" s="3"/>
      <c r="D1274" s="4"/>
      <c r="E1274" s="5"/>
      <c r="F1274" s="5"/>
      <c r="G1274" s="2"/>
      <c r="H1274" s="6"/>
      <c r="I1274" s="7"/>
      <c r="J1274" s="2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>
      <c r="A1275" s="5"/>
      <c r="B1275" s="2"/>
      <c r="C1275" s="3"/>
      <c r="D1275" s="4"/>
      <c r="E1275" s="5"/>
      <c r="F1275" s="5"/>
      <c r="G1275" s="2"/>
      <c r="H1275" s="6"/>
      <c r="I1275" s="7"/>
      <c r="J1275" s="2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>
      <c r="A1276" s="5"/>
      <c r="B1276" s="2"/>
      <c r="C1276" s="3"/>
      <c r="D1276" s="4"/>
      <c r="E1276" s="5"/>
      <c r="F1276" s="5"/>
      <c r="G1276" s="2"/>
      <c r="H1276" s="6"/>
      <c r="I1276" s="7"/>
      <c r="J1276" s="2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>
      <c r="A1277" s="5"/>
      <c r="B1277" s="2"/>
      <c r="C1277" s="3"/>
      <c r="D1277" s="4"/>
      <c r="E1277" s="5"/>
      <c r="F1277" s="5"/>
      <c r="G1277" s="2"/>
      <c r="H1277" s="6"/>
      <c r="I1277" s="7"/>
      <c r="J1277" s="2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>
      <c r="A1278" s="5"/>
      <c r="B1278" s="2"/>
      <c r="C1278" s="3"/>
      <c r="D1278" s="4"/>
      <c r="E1278" s="5"/>
      <c r="F1278" s="5"/>
      <c r="G1278" s="2"/>
      <c r="H1278" s="6"/>
      <c r="I1278" s="7"/>
      <c r="J1278" s="2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>
      <c r="A1279" s="5"/>
      <c r="B1279" s="2"/>
      <c r="C1279" s="3"/>
      <c r="D1279" s="4"/>
      <c r="E1279" s="5"/>
      <c r="F1279" s="5"/>
      <c r="G1279" s="2"/>
      <c r="H1279" s="6"/>
      <c r="I1279" s="7"/>
      <c r="J1279" s="2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>
      <c r="A1280" s="5"/>
      <c r="B1280" s="2"/>
      <c r="C1280" s="3"/>
      <c r="D1280" s="4"/>
      <c r="E1280" s="5"/>
      <c r="F1280" s="5"/>
      <c r="G1280" s="2"/>
      <c r="H1280" s="6"/>
      <c r="I1280" s="7"/>
      <c r="J1280" s="2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>
      <c r="A1281" s="5"/>
      <c r="B1281" s="2"/>
      <c r="C1281" s="3"/>
      <c r="D1281" s="4"/>
      <c r="E1281" s="5"/>
      <c r="F1281" s="5"/>
      <c r="G1281" s="2"/>
      <c r="H1281" s="6"/>
      <c r="I1281" s="7"/>
      <c r="J1281" s="2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>
      <c r="A1282" s="5"/>
      <c r="B1282" s="2"/>
      <c r="C1282" s="3"/>
      <c r="D1282" s="4"/>
      <c r="E1282" s="5"/>
      <c r="F1282" s="5"/>
      <c r="G1282" s="2"/>
      <c r="H1282" s="6"/>
      <c r="I1282" s="7"/>
      <c r="J1282" s="2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>
      <c r="A1283" s="5"/>
      <c r="B1283" s="2"/>
      <c r="C1283" s="3"/>
      <c r="D1283" s="4"/>
      <c r="E1283" s="5"/>
      <c r="F1283" s="5"/>
      <c r="G1283" s="2"/>
      <c r="H1283" s="6"/>
      <c r="I1283" s="7"/>
      <c r="J1283" s="2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>
      <c r="A1284" s="5"/>
      <c r="B1284" s="2"/>
      <c r="C1284" s="3"/>
      <c r="D1284" s="4"/>
      <c r="E1284" s="5"/>
      <c r="F1284" s="5"/>
      <c r="G1284" s="2"/>
      <c r="H1284" s="6"/>
      <c r="I1284" s="7"/>
      <c r="J1284" s="2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>
      <c r="A1285" s="5"/>
      <c r="B1285" s="2"/>
      <c r="C1285" s="3"/>
      <c r="D1285" s="4"/>
      <c r="E1285" s="5"/>
      <c r="F1285" s="5"/>
      <c r="G1285" s="2"/>
      <c r="H1285" s="6"/>
      <c r="I1285" s="7"/>
      <c r="J1285" s="2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>
      <c r="A1286" s="5"/>
      <c r="B1286" s="2"/>
      <c r="C1286" s="3"/>
      <c r="D1286" s="4"/>
      <c r="E1286" s="5"/>
      <c r="F1286" s="5"/>
      <c r="G1286" s="2"/>
      <c r="H1286" s="6"/>
      <c r="I1286" s="7"/>
      <c r="J1286" s="2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>
      <c r="A1287" s="5"/>
      <c r="B1287" s="2"/>
      <c r="C1287" s="3"/>
      <c r="D1287" s="4"/>
      <c r="E1287" s="5"/>
      <c r="F1287" s="5"/>
      <c r="G1287" s="2"/>
      <c r="H1287" s="6"/>
      <c r="I1287" s="7"/>
      <c r="J1287" s="2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>
      <c r="A1288" s="5"/>
      <c r="B1288" s="2"/>
      <c r="C1288" s="3"/>
      <c r="D1288" s="4"/>
      <c r="E1288" s="5"/>
      <c r="F1288" s="5"/>
      <c r="G1288" s="2"/>
      <c r="H1288" s="6"/>
      <c r="I1288" s="7"/>
      <c r="J1288" s="2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>
      <c r="A1289" s="5"/>
      <c r="B1289" s="2"/>
      <c r="C1289" s="3"/>
      <c r="D1289" s="4"/>
      <c r="E1289" s="5"/>
      <c r="F1289" s="5"/>
      <c r="G1289" s="2"/>
      <c r="H1289" s="6"/>
      <c r="I1289" s="7"/>
      <c r="J1289" s="2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>
      <c r="A1290" s="5"/>
      <c r="B1290" s="2"/>
      <c r="C1290" s="3"/>
      <c r="D1290" s="4"/>
      <c r="E1290" s="5"/>
      <c r="F1290" s="5"/>
      <c r="G1290" s="2"/>
      <c r="H1290" s="6"/>
      <c r="I1290" s="7"/>
      <c r="J1290" s="2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>
      <c r="A1291" s="5"/>
      <c r="B1291" s="2"/>
      <c r="C1291" s="3"/>
      <c r="D1291" s="4"/>
      <c r="E1291" s="5"/>
      <c r="F1291" s="5"/>
      <c r="G1291" s="2"/>
      <c r="H1291" s="6"/>
      <c r="I1291" s="7"/>
      <c r="J1291" s="2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>
      <c r="A1292" s="5"/>
      <c r="B1292" s="2"/>
      <c r="C1292" s="3"/>
      <c r="D1292" s="4"/>
      <c r="E1292" s="5"/>
      <c r="F1292" s="5"/>
      <c r="G1292" s="2"/>
      <c r="H1292" s="6"/>
      <c r="I1292" s="7"/>
      <c r="J1292" s="2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>
      <c r="A1293" s="5"/>
      <c r="B1293" s="2"/>
      <c r="C1293" s="3"/>
      <c r="D1293" s="4"/>
      <c r="E1293" s="5"/>
      <c r="F1293" s="5"/>
      <c r="G1293" s="2"/>
      <c r="H1293" s="6"/>
      <c r="I1293" s="7"/>
      <c r="J1293" s="2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>
      <c r="A1294" s="5"/>
      <c r="B1294" s="2"/>
      <c r="C1294" s="3"/>
      <c r="D1294" s="4"/>
      <c r="E1294" s="5"/>
      <c r="F1294" s="5"/>
      <c r="G1294" s="2"/>
      <c r="H1294" s="6"/>
      <c r="I1294" s="7"/>
      <c r="J1294" s="2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>
      <c r="A1295" s="5"/>
      <c r="B1295" s="2"/>
      <c r="C1295" s="3"/>
      <c r="D1295" s="4"/>
      <c r="E1295" s="5"/>
      <c r="F1295" s="5"/>
      <c r="G1295" s="2"/>
      <c r="H1295" s="6"/>
      <c r="I1295" s="7"/>
      <c r="J1295" s="2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>
      <c r="A1296" s="5"/>
      <c r="B1296" s="2"/>
      <c r="C1296" s="3"/>
      <c r="D1296" s="4"/>
      <c r="E1296" s="5"/>
      <c r="F1296" s="5"/>
      <c r="G1296" s="2"/>
      <c r="H1296" s="6"/>
      <c r="I1296" s="7"/>
      <c r="J1296" s="2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>
      <c r="A1297" s="5"/>
      <c r="B1297" s="2"/>
      <c r="C1297" s="3"/>
      <c r="D1297" s="4"/>
      <c r="E1297" s="5"/>
      <c r="F1297" s="5"/>
      <c r="G1297" s="2"/>
      <c r="H1297" s="6"/>
      <c r="I1297" s="7"/>
      <c r="J1297" s="2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>
      <c r="A1298" s="5"/>
      <c r="B1298" s="2"/>
      <c r="C1298" s="3"/>
      <c r="D1298" s="4"/>
      <c r="E1298" s="5"/>
      <c r="F1298" s="5"/>
      <c r="G1298" s="2"/>
      <c r="H1298" s="6"/>
      <c r="I1298" s="7"/>
      <c r="J1298" s="2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>
      <c r="A1299" s="5"/>
      <c r="B1299" s="2"/>
      <c r="C1299" s="3"/>
      <c r="D1299" s="4"/>
      <c r="E1299" s="5"/>
      <c r="F1299" s="5"/>
      <c r="G1299" s="2"/>
      <c r="H1299" s="6"/>
      <c r="I1299" s="7"/>
      <c r="J1299" s="2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>
      <c r="A1300" s="5"/>
      <c r="B1300" s="2"/>
      <c r="C1300" s="3"/>
      <c r="D1300" s="4"/>
      <c r="E1300" s="5"/>
      <c r="F1300" s="5"/>
      <c r="G1300" s="2"/>
      <c r="H1300" s="6"/>
      <c r="I1300" s="7"/>
      <c r="J1300" s="2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>
      <c r="A1301" s="5"/>
      <c r="B1301" s="2"/>
      <c r="C1301" s="3"/>
      <c r="D1301" s="4"/>
      <c r="E1301" s="5"/>
      <c r="F1301" s="5"/>
      <c r="G1301" s="2"/>
      <c r="H1301" s="6"/>
      <c r="I1301" s="7"/>
      <c r="J1301" s="2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>
      <c r="A1302" s="5"/>
      <c r="B1302" s="2"/>
      <c r="C1302" s="3"/>
      <c r="D1302" s="4"/>
      <c r="E1302" s="5"/>
      <c r="F1302" s="5"/>
      <c r="G1302" s="2"/>
      <c r="H1302" s="6"/>
      <c r="I1302" s="7"/>
      <c r="J1302" s="2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>
      <c r="A1303" s="5"/>
      <c r="B1303" s="2"/>
      <c r="C1303" s="3"/>
      <c r="D1303" s="4"/>
      <c r="E1303" s="5"/>
      <c r="F1303" s="5"/>
      <c r="G1303" s="2"/>
      <c r="H1303" s="6"/>
      <c r="I1303" s="7"/>
      <c r="J1303" s="2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>
      <c r="A1304" s="5"/>
      <c r="B1304" s="2"/>
      <c r="C1304" s="3"/>
      <c r="D1304" s="4"/>
      <c r="E1304" s="5"/>
      <c r="F1304" s="5"/>
      <c r="G1304" s="2"/>
      <c r="H1304" s="6"/>
      <c r="I1304" s="7"/>
      <c r="J1304" s="2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>
      <c r="A1305" s="5"/>
      <c r="B1305" s="2"/>
      <c r="C1305" s="3"/>
      <c r="D1305" s="4"/>
      <c r="E1305" s="5"/>
      <c r="F1305" s="5"/>
      <c r="G1305" s="2"/>
      <c r="H1305" s="6"/>
      <c r="I1305" s="7"/>
      <c r="J1305" s="2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>
      <c r="A1306" s="5"/>
      <c r="B1306" s="2"/>
      <c r="C1306" s="3"/>
      <c r="D1306" s="4"/>
      <c r="E1306" s="5"/>
      <c r="F1306" s="5"/>
      <c r="G1306" s="2"/>
      <c r="H1306" s="6"/>
      <c r="I1306" s="7"/>
      <c r="J1306" s="2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>
      <c r="A1307" s="5"/>
      <c r="B1307" s="2"/>
      <c r="C1307" s="3"/>
      <c r="D1307" s="4"/>
      <c r="E1307" s="5"/>
      <c r="F1307" s="5"/>
      <c r="G1307" s="2"/>
      <c r="H1307" s="6"/>
      <c r="I1307" s="7"/>
      <c r="J1307" s="2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>
      <c r="A1308" s="5"/>
      <c r="B1308" s="2"/>
      <c r="C1308" s="3"/>
      <c r="D1308" s="4"/>
      <c r="E1308" s="5"/>
      <c r="F1308" s="5"/>
      <c r="G1308" s="2"/>
      <c r="H1308" s="6"/>
      <c r="I1308" s="7"/>
      <c r="J1308" s="2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>
      <c r="A1309" s="5"/>
      <c r="B1309" s="2"/>
      <c r="C1309" s="3"/>
      <c r="D1309" s="4"/>
      <c r="E1309" s="5"/>
      <c r="F1309" s="5"/>
      <c r="G1309" s="2"/>
      <c r="H1309" s="6"/>
      <c r="I1309" s="7"/>
      <c r="J1309" s="2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>
      <c r="A1310" s="5"/>
      <c r="B1310" s="2"/>
      <c r="C1310" s="3"/>
      <c r="D1310" s="4"/>
      <c r="E1310" s="5"/>
      <c r="F1310" s="5"/>
      <c r="G1310" s="2"/>
      <c r="H1310" s="6"/>
      <c r="I1310" s="7"/>
      <c r="J1310" s="2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>
      <c r="A1311" s="5"/>
      <c r="B1311" s="2"/>
      <c r="C1311" s="3"/>
      <c r="D1311" s="4"/>
      <c r="E1311" s="5"/>
      <c r="F1311" s="5"/>
      <c r="G1311" s="2"/>
      <c r="H1311" s="6"/>
      <c r="I1311" s="7"/>
      <c r="J1311" s="2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>
      <c r="A1312" s="5"/>
      <c r="B1312" s="2"/>
      <c r="C1312" s="3"/>
      <c r="D1312" s="4"/>
      <c r="E1312" s="5"/>
      <c r="F1312" s="5"/>
      <c r="G1312" s="2"/>
      <c r="H1312" s="6"/>
      <c r="I1312" s="7"/>
      <c r="J1312" s="2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>
      <c r="A1313" s="5"/>
      <c r="B1313" s="2"/>
      <c r="C1313" s="3"/>
      <c r="D1313" s="4"/>
      <c r="E1313" s="5"/>
      <c r="F1313" s="5"/>
      <c r="G1313" s="2"/>
      <c r="H1313" s="6"/>
      <c r="I1313" s="7"/>
      <c r="J1313" s="2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>
      <c r="A1314" s="5"/>
      <c r="B1314" s="2"/>
      <c r="C1314" s="3"/>
      <c r="D1314" s="4"/>
      <c r="E1314" s="5"/>
      <c r="F1314" s="5"/>
      <c r="G1314" s="2"/>
      <c r="H1314" s="6"/>
      <c r="I1314" s="7"/>
      <c r="J1314" s="2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>
      <c r="A1315" s="5"/>
      <c r="B1315" s="2"/>
      <c r="C1315" s="3"/>
      <c r="D1315" s="4"/>
      <c r="E1315" s="5"/>
      <c r="F1315" s="5"/>
      <c r="G1315" s="2"/>
      <c r="H1315" s="6"/>
      <c r="I1315" s="7"/>
      <c r="J1315" s="2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>
      <c r="A1316" s="5"/>
      <c r="B1316" s="2"/>
      <c r="C1316" s="3"/>
      <c r="D1316" s="4"/>
      <c r="E1316" s="5"/>
      <c r="F1316" s="5"/>
      <c r="G1316" s="2"/>
      <c r="H1316" s="6"/>
      <c r="I1316" s="7"/>
      <c r="J1316" s="2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>
      <c r="A1317" s="5"/>
      <c r="B1317" s="2"/>
      <c r="C1317" s="3"/>
      <c r="D1317" s="4"/>
      <c r="E1317" s="5"/>
      <c r="F1317" s="5"/>
      <c r="G1317" s="2"/>
      <c r="H1317" s="6"/>
      <c r="I1317" s="7"/>
      <c r="J1317" s="2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>
      <c r="A1318" s="5"/>
      <c r="B1318" s="2"/>
      <c r="C1318" s="3"/>
      <c r="D1318" s="4"/>
      <c r="E1318" s="5"/>
      <c r="F1318" s="5"/>
      <c r="G1318" s="2"/>
      <c r="H1318" s="6"/>
      <c r="I1318" s="7"/>
      <c r="J1318" s="2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>
      <c r="A1319" s="5"/>
      <c r="B1319" s="2"/>
      <c r="C1319" s="3"/>
      <c r="D1319" s="4"/>
      <c r="E1319" s="5"/>
      <c r="F1319" s="5"/>
      <c r="G1319" s="2"/>
      <c r="H1319" s="6"/>
      <c r="I1319" s="7"/>
      <c r="J1319" s="2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>
      <c r="A1320" s="5"/>
      <c r="B1320" s="2"/>
      <c r="C1320" s="3"/>
      <c r="D1320" s="4"/>
      <c r="E1320" s="5"/>
      <c r="F1320" s="5"/>
      <c r="G1320" s="2"/>
      <c r="H1320" s="6"/>
      <c r="I1320" s="7"/>
      <c r="J1320" s="2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>
      <c r="A1321" s="5"/>
      <c r="B1321" s="2"/>
      <c r="C1321" s="3"/>
      <c r="D1321" s="4"/>
      <c r="E1321" s="5"/>
      <c r="F1321" s="5"/>
      <c r="G1321" s="2"/>
      <c r="H1321" s="6"/>
      <c r="I1321" s="7"/>
      <c r="J1321" s="2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>
      <c r="A1322" s="5"/>
      <c r="B1322" s="2"/>
      <c r="C1322" s="3"/>
      <c r="D1322" s="4"/>
      <c r="E1322" s="5"/>
      <c r="F1322" s="5"/>
      <c r="G1322" s="2"/>
      <c r="H1322" s="6"/>
      <c r="I1322" s="7"/>
      <c r="J1322" s="2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>
      <c r="A1323" s="5"/>
      <c r="B1323" s="2"/>
      <c r="C1323" s="3"/>
      <c r="D1323" s="4"/>
      <c r="E1323" s="5"/>
      <c r="F1323" s="5"/>
      <c r="G1323" s="2"/>
      <c r="H1323" s="6"/>
      <c r="I1323" s="7"/>
      <c r="J1323" s="2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>
      <c r="A1324" s="5"/>
      <c r="B1324" s="2"/>
      <c r="C1324" s="3"/>
      <c r="D1324" s="4"/>
      <c r="E1324" s="5"/>
      <c r="F1324" s="5"/>
      <c r="G1324" s="2"/>
      <c r="H1324" s="6"/>
      <c r="I1324" s="7"/>
      <c r="J1324" s="2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>
      <c r="A1325" s="5"/>
      <c r="B1325" s="2"/>
      <c r="C1325" s="3"/>
      <c r="D1325" s="4"/>
      <c r="E1325" s="5"/>
      <c r="F1325" s="5"/>
      <c r="G1325" s="2"/>
      <c r="H1325" s="6"/>
      <c r="I1325" s="7"/>
      <c r="J1325" s="2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>
      <c r="A1326" s="5"/>
      <c r="B1326" s="2"/>
      <c r="C1326" s="3"/>
      <c r="D1326" s="4"/>
      <c r="E1326" s="5"/>
      <c r="F1326" s="5"/>
      <c r="G1326" s="2"/>
      <c r="H1326" s="6"/>
      <c r="I1326" s="7"/>
      <c r="J1326" s="2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>
      <c r="A1327" s="5"/>
      <c r="B1327" s="2"/>
      <c r="C1327" s="3"/>
      <c r="D1327" s="4"/>
      <c r="E1327" s="5"/>
      <c r="F1327" s="5"/>
      <c r="G1327" s="2"/>
      <c r="H1327" s="6"/>
      <c r="I1327" s="7"/>
      <c r="J1327" s="2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>
      <c r="A1328" s="5"/>
      <c r="B1328" s="2"/>
      <c r="C1328" s="3"/>
      <c r="D1328" s="4"/>
      <c r="E1328" s="5"/>
      <c r="F1328" s="5"/>
      <c r="G1328" s="2"/>
      <c r="H1328" s="6"/>
      <c r="I1328" s="7"/>
      <c r="J1328" s="2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>
      <c r="A1329" s="5"/>
      <c r="B1329" s="2"/>
      <c r="C1329" s="3"/>
      <c r="D1329" s="4"/>
      <c r="E1329" s="5"/>
      <c r="F1329" s="5"/>
      <c r="G1329" s="2"/>
      <c r="H1329" s="6"/>
      <c r="I1329" s="7"/>
      <c r="J1329" s="2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>
      <c r="A1330" s="5"/>
      <c r="B1330" s="2"/>
      <c r="C1330" s="3"/>
      <c r="D1330" s="4"/>
      <c r="E1330" s="5"/>
      <c r="F1330" s="5"/>
      <c r="G1330" s="2"/>
      <c r="H1330" s="6"/>
      <c r="I1330" s="7"/>
      <c r="J1330" s="2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>
      <c r="A1331" s="5"/>
      <c r="B1331" s="2"/>
      <c r="C1331" s="3"/>
      <c r="D1331" s="4"/>
      <c r="E1331" s="5"/>
      <c r="F1331" s="5"/>
      <c r="G1331" s="2"/>
      <c r="H1331" s="6"/>
      <c r="I1331" s="7"/>
      <c r="J1331" s="2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>
      <c r="A1332" s="5"/>
      <c r="B1332" s="2"/>
      <c r="C1332" s="3"/>
      <c r="D1332" s="4"/>
      <c r="E1332" s="5"/>
      <c r="F1332" s="5"/>
      <c r="G1332" s="2"/>
      <c r="H1332" s="6"/>
      <c r="I1332" s="7"/>
      <c r="J1332" s="2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>
      <c r="A1333" s="5"/>
      <c r="B1333" s="2"/>
      <c r="C1333" s="3"/>
      <c r="D1333" s="4"/>
      <c r="E1333" s="5"/>
      <c r="F1333" s="5"/>
      <c r="G1333" s="2"/>
      <c r="H1333" s="6"/>
      <c r="I1333" s="7"/>
      <c r="J1333" s="2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>
      <c r="A1334" s="5"/>
      <c r="B1334" s="2"/>
      <c r="C1334" s="3"/>
      <c r="D1334" s="4"/>
      <c r="E1334" s="5"/>
      <c r="F1334" s="5"/>
      <c r="G1334" s="2"/>
      <c r="H1334" s="6"/>
      <c r="I1334" s="7"/>
      <c r="J1334" s="2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>
      <c r="A1335" s="5"/>
      <c r="B1335" s="2"/>
      <c r="C1335" s="3"/>
      <c r="D1335" s="4"/>
      <c r="E1335" s="5"/>
      <c r="F1335" s="5"/>
      <c r="G1335" s="2"/>
      <c r="H1335" s="6"/>
      <c r="I1335" s="7"/>
      <c r="J1335" s="2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>
      <c r="A1336" s="5"/>
      <c r="B1336" s="2"/>
      <c r="C1336" s="3"/>
      <c r="D1336" s="4"/>
      <c r="E1336" s="5"/>
      <c r="F1336" s="5"/>
      <c r="G1336" s="2"/>
      <c r="H1336" s="6"/>
      <c r="I1336" s="7"/>
      <c r="J1336" s="2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>
      <c r="A1337" s="5"/>
      <c r="B1337" s="2"/>
      <c r="C1337" s="3"/>
      <c r="D1337" s="4"/>
      <c r="E1337" s="5"/>
      <c r="F1337" s="5"/>
      <c r="G1337" s="2"/>
      <c r="H1337" s="6"/>
      <c r="I1337" s="7"/>
      <c r="J1337" s="2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>
      <c r="A1338" s="5"/>
      <c r="B1338" s="2"/>
      <c r="C1338" s="3"/>
      <c r="D1338" s="4"/>
      <c r="E1338" s="5"/>
      <c r="F1338" s="5"/>
      <c r="G1338" s="2"/>
      <c r="H1338" s="6"/>
      <c r="I1338" s="7"/>
      <c r="J1338" s="2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>
      <c r="A1339" s="5"/>
      <c r="B1339" s="2"/>
      <c r="C1339" s="3"/>
      <c r="D1339" s="4"/>
      <c r="E1339" s="5"/>
      <c r="F1339" s="5"/>
      <c r="G1339" s="2"/>
      <c r="H1339" s="6"/>
      <c r="I1339" s="7"/>
      <c r="J1339" s="2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>
      <c r="A1340" s="5"/>
      <c r="B1340" s="2"/>
      <c r="C1340" s="3"/>
      <c r="D1340" s="4"/>
      <c r="E1340" s="5"/>
      <c r="F1340" s="5"/>
      <c r="G1340" s="2"/>
      <c r="H1340" s="6"/>
      <c r="I1340" s="7"/>
      <c r="J1340" s="2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>
      <c r="A1341" s="5"/>
      <c r="B1341" s="2"/>
      <c r="C1341" s="3"/>
      <c r="D1341" s="4"/>
      <c r="E1341" s="5"/>
      <c r="F1341" s="5"/>
      <c r="G1341" s="2"/>
      <c r="H1341" s="6"/>
      <c r="I1341" s="7"/>
      <c r="J1341" s="2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>
      <c r="A1342" s="5"/>
      <c r="B1342" s="2"/>
      <c r="C1342" s="3"/>
      <c r="D1342" s="4"/>
      <c r="E1342" s="5"/>
      <c r="F1342" s="5"/>
      <c r="G1342" s="2"/>
      <c r="H1342" s="6"/>
      <c r="I1342" s="7"/>
      <c r="J1342" s="2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>
      <c r="A1343" s="5"/>
      <c r="B1343" s="2"/>
      <c r="C1343" s="3"/>
      <c r="D1343" s="4"/>
      <c r="E1343" s="5"/>
      <c r="F1343" s="5"/>
      <c r="G1343" s="2"/>
      <c r="H1343" s="6"/>
      <c r="I1343" s="7"/>
      <c r="J1343" s="2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>
      <c r="A1344" s="5"/>
      <c r="B1344" s="2"/>
      <c r="C1344" s="3"/>
      <c r="D1344" s="4"/>
      <c r="E1344" s="5"/>
      <c r="F1344" s="5"/>
      <c r="G1344" s="2"/>
      <c r="H1344" s="6"/>
      <c r="I1344" s="7"/>
      <c r="J1344" s="2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>
      <c r="A1345" s="5"/>
      <c r="B1345" s="2"/>
      <c r="C1345" s="3"/>
      <c r="D1345" s="4"/>
      <c r="E1345" s="5"/>
      <c r="F1345" s="5"/>
      <c r="G1345" s="2"/>
      <c r="H1345" s="6"/>
      <c r="I1345" s="7"/>
      <c r="J1345" s="2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>
      <c r="A1346" s="5"/>
      <c r="B1346" s="2"/>
      <c r="C1346" s="3"/>
      <c r="D1346" s="4"/>
      <c r="E1346" s="5"/>
      <c r="F1346" s="5"/>
      <c r="G1346" s="2"/>
      <c r="H1346" s="6"/>
      <c r="I1346" s="7"/>
      <c r="J1346" s="2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>
      <c r="A1347" s="5"/>
      <c r="B1347" s="2"/>
      <c r="C1347" s="3"/>
      <c r="D1347" s="4"/>
      <c r="E1347" s="5"/>
      <c r="F1347" s="5"/>
      <c r="G1347" s="2"/>
      <c r="H1347" s="6"/>
      <c r="I1347" s="7"/>
      <c r="J1347" s="2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>
      <c r="A1348" s="5"/>
      <c r="B1348" s="2"/>
      <c r="C1348" s="3"/>
      <c r="D1348" s="4"/>
      <c r="E1348" s="5"/>
      <c r="F1348" s="5"/>
      <c r="G1348" s="2"/>
      <c r="H1348" s="6"/>
      <c r="I1348" s="7"/>
      <c r="J1348" s="2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>
      <c r="A1349" s="5"/>
      <c r="B1349" s="2"/>
      <c r="C1349" s="3"/>
      <c r="D1349" s="4"/>
      <c r="E1349" s="5"/>
      <c r="F1349" s="5"/>
      <c r="G1349" s="2"/>
      <c r="H1349" s="6"/>
      <c r="I1349" s="7"/>
      <c r="J1349" s="2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>
      <c r="A1350" s="5"/>
      <c r="B1350" s="2"/>
      <c r="C1350" s="3"/>
      <c r="D1350" s="4"/>
      <c r="E1350" s="5"/>
      <c r="F1350" s="5"/>
      <c r="G1350" s="2"/>
      <c r="H1350" s="6"/>
      <c r="I1350" s="7"/>
      <c r="J1350" s="2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>
      <c r="A1351" s="5"/>
      <c r="B1351" s="2"/>
      <c r="C1351" s="3"/>
      <c r="D1351" s="4"/>
      <c r="E1351" s="5"/>
      <c r="F1351" s="5"/>
      <c r="G1351" s="2"/>
      <c r="H1351" s="6"/>
      <c r="I1351" s="7"/>
      <c r="J1351" s="2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>
      <c r="A1352" s="5"/>
      <c r="B1352" s="2"/>
      <c r="C1352" s="3"/>
      <c r="D1352" s="4"/>
      <c r="E1352" s="5"/>
      <c r="F1352" s="5"/>
      <c r="G1352" s="2"/>
      <c r="H1352" s="6"/>
      <c r="I1352" s="7"/>
      <c r="J1352" s="2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>
      <c r="A1353" s="5"/>
      <c r="B1353" s="2"/>
      <c r="C1353" s="3"/>
      <c r="D1353" s="4"/>
      <c r="E1353" s="5"/>
      <c r="F1353" s="5"/>
      <c r="G1353" s="2"/>
      <c r="H1353" s="6"/>
      <c r="I1353" s="7"/>
      <c r="J1353" s="2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>
      <c r="A1354" s="5"/>
      <c r="B1354" s="2"/>
      <c r="C1354" s="3"/>
      <c r="D1354" s="4"/>
      <c r="E1354" s="5"/>
      <c r="F1354" s="5"/>
      <c r="G1354" s="2"/>
      <c r="H1354" s="6"/>
      <c r="I1354" s="7"/>
      <c r="J1354" s="2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>
      <c r="A1355" s="5"/>
      <c r="B1355" s="2"/>
      <c r="C1355" s="3"/>
      <c r="D1355" s="4"/>
      <c r="E1355" s="5"/>
      <c r="F1355" s="5"/>
      <c r="G1355" s="2"/>
      <c r="H1355" s="6"/>
      <c r="I1355" s="7"/>
      <c r="J1355" s="2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>
      <c r="A1356" s="5"/>
      <c r="B1356" s="2"/>
      <c r="C1356" s="3"/>
      <c r="D1356" s="4"/>
      <c r="E1356" s="5"/>
      <c r="F1356" s="5"/>
      <c r="G1356" s="2"/>
      <c r="H1356" s="6"/>
      <c r="I1356" s="7"/>
      <c r="J1356" s="2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>
      <c r="A1357" s="5"/>
      <c r="B1357" s="2"/>
      <c r="C1357" s="3"/>
      <c r="D1357" s="4"/>
      <c r="E1357" s="5"/>
      <c r="F1357" s="5"/>
      <c r="G1357" s="2"/>
      <c r="H1357" s="6"/>
      <c r="I1357" s="7"/>
      <c r="J1357" s="2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>
      <c r="A1358" s="5"/>
      <c r="B1358" s="2"/>
      <c r="C1358" s="3"/>
      <c r="D1358" s="4"/>
      <c r="E1358" s="5"/>
      <c r="F1358" s="5"/>
      <c r="G1358" s="2"/>
      <c r="H1358" s="6"/>
      <c r="I1358" s="7"/>
      <c r="J1358" s="2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>
      <c r="A1359" s="5"/>
      <c r="B1359" s="2"/>
      <c r="C1359" s="3"/>
      <c r="D1359" s="4"/>
      <c r="E1359" s="5"/>
      <c r="F1359" s="5"/>
      <c r="G1359" s="2"/>
      <c r="H1359" s="6"/>
      <c r="I1359" s="7"/>
      <c r="J1359" s="2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>
      <c r="A1360" s="5"/>
      <c r="B1360" s="2"/>
      <c r="C1360" s="3"/>
      <c r="D1360" s="4"/>
      <c r="E1360" s="5"/>
      <c r="F1360" s="5"/>
      <c r="G1360" s="2"/>
      <c r="H1360" s="6"/>
      <c r="I1360" s="7"/>
      <c r="J1360" s="2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>
      <c r="A1361" s="5"/>
      <c r="B1361" s="2"/>
      <c r="C1361" s="3"/>
      <c r="D1361" s="4"/>
      <c r="E1361" s="5"/>
      <c r="F1361" s="5"/>
      <c r="G1361" s="2"/>
      <c r="H1361" s="6"/>
      <c r="I1361" s="7"/>
      <c r="J1361" s="2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>
      <c r="A1362" s="5"/>
      <c r="B1362" s="2"/>
      <c r="C1362" s="3"/>
      <c r="D1362" s="4"/>
      <c r="E1362" s="5"/>
      <c r="F1362" s="5"/>
      <c r="G1362" s="2"/>
      <c r="H1362" s="6"/>
      <c r="I1362" s="7"/>
      <c r="J1362" s="2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>
      <c r="A1363" s="5"/>
      <c r="B1363" s="2"/>
      <c r="C1363" s="3"/>
      <c r="D1363" s="4"/>
      <c r="E1363" s="5"/>
      <c r="F1363" s="5"/>
      <c r="G1363" s="2"/>
      <c r="H1363" s="6"/>
      <c r="I1363" s="7"/>
      <c r="J1363" s="2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>
      <c r="A1364" s="5"/>
      <c r="B1364" s="2"/>
      <c r="C1364" s="3"/>
      <c r="D1364" s="4"/>
      <c r="E1364" s="5"/>
      <c r="F1364" s="5"/>
      <c r="G1364" s="2"/>
      <c r="H1364" s="6"/>
      <c r="I1364" s="7"/>
      <c r="J1364" s="2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>
      <c r="A1365" s="5"/>
      <c r="B1365" s="2"/>
      <c r="C1365" s="3"/>
      <c r="D1365" s="4"/>
      <c r="E1365" s="5"/>
      <c r="F1365" s="5"/>
      <c r="G1365" s="2"/>
      <c r="H1365" s="6"/>
      <c r="I1365" s="7"/>
      <c r="J1365" s="2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>
      <c r="A1366" s="5"/>
      <c r="B1366" s="2"/>
      <c r="C1366" s="3"/>
      <c r="D1366" s="4"/>
      <c r="E1366" s="5"/>
      <c r="F1366" s="5"/>
      <c r="G1366" s="2"/>
      <c r="H1366" s="6"/>
      <c r="I1366" s="7"/>
      <c r="J1366" s="2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>
      <c r="A1367" s="5"/>
      <c r="B1367" s="2"/>
      <c r="C1367" s="3"/>
      <c r="D1367" s="4"/>
      <c r="E1367" s="5"/>
      <c r="F1367" s="5"/>
      <c r="G1367" s="2"/>
      <c r="H1367" s="6"/>
      <c r="I1367" s="7"/>
      <c r="J1367" s="2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>
      <c r="A1368" s="5"/>
      <c r="B1368" s="2"/>
      <c r="C1368" s="3"/>
      <c r="D1368" s="4"/>
      <c r="E1368" s="5"/>
      <c r="F1368" s="5"/>
      <c r="G1368" s="2"/>
      <c r="H1368" s="6"/>
      <c r="I1368" s="7"/>
      <c r="J1368" s="2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>
      <c r="A1369" s="5"/>
      <c r="B1369" s="2"/>
      <c r="C1369" s="3"/>
      <c r="D1369" s="4"/>
      <c r="E1369" s="5"/>
      <c r="F1369" s="5"/>
      <c r="G1369" s="2"/>
      <c r="H1369" s="6"/>
      <c r="I1369" s="7"/>
      <c r="J1369" s="2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>
      <c r="A1370" s="5"/>
      <c r="B1370" s="2"/>
      <c r="C1370" s="3"/>
      <c r="D1370" s="4"/>
      <c r="E1370" s="5"/>
      <c r="F1370" s="5"/>
      <c r="G1370" s="2"/>
      <c r="H1370" s="6"/>
      <c r="I1370" s="7"/>
      <c r="J1370" s="2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>
      <c r="A1371" s="5"/>
      <c r="B1371" s="2"/>
      <c r="C1371" s="3"/>
      <c r="D1371" s="4"/>
      <c r="E1371" s="5"/>
      <c r="F1371" s="5"/>
      <c r="G1371" s="2"/>
      <c r="H1371" s="6"/>
      <c r="I1371" s="7"/>
      <c r="J1371" s="2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>
      <c r="A1372" s="5"/>
      <c r="B1372" s="2"/>
      <c r="C1372" s="3"/>
      <c r="D1372" s="4"/>
      <c r="E1372" s="5"/>
      <c r="F1372" s="5"/>
      <c r="G1372" s="2"/>
      <c r="H1372" s="6"/>
      <c r="I1372" s="7"/>
      <c r="J1372" s="2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>
      <c r="A1373" s="5"/>
      <c r="B1373" s="2"/>
      <c r="C1373" s="3"/>
      <c r="D1373" s="4"/>
      <c r="E1373" s="5"/>
      <c r="F1373" s="5"/>
      <c r="G1373" s="2"/>
      <c r="H1373" s="6"/>
      <c r="I1373" s="7"/>
      <c r="J1373" s="2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>
      <c r="A1374" s="5"/>
      <c r="B1374" s="2"/>
      <c r="C1374" s="3"/>
      <c r="D1374" s="4"/>
      <c r="E1374" s="5"/>
      <c r="F1374" s="5"/>
      <c r="G1374" s="2"/>
      <c r="H1374" s="6"/>
      <c r="I1374" s="7"/>
      <c r="J1374" s="2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>
      <c r="A1375" s="5"/>
      <c r="B1375" s="2"/>
      <c r="C1375" s="3"/>
      <c r="D1375" s="4"/>
      <c r="E1375" s="5"/>
      <c r="F1375" s="5"/>
      <c r="G1375" s="2"/>
      <c r="H1375" s="6"/>
      <c r="I1375" s="7"/>
      <c r="J1375" s="2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>
      <c r="A1376" s="5"/>
      <c r="B1376" s="2"/>
      <c r="C1376" s="3"/>
      <c r="D1376" s="4"/>
      <c r="E1376" s="5"/>
      <c r="F1376" s="5"/>
      <c r="G1376" s="2"/>
      <c r="H1376" s="6"/>
      <c r="I1376" s="7"/>
      <c r="J1376" s="2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>
      <c r="A1377" s="5"/>
      <c r="B1377" s="2"/>
      <c r="C1377" s="3"/>
      <c r="D1377" s="4"/>
      <c r="E1377" s="5"/>
      <c r="F1377" s="5"/>
      <c r="G1377" s="2"/>
      <c r="H1377" s="6"/>
      <c r="I1377" s="7"/>
      <c r="J1377" s="2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>
      <c r="A1378" s="5"/>
      <c r="B1378" s="2"/>
      <c r="C1378" s="3"/>
      <c r="D1378" s="4"/>
      <c r="E1378" s="5"/>
      <c r="F1378" s="5"/>
      <c r="G1378" s="2"/>
      <c r="H1378" s="6"/>
      <c r="I1378" s="7"/>
      <c r="J1378" s="2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>
      <c r="A1379" s="5"/>
      <c r="B1379" s="2"/>
      <c r="C1379" s="3"/>
      <c r="D1379" s="4"/>
      <c r="E1379" s="5"/>
      <c r="F1379" s="5"/>
      <c r="G1379" s="2"/>
      <c r="H1379" s="6"/>
      <c r="I1379" s="7"/>
      <c r="J1379" s="2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>
      <c r="A1380" s="5"/>
      <c r="B1380" s="2"/>
      <c r="C1380" s="3"/>
      <c r="D1380" s="4"/>
      <c r="E1380" s="5"/>
      <c r="F1380" s="5"/>
      <c r="G1380" s="2"/>
      <c r="H1380" s="6"/>
      <c r="I1380" s="7"/>
      <c r="J1380" s="2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>
      <c r="A1381" s="5"/>
      <c r="B1381" s="2"/>
      <c r="C1381" s="3"/>
      <c r="D1381" s="4"/>
      <c r="E1381" s="5"/>
      <c r="F1381" s="5"/>
      <c r="G1381" s="2"/>
      <c r="H1381" s="6"/>
      <c r="I1381" s="7"/>
      <c r="J1381" s="2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</sheetData>
  <autoFilter ref="$B$5:$Q$393">
    <filterColumn colId="8">
      <filters blank="1">
        <filter val="In Progress, KUTAURA"/>
        <filter val="Awaiting Payment, Delivered"/>
        <filter val="In Progress"/>
        <filter val="Order SA"/>
        <filter val="Inquiry"/>
        <filter val="In Progress, ON HOLD FOR NW"/>
        <filter val="In Progress, Order SA"/>
        <filter val="In Progress, DAVE"/>
        <filter val="RONI"/>
        <filter val="Awaiting Payment"/>
      </filters>
    </filterColumn>
    <sortState ref="B5:Q393">
      <sortCondition ref="H5:H393"/>
    </sortState>
  </autoFilter>
  <customSheetViews>
    <customSheetView guid="{DF98F3F8-A947-45F8-9F11-6D24AAA20C2A}" filter="1" showAutoFilter="1">
      <autoFilter ref="$B$5:$Q$393">
        <filterColumn colId="8">
          <filters blank="1">
            <filter val="In Progress, KUTAURA"/>
            <filter val="Awaiting Payment, Delivered"/>
            <filter val="Showing Samples"/>
            <filter val="In Progress"/>
            <filter val="Order SA"/>
            <filter val="Inquiry"/>
            <filter val="In Progress, ON HOLD FOR NW"/>
            <filter val="In Progress, Order SA"/>
            <filter val="INTERESTED"/>
            <filter val="In Progress, DAVE"/>
            <filter val="RONI"/>
            <filter val="Awaiting Payment"/>
          </filters>
        </filterColumn>
        <sortState ref="B5:Q393">
          <sortCondition ref="H5:H393"/>
        </sortState>
      </autoFilter>
    </customSheetView>
    <customSheetView guid="{0D23F570-5269-498A-927E-5520934A5A24}" filter="1" showAutoFilter="1">
      <autoFilter ref="$B$5:$Q$393">
        <filterColumn colId="8">
          <filters blank="1">
            <filter val="In Progress, KUTAURA"/>
            <filter val="Awaiting Payment, Delivered"/>
            <filter val="Showing Samples"/>
            <filter val="In Progress"/>
            <filter val="Order SA"/>
            <filter val="Inquiry"/>
            <filter val="In Progress, ON HOLD FOR NW"/>
            <filter val="In Progress, Order SA"/>
            <filter val="INTERESTED"/>
            <filter val="In Progress, DAVE"/>
            <filter val="RONI"/>
            <filter val="Awaiting Payment"/>
          </filters>
        </filterColumn>
        <sortState ref="B5:Q393">
          <sortCondition ref="H5:H393"/>
        </sortState>
      </autoFilter>
    </customSheetView>
    <customSheetView guid="{3328504C-575E-4CD0-B39A-D5CD151BADBA}" filter="1" showAutoFilter="1">
      <autoFilter ref="$B$4:$Q$393"/>
    </customSheetView>
  </customSheetViews>
  <mergeCells count="2">
    <mergeCell ref="E2:Q2"/>
    <mergeCell ref="K4:P4"/>
  </mergeCells>
  <dataValidations>
    <dataValidation type="list" allowBlank="1" showErrorMessage="1" sqref="J6:J192 J194:J399">
      <formula1>"Inquiry,In Progress,Completed,Order SA,Awaiting Payment,Ordered Paramount,Branding,Didnt get job,Showing Samples,ON HOLD FOR NW,SANDRA,EN ROUTE,TEXCOLOUR,DAVE,RONI,Amai Midzi,Ready for COllection,Delivered,INTERESTED,KUTAURA"</formula1>
    </dataValidation>
    <dataValidation type="list" allowBlank="1" showErrorMessage="1" sqref="G5">
      <formula1>"Assigned to:(Point Man)"</formula1>
    </dataValidation>
    <dataValidation type="list" allowBlank="1" showErrorMessage="1" sqref="G6:G399">
      <formula1>"BVR,LVR,TAF,MAR"</formula1>
    </dataValidation>
    <dataValidation type="list" allowBlank="1" showErrorMessage="1" sqref="J193">
      <formula1>"Inquiry,In Progress,Completed,Order SA,Awaiting Payment,Ordered Paramount,Branding,Didnt get job,CONFIRMED,Showing Samples,ON HOLD FOR NW,SANDRA,EN ROUTE,TEXCOLOUR,DAVE,RONI,Cancelled"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75"/>
  <cols>
    <col customWidth="1" min="1" max="1" width="2.5"/>
    <col customWidth="1" min="2" max="2" width="11.38"/>
    <col customWidth="1" min="3" max="3" width="14.25"/>
    <col customWidth="1" min="4" max="4" width="23.13"/>
    <col customWidth="1" min="5" max="5" width="15.88"/>
    <col customWidth="1" min="6" max="6" width="12.63"/>
    <col customWidth="1" min="7" max="7" width="14.63"/>
    <col customWidth="1" min="8" max="8" width="11.13"/>
    <col customWidth="1" min="9" max="9" width="39.25"/>
    <col customWidth="1" min="10" max="10" width="36.38"/>
    <col customWidth="1" min="11" max="11" width="10.25"/>
    <col customWidth="1" min="12" max="12" width="9.63"/>
    <col customWidth="1" min="13" max="13" width="12.25"/>
    <col customWidth="1" min="14" max="14" width="11.0"/>
    <col customWidth="1" min="15" max="15" width="9.13"/>
    <col customWidth="1" min="16" max="16" width="10.25"/>
    <col customWidth="1" min="17" max="17" width="98.63"/>
    <col customWidth="1" min="18" max="18" width="52.63"/>
  </cols>
  <sheetData>
    <row r="1" ht="9.75" customHeight="1">
      <c r="A1" s="1" t="s">
        <v>1030</v>
      </c>
      <c r="B1" s="2"/>
      <c r="C1" s="3"/>
      <c r="D1" s="4"/>
      <c r="E1" s="5"/>
      <c r="F1" s="5"/>
      <c r="G1" s="2"/>
      <c r="H1" s="6"/>
      <c r="I1" s="4"/>
      <c r="J1" s="2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60.75" customHeight="1">
      <c r="A2" s="5"/>
      <c r="B2" s="8"/>
      <c r="C2" s="8"/>
      <c r="D2" s="9" t="s">
        <v>0</v>
      </c>
      <c r="E2" s="10" t="s">
        <v>1</v>
      </c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11"/>
      <c r="C3" s="12"/>
      <c r="D3" s="13"/>
      <c r="E3" s="1"/>
      <c r="F3" s="1"/>
      <c r="G3" s="11"/>
      <c r="H3" s="15"/>
      <c r="I3" s="13"/>
      <c r="J3" s="11"/>
      <c r="K3" s="1"/>
      <c r="L3" s="1"/>
      <c r="M3" s="5"/>
      <c r="N3" s="5">
        <f>14+13+11+11+2</f>
        <v>51</v>
      </c>
      <c r="O3" s="5"/>
      <c r="P3" s="5"/>
      <c r="Q3" s="14" t="s">
        <v>3</v>
      </c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11"/>
      <c r="C4" s="12"/>
      <c r="D4" s="13"/>
      <c r="E4" s="1"/>
      <c r="F4" s="1"/>
      <c r="G4" s="11"/>
      <c r="H4" s="15"/>
      <c r="I4" s="13"/>
      <c r="J4" s="11"/>
      <c r="K4" s="11" t="s">
        <v>4</v>
      </c>
      <c r="Q4" s="1" t="s">
        <v>5</v>
      </c>
      <c r="R4" s="5"/>
      <c r="S4" s="5"/>
      <c r="T4" s="5"/>
      <c r="U4" s="5"/>
      <c r="V4" s="5"/>
      <c r="W4" s="5"/>
      <c r="X4" s="5"/>
      <c r="Y4" s="5"/>
      <c r="Z4" s="5"/>
    </row>
    <row r="5">
      <c r="A5" s="17"/>
      <c r="B5" s="18" t="s">
        <v>6</v>
      </c>
      <c r="C5" s="19" t="s">
        <v>7</v>
      </c>
      <c r="D5" s="20" t="s">
        <v>8</v>
      </c>
      <c r="E5" s="21" t="s">
        <v>9</v>
      </c>
      <c r="F5" s="21" t="s">
        <v>10</v>
      </c>
      <c r="G5" s="18" t="s">
        <v>11</v>
      </c>
      <c r="H5" s="22" t="s">
        <v>12</v>
      </c>
      <c r="I5" s="20" t="s">
        <v>13</v>
      </c>
      <c r="J5" s="18" t="s">
        <v>14</v>
      </c>
      <c r="K5" s="24" t="s">
        <v>15</v>
      </c>
      <c r="L5" s="24" t="s">
        <v>16</v>
      </c>
      <c r="M5" s="25" t="s">
        <v>17</v>
      </c>
      <c r="N5" s="24" t="s">
        <v>18</v>
      </c>
      <c r="O5" s="24" t="s">
        <v>19</v>
      </c>
      <c r="P5" s="24" t="s">
        <v>20</v>
      </c>
      <c r="Q5" s="17"/>
      <c r="R5" s="17"/>
      <c r="S5" s="17"/>
      <c r="T5" s="17"/>
      <c r="U5" s="17"/>
      <c r="V5" s="17"/>
      <c r="W5" s="17"/>
      <c r="X5" s="17"/>
      <c r="Y5" s="17"/>
      <c r="Z5" s="17"/>
    </row>
    <row r="6" hidden="1">
      <c r="A6" s="5"/>
      <c r="B6" s="2"/>
      <c r="C6" s="26">
        <v>45505.0</v>
      </c>
      <c r="D6" s="13" t="s">
        <v>21</v>
      </c>
      <c r="E6" s="1" t="s">
        <v>22</v>
      </c>
      <c r="F6" s="1"/>
      <c r="G6" s="11" t="s">
        <v>23</v>
      </c>
      <c r="H6" s="26">
        <v>45535.0</v>
      </c>
      <c r="I6" s="16" t="s">
        <v>24</v>
      </c>
      <c r="J6" s="11" t="s">
        <v>25</v>
      </c>
      <c r="K6" s="1" t="b">
        <v>1</v>
      </c>
      <c r="L6" s="1" t="b">
        <v>1</v>
      </c>
      <c r="M6" s="1" t="b">
        <v>1</v>
      </c>
      <c r="N6" s="1" t="b">
        <v>1</v>
      </c>
      <c r="O6" s="1" t="b">
        <v>0</v>
      </c>
      <c r="P6" s="1" t="b">
        <v>0</v>
      </c>
      <c r="Q6" s="5"/>
      <c r="R6" s="5"/>
      <c r="S6" s="5"/>
      <c r="T6" s="5"/>
      <c r="U6" s="5"/>
      <c r="V6" s="5"/>
      <c r="W6" s="5"/>
      <c r="X6" s="5"/>
      <c r="Y6" s="5"/>
      <c r="Z6" s="5"/>
    </row>
    <row r="7" hidden="1">
      <c r="A7" s="5"/>
      <c r="B7" s="2"/>
      <c r="C7" s="26">
        <v>45506.0</v>
      </c>
      <c r="D7" s="13" t="s">
        <v>26</v>
      </c>
      <c r="E7" s="1" t="s">
        <v>27</v>
      </c>
      <c r="F7" s="1"/>
      <c r="G7" s="11" t="s">
        <v>28</v>
      </c>
      <c r="H7" s="26">
        <v>45536.0</v>
      </c>
      <c r="I7" s="16" t="s">
        <v>29</v>
      </c>
      <c r="J7" s="11" t="s">
        <v>25</v>
      </c>
      <c r="K7" s="1" t="b">
        <v>1</v>
      </c>
      <c r="L7" s="1" t="b">
        <v>1</v>
      </c>
      <c r="M7" s="1" t="b">
        <v>0</v>
      </c>
      <c r="N7" s="1" t="b">
        <v>0</v>
      </c>
      <c r="O7" s="5" t="b">
        <v>0</v>
      </c>
      <c r="P7" s="5" t="b">
        <v>0</v>
      </c>
      <c r="Q7" s="1" t="s">
        <v>30</v>
      </c>
      <c r="R7" s="5"/>
      <c r="S7" s="5"/>
      <c r="T7" s="5"/>
      <c r="U7" s="5"/>
      <c r="V7" s="5"/>
      <c r="W7" s="5"/>
      <c r="X7" s="5"/>
      <c r="Y7" s="5"/>
      <c r="Z7" s="5"/>
    </row>
    <row r="8" hidden="1">
      <c r="A8" s="5"/>
      <c r="B8" s="2"/>
      <c r="C8" s="26" t="s">
        <v>31</v>
      </c>
      <c r="D8" s="13" t="s">
        <v>32</v>
      </c>
      <c r="E8" s="1" t="s">
        <v>33</v>
      </c>
      <c r="F8" s="1"/>
      <c r="G8" s="11" t="s">
        <v>23</v>
      </c>
      <c r="H8" s="26">
        <v>45538.0</v>
      </c>
      <c r="I8" s="16" t="s">
        <v>34</v>
      </c>
      <c r="J8" s="11" t="s">
        <v>25</v>
      </c>
      <c r="K8" s="1" t="b">
        <v>1</v>
      </c>
      <c r="L8" s="5" t="b">
        <v>0</v>
      </c>
      <c r="M8" s="5" t="b">
        <v>0</v>
      </c>
      <c r="N8" s="1" t="b">
        <v>1</v>
      </c>
      <c r="O8" s="5" t="b">
        <v>0</v>
      </c>
      <c r="P8" s="1" t="b">
        <v>1</v>
      </c>
      <c r="Q8" s="1" t="s">
        <v>35</v>
      </c>
      <c r="R8" s="5"/>
      <c r="S8" s="5"/>
      <c r="T8" s="5"/>
      <c r="U8" s="5"/>
      <c r="V8" s="5"/>
      <c r="W8" s="5"/>
      <c r="X8" s="5"/>
      <c r="Y8" s="5"/>
      <c r="Z8" s="5"/>
    </row>
    <row r="9" hidden="1">
      <c r="A9" s="5"/>
      <c r="B9" s="2"/>
      <c r="C9" s="26">
        <v>45505.0</v>
      </c>
      <c r="D9" s="13" t="s">
        <v>36</v>
      </c>
      <c r="E9" s="1" t="s">
        <v>37</v>
      </c>
      <c r="F9" s="1"/>
      <c r="G9" s="11" t="s">
        <v>23</v>
      </c>
      <c r="H9" s="27">
        <v>45540.0</v>
      </c>
      <c r="I9" s="16" t="s">
        <v>38</v>
      </c>
      <c r="J9" s="11" t="s">
        <v>25</v>
      </c>
      <c r="K9" s="1" t="b">
        <v>1</v>
      </c>
      <c r="L9" s="5" t="b">
        <v>0</v>
      </c>
      <c r="M9" s="1" t="b">
        <v>0</v>
      </c>
      <c r="N9" s="5" t="b">
        <v>0</v>
      </c>
      <c r="O9" s="5" t="b">
        <v>0</v>
      </c>
      <c r="P9" s="5" t="b">
        <v>0</v>
      </c>
      <c r="Q9" s="1" t="s">
        <v>35</v>
      </c>
      <c r="R9" s="5"/>
      <c r="S9" s="5"/>
      <c r="T9" s="5"/>
      <c r="U9" s="5"/>
      <c r="V9" s="5"/>
      <c r="W9" s="5"/>
      <c r="X9" s="5"/>
      <c r="Y9" s="5"/>
      <c r="Z9" s="5"/>
    </row>
    <row r="10" hidden="1">
      <c r="A10" s="5"/>
      <c r="B10" s="2"/>
      <c r="C10" s="26">
        <v>45474.0</v>
      </c>
      <c r="D10" s="13" t="s">
        <v>39</v>
      </c>
      <c r="E10" s="1" t="s">
        <v>40</v>
      </c>
      <c r="F10" s="1"/>
      <c r="G10" s="11" t="s">
        <v>28</v>
      </c>
      <c r="H10" s="27">
        <v>45541.0</v>
      </c>
      <c r="I10" s="16" t="s">
        <v>41</v>
      </c>
      <c r="J10" s="11" t="s">
        <v>25</v>
      </c>
      <c r="K10" s="1" t="b">
        <v>1</v>
      </c>
      <c r="L10" s="1" t="b">
        <v>1</v>
      </c>
      <c r="M10" s="5" t="b">
        <v>0</v>
      </c>
      <c r="N10" s="5" t="b">
        <v>0</v>
      </c>
      <c r="O10" s="5" t="b">
        <v>0</v>
      </c>
      <c r="P10" s="5" t="b">
        <v>0</v>
      </c>
      <c r="Q10" s="1" t="s">
        <v>42</v>
      </c>
      <c r="R10" s="5"/>
      <c r="S10" s="5"/>
      <c r="T10" s="5"/>
      <c r="U10" s="5"/>
      <c r="V10" s="5"/>
      <c r="W10" s="5"/>
      <c r="X10" s="5"/>
      <c r="Y10" s="5"/>
      <c r="Z10" s="5"/>
    </row>
    <row r="11" hidden="1">
      <c r="A11" s="5"/>
      <c r="B11" s="2"/>
      <c r="C11" s="26">
        <v>45506.0</v>
      </c>
      <c r="D11" s="13" t="s">
        <v>43</v>
      </c>
      <c r="E11" s="1" t="s">
        <v>44</v>
      </c>
      <c r="F11" s="1"/>
      <c r="G11" s="11" t="s">
        <v>45</v>
      </c>
      <c r="H11" s="28">
        <v>45541.0</v>
      </c>
      <c r="I11" s="16" t="s">
        <v>46</v>
      </c>
      <c r="J11" s="11" t="s">
        <v>25</v>
      </c>
      <c r="K11" s="1" t="b">
        <v>1</v>
      </c>
      <c r="L11" s="5" t="b">
        <v>0</v>
      </c>
      <c r="M11" s="5" t="b">
        <v>0</v>
      </c>
      <c r="N11" s="1" t="b">
        <v>1</v>
      </c>
      <c r="O11" s="5" t="b">
        <v>0</v>
      </c>
      <c r="P11" s="5" t="b">
        <v>0</v>
      </c>
      <c r="Q11" s="1"/>
      <c r="R11" s="5"/>
      <c r="S11" s="5"/>
      <c r="T11" s="5"/>
      <c r="U11" s="5"/>
      <c r="V11" s="5"/>
      <c r="W11" s="5"/>
      <c r="X11" s="5"/>
      <c r="Y11" s="5"/>
      <c r="Z11" s="5"/>
    </row>
    <row r="12" hidden="1">
      <c r="A12" s="5"/>
      <c r="B12" s="2"/>
      <c r="C12" s="26">
        <v>45538.0</v>
      </c>
      <c r="D12" s="13" t="s">
        <v>47</v>
      </c>
      <c r="E12" s="1"/>
      <c r="F12" s="1"/>
      <c r="G12" s="11" t="s">
        <v>23</v>
      </c>
      <c r="H12" s="27">
        <v>45541.0</v>
      </c>
      <c r="I12" s="16" t="s">
        <v>48</v>
      </c>
      <c r="J12" s="11" t="s">
        <v>25</v>
      </c>
      <c r="K12" s="1" t="b">
        <v>1</v>
      </c>
      <c r="L12" s="5" t="b">
        <v>0</v>
      </c>
      <c r="M12" s="1" t="b">
        <v>1</v>
      </c>
      <c r="N12" s="5" t="b">
        <v>0</v>
      </c>
      <c r="O12" s="5" t="b">
        <v>0</v>
      </c>
      <c r="P12" s="1" t="b">
        <v>1</v>
      </c>
      <c r="Q12" s="1" t="s">
        <v>49</v>
      </c>
      <c r="R12" s="5"/>
      <c r="S12" s="5"/>
      <c r="T12" s="5"/>
      <c r="U12" s="5"/>
      <c r="V12" s="5"/>
      <c r="W12" s="5"/>
      <c r="X12" s="5"/>
      <c r="Y12" s="5"/>
      <c r="Z12" s="5"/>
    </row>
    <row r="13" hidden="1">
      <c r="A13" s="5"/>
      <c r="B13" s="2"/>
      <c r="C13" s="26">
        <v>45505.0</v>
      </c>
      <c r="D13" s="13" t="s">
        <v>50</v>
      </c>
      <c r="E13" s="1" t="s">
        <v>51</v>
      </c>
      <c r="F13" s="1"/>
      <c r="G13" s="11" t="s">
        <v>28</v>
      </c>
      <c r="H13" s="26">
        <v>45547.0</v>
      </c>
      <c r="I13" s="7"/>
      <c r="J13" s="11" t="s">
        <v>25</v>
      </c>
      <c r="K13" s="1" t="b">
        <v>1</v>
      </c>
      <c r="L13" s="1" t="b">
        <v>1</v>
      </c>
      <c r="M13" s="1" t="b">
        <v>1</v>
      </c>
      <c r="N13" s="5" t="b">
        <v>0</v>
      </c>
      <c r="O13" s="5" t="b">
        <v>0</v>
      </c>
      <c r="P13" s="1" t="b">
        <v>1</v>
      </c>
      <c r="Q13" s="1" t="s">
        <v>52</v>
      </c>
      <c r="R13" s="5"/>
      <c r="S13" s="5"/>
      <c r="T13" s="5"/>
      <c r="U13" s="5"/>
      <c r="V13" s="5"/>
      <c r="W13" s="5"/>
      <c r="X13" s="5"/>
      <c r="Y13" s="5"/>
      <c r="Z13" s="5"/>
    </row>
    <row r="14" hidden="1">
      <c r="A14" s="5"/>
      <c r="B14" s="2"/>
      <c r="C14" s="26">
        <v>45536.0</v>
      </c>
      <c r="D14" s="13" t="s">
        <v>53</v>
      </c>
      <c r="E14" s="1" t="s">
        <v>54</v>
      </c>
      <c r="F14" s="1"/>
      <c r="G14" s="11" t="s">
        <v>23</v>
      </c>
      <c r="H14" s="26">
        <v>45548.0</v>
      </c>
      <c r="I14" s="16" t="s">
        <v>55</v>
      </c>
      <c r="J14" s="11" t="s">
        <v>25</v>
      </c>
      <c r="K14" s="1" t="b">
        <v>1</v>
      </c>
      <c r="L14" s="5" t="b">
        <v>0</v>
      </c>
      <c r="M14" s="1" t="b">
        <v>1</v>
      </c>
      <c r="N14" s="1" t="b">
        <v>0</v>
      </c>
      <c r="O14" s="5" t="b">
        <v>0</v>
      </c>
      <c r="P14" s="5" t="b">
        <v>0</v>
      </c>
      <c r="Q14" s="1" t="s">
        <v>56</v>
      </c>
      <c r="R14" s="5"/>
      <c r="S14" s="5"/>
      <c r="T14" s="5"/>
      <c r="U14" s="5"/>
      <c r="V14" s="5"/>
      <c r="W14" s="5"/>
      <c r="X14" s="5"/>
      <c r="Y14" s="5"/>
      <c r="Z14" s="5"/>
    </row>
    <row r="15" hidden="1">
      <c r="A15" s="5"/>
      <c r="B15" s="2"/>
      <c r="C15" s="26">
        <v>45505.0</v>
      </c>
      <c r="D15" s="13" t="s">
        <v>57</v>
      </c>
      <c r="E15" s="1" t="s">
        <v>58</v>
      </c>
      <c r="F15" s="1"/>
      <c r="G15" s="11" t="s">
        <v>28</v>
      </c>
      <c r="H15" s="26">
        <v>45548.0</v>
      </c>
      <c r="I15" s="16" t="s">
        <v>59</v>
      </c>
      <c r="J15" s="11" t="s">
        <v>25</v>
      </c>
      <c r="K15" s="1" t="b">
        <v>1</v>
      </c>
      <c r="L15" s="1" t="b">
        <v>1</v>
      </c>
      <c r="M15" s="1" t="b">
        <v>1</v>
      </c>
      <c r="N15" s="1" t="b">
        <v>0</v>
      </c>
      <c r="O15" s="5" t="b">
        <v>0</v>
      </c>
      <c r="P15" s="5" t="b">
        <v>0</v>
      </c>
      <c r="Q15" s="1" t="s">
        <v>60</v>
      </c>
      <c r="R15" s="5"/>
      <c r="S15" s="5"/>
      <c r="T15" s="5"/>
      <c r="U15" s="5"/>
      <c r="V15" s="5"/>
      <c r="W15" s="5"/>
      <c r="X15" s="5"/>
      <c r="Y15" s="5"/>
      <c r="Z15" s="5"/>
    </row>
    <row r="16" hidden="1">
      <c r="A16" s="5"/>
      <c r="B16" s="2"/>
      <c r="C16" s="26">
        <v>45539.0</v>
      </c>
      <c r="D16" s="13" t="s">
        <v>61</v>
      </c>
      <c r="E16" s="5"/>
      <c r="F16" s="5"/>
      <c r="G16" s="11" t="s">
        <v>23</v>
      </c>
      <c r="H16" s="28">
        <v>45548.0</v>
      </c>
      <c r="I16" s="16" t="s">
        <v>62</v>
      </c>
      <c r="J16" s="11" t="s">
        <v>25</v>
      </c>
      <c r="K16" s="1" t="b">
        <v>1</v>
      </c>
      <c r="L16" s="1" t="b">
        <v>1</v>
      </c>
      <c r="M16" s="1" t="b">
        <v>1</v>
      </c>
      <c r="N16" s="5" t="b">
        <v>0</v>
      </c>
      <c r="O16" s="5" t="b">
        <v>0</v>
      </c>
      <c r="P16" s="5" t="b">
        <v>0</v>
      </c>
      <c r="Q16" s="1" t="s">
        <v>63</v>
      </c>
      <c r="R16" s="5"/>
      <c r="S16" s="5"/>
      <c r="T16" s="5"/>
      <c r="U16" s="5"/>
      <c r="V16" s="5"/>
      <c r="W16" s="5"/>
      <c r="X16" s="5"/>
      <c r="Y16" s="5"/>
      <c r="Z16" s="5"/>
    </row>
    <row r="17" hidden="1">
      <c r="A17" s="5"/>
      <c r="B17" s="2"/>
      <c r="C17" s="26">
        <v>45505.0</v>
      </c>
      <c r="D17" s="13" t="s">
        <v>64</v>
      </c>
      <c r="E17" s="1" t="s">
        <v>65</v>
      </c>
      <c r="F17" s="1"/>
      <c r="G17" s="11" t="s">
        <v>28</v>
      </c>
      <c r="H17" s="26">
        <v>45552.0</v>
      </c>
      <c r="I17" s="16" t="s">
        <v>66</v>
      </c>
      <c r="J17" s="11" t="s">
        <v>25</v>
      </c>
      <c r="K17" s="1" t="b">
        <v>1</v>
      </c>
      <c r="L17" s="1" t="b">
        <v>1</v>
      </c>
      <c r="M17" s="1" t="b">
        <v>1</v>
      </c>
      <c r="N17" s="5" t="b">
        <v>0</v>
      </c>
      <c r="O17" s="5" t="b">
        <v>0</v>
      </c>
      <c r="P17" s="1" t="b">
        <v>1</v>
      </c>
      <c r="Q17" s="1" t="s">
        <v>67</v>
      </c>
      <c r="R17" s="5"/>
      <c r="S17" s="5"/>
      <c r="T17" s="5"/>
      <c r="U17" s="5"/>
      <c r="V17" s="5"/>
      <c r="W17" s="5"/>
      <c r="X17" s="5"/>
      <c r="Y17" s="5"/>
      <c r="Z17" s="5"/>
    </row>
    <row r="18" hidden="1">
      <c r="A18" s="5"/>
      <c r="B18" s="2"/>
      <c r="C18" s="26">
        <v>45505.0</v>
      </c>
      <c r="D18" s="13" t="s">
        <v>68</v>
      </c>
      <c r="E18" s="1" t="s">
        <v>69</v>
      </c>
      <c r="F18" s="1"/>
      <c r="G18" s="11" t="s">
        <v>23</v>
      </c>
      <c r="H18" s="26">
        <v>45552.0</v>
      </c>
      <c r="I18" s="16" t="s">
        <v>70</v>
      </c>
      <c r="J18" s="11" t="s">
        <v>25</v>
      </c>
      <c r="K18" s="1" t="b">
        <v>1</v>
      </c>
      <c r="L18" s="1" t="b">
        <v>1</v>
      </c>
      <c r="M18" s="1" t="b">
        <v>1</v>
      </c>
      <c r="N18" s="1" t="b">
        <v>1</v>
      </c>
      <c r="O18" s="5" t="b">
        <v>0</v>
      </c>
      <c r="P18" s="1" t="b">
        <v>1</v>
      </c>
      <c r="Q18" s="1" t="s">
        <v>71</v>
      </c>
      <c r="R18" s="5"/>
      <c r="S18" s="5"/>
      <c r="T18" s="5"/>
      <c r="U18" s="5"/>
      <c r="V18" s="5"/>
      <c r="W18" s="5"/>
      <c r="X18" s="5"/>
      <c r="Y18" s="5"/>
      <c r="Z18" s="5"/>
    </row>
    <row r="19" hidden="1">
      <c r="A19" s="5"/>
      <c r="B19" s="2"/>
      <c r="C19" s="26">
        <v>45506.0</v>
      </c>
      <c r="D19" s="13" t="s">
        <v>72</v>
      </c>
      <c r="E19" s="1" t="s">
        <v>73</v>
      </c>
      <c r="F19" s="1"/>
      <c r="G19" s="11" t="s">
        <v>45</v>
      </c>
      <c r="H19" s="28">
        <v>45574.0</v>
      </c>
      <c r="I19" s="16" t="s">
        <v>74</v>
      </c>
      <c r="J19" s="11" t="s">
        <v>25</v>
      </c>
      <c r="K19" s="1" t="b">
        <v>1</v>
      </c>
      <c r="L19" s="1" t="b">
        <v>1</v>
      </c>
      <c r="M19" s="1" t="b">
        <v>1</v>
      </c>
      <c r="N19" s="1" t="b">
        <v>1</v>
      </c>
      <c r="O19" s="1" t="b">
        <v>1</v>
      </c>
      <c r="P19" s="1" t="b">
        <v>1</v>
      </c>
      <c r="Q19" s="1" t="s">
        <v>75</v>
      </c>
      <c r="R19" s="5"/>
      <c r="S19" s="5"/>
      <c r="T19" s="5"/>
      <c r="U19" s="5"/>
      <c r="V19" s="5"/>
      <c r="W19" s="5"/>
      <c r="X19" s="5"/>
      <c r="Y19" s="5"/>
      <c r="Z19" s="5"/>
    </row>
    <row r="20" hidden="1">
      <c r="A20" s="5"/>
      <c r="B20" s="2"/>
      <c r="C20" s="26">
        <v>45536.0</v>
      </c>
      <c r="D20" s="13" t="s">
        <v>76</v>
      </c>
      <c r="E20" s="1" t="s">
        <v>77</v>
      </c>
      <c r="F20" s="1"/>
      <c r="G20" s="11" t="s">
        <v>45</v>
      </c>
      <c r="H20" s="26">
        <v>45560.0</v>
      </c>
      <c r="I20" s="16" t="s">
        <v>78</v>
      </c>
      <c r="J20" s="11" t="s">
        <v>25</v>
      </c>
      <c r="K20" s="1" t="b">
        <v>1</v>
      </c>
      <c r="L20" s="1" t="b">
        <v>1</v>
      </c>
      <c r="M20" s="1" t="b">
        <v>1</v>
      </c>
      <c r="N20" s="5" t="b">
        <v>0</v>
      </c>
      <c r="O20" s="5" t="b">
        <v>0</v>
      </c>
      <c r="P20" s="5" t="b">
        <v>0</v>
      </c>
      <c r="Q20" s="1"/>
      <c r="R20" s="5"/>
      <c r="S20" s="5"/>
      <c r="T20" s="5"/>
      <c r="U20" s="5"/>
      <c r="V20" s="5"/>
      <c r="W20" s="5"/>
      <c r="X20" s="5"/>
      <c r="Y20" s="5"/>
      <c r="Z20" s="5"/>
    </row>
    <row r="21" hidden="1">
      <c r="A21" s="29"/>
      <c r="B21" s="30"/>
      <c r="C21" s="31">
        <v>45537.0</v>
      </c>
      <c r="D21" s="32" t="s">
        <v>79</v>
      </c>
      <c r="E21" s="33" t="s">
        <v>80</v>
      </c>
      <c r="F21" s="33"/>
      <c r="G21" s="34" t="s">
        <v>28</v>
      </c>
      <c r="H21" s="35">
        <v>45580.0</v>
      </c>
      <c r="I21" s="36" t="s">
        <v>59</v>
      </c>
      <c r="J21" s="37" t="s">
        <v>25</v>
      </c>
      <c r="K21" s="38" t="b">
        <v>1</v>
      </c>
      <c r="L21" s="38" t="b">
        <v>1</v>
      </c>
      <c r="M21" s="39" t="b">
        <v>0</v>
      </c>
      <c r="N21" s="39" t="b">
        <v>0</v>
      </c>
      <c r="O21" s="38" t="b">
        <v>1</v>
      </c>
      <c r="P21" s="38" t="b">
        <v>1</v>
      </c>
      <c r="Q21" s="40" t="s">
        <v>81</v>
      </c>
      <c r="R21" s="29"/>
      <c r="S21" s="29"/>
      <c r="T21" s="29"/>
      <c r="U21" s="29"/>
      <c r="V21" s="29"/>
      <c r="W21" s="29"/>
      <c r="X21" s="29"/>
      <c r="Y21" s="29"/>
      <c r="Z21" s="29"/>
    </row>
    <row r="22" hidden="1">
      <c r="A22" s="29"/>
      <c r="B22" s="30"/>
      <c r="C22" s="31">
        <v>45536.0</v>
      </c>
      <c r="D22" s="32" t="s">
        <v>82</v>
      </c>
      <c r="E22" s="40" t="s">
        <v>83</v>
      </c>
      <c r="F22" s="40"/>
      <c r="G22" s="37" t="s">
        <v>23</v>
      </c>
      <c r="H22" s="41">
        <v>45555.0</v>
      </c>
      <c r="I22" s="36" t="s">
        <v>24</v>
      </c>
      <c r="J22" s="37" t="s">
        <v>25</v>
      </c>
      <c r="K22" s="38" t="b">
        <v>1</v>
      </c>
      <c r="L22" s="38" t="b">
        <v>1</v>
      </c>
      <c r="M22" s="39" t="b">
        <v>0</v>
      </c>
      <c r="N22" s="39" t="b">
        <v>0</v>
      </c>
      <c r="O22" s="39" t="b">
        <v>0</v>
      </c>
      <c r="P22" s="38" t="b">
        <v>1</v>
      </c>
      <c r="Q22" s="40" t="s">
        <v>84</v>
      </c>
      <c r="R22" s="29"/>
      <c r="S22" s="29"/>
      <c r="T22" s="29"/>
      <c r="U22" s="29"/>
      <c r="V22" s="29"/>
      <c r="W22" s="29"/>
      <c r="X22" s="29"/>
      <c r="Y22" s="29"/>
      <c r="Z22" s="29"/>
    </row>
    <row r="23" hidden="1">
      <c r="A23" s="5"/>
      <c r="B23" s="2"/>
      <c r="C23" s="26">
        <v>45383.0</v>
      </c>
      <c r="D23" s="13" t="s">
        <v>85</v>
      </c>
      <c r="E23" s="1" t="s">
        <v>86</v>
      </c>
      <c r="F23" s="1"/>
      <c r="G23" s="11" t="s">
        <v>28</v>
      </c>
      <c r="H23" s="26">
        <v>45560.0</v>
      </c>
      <c r="I23" s="16" t="s">
        <v>87</v>
      </c>
      <c r="J23" s="11" t="s">
        <v>25</v>
      </c>
      <c r="K23" s="1" t="b">
        <v>1</v>
      </c>
      <c r="L23" s="1" t="b">
        <v>1</v>
      </c>
      <c r="M23" s="1" t="b">
        <v>0</v>
      </c>
      <c r="N23" s="1" t="b">
        <v>0</v>
      </c>
      <c r="O23" s="5" t="b">
        <v>0</v>
      </c>
      <c r="P23" s="5" t="b">
        <v>0</v>
      </c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idden="1">
      <c r="A24" s="42"/>
      <c r="B24" s="2"/>
      <c r="C24" s="26">
        <v>45474.0</v>
      </c>
      <c r="D24" s="13" t="s">
        <v>88</v>
      </c>
      <c r="E24" s="1" t="s">
        <v>89</v>
      </c>
      <c r="F24" s="1"/>
      <c r="G24" s="11" t="s">
        <v>28</v>
      </c>
      <c r="H24" s="26">
        <v>45560.0</v>
      </c>
      <c r="I24" s="16" t="s">
        <v>90</v>
      </c>
      <c r="J24" s="11" t="s">
        <v>25</v>
      </c>
      <c r="K24" s="1" t="b">
        <v>1</v>
      </c>
      <c r="L24" s="5" t="b">
        <v>0</v>
      </c>
      <c r="M24" s="5" t="b">
        <v>0</v>
      </c>
      <c r="N24" s="5" t="b">
        <v>0</v>
      </c>
      <c r="O24" s="5" t="b">
        <v>0</v>
      </c>
      <c r="P24" s="5" t="b">
        <v>0</v>
      </c>
      <c r="Q24" s="1" t="s">
        <v>91</v>
      </c>
      <c r="R24" s="42"/>
      <c r="S24" s="42"/>
      <c r="T24" s="42"/>
      <c r="U24" s="42"/>
      <c r="V24" s="42"/>
      <c r="W24" s="42"/>
      <c r="X24" s="42"/>
      <c r="Y24" s="42"/>
      <c r="Z24" s="42"/>
    </row>
    <row r="25" hidden="1">
      <c r="A25" s="42"/>
      <c r="B25" s="2"/>
      <c r="C25" s="26">
        <v>45506.0</v>
      </c>
      <c r="D25" s="13" t="s">
        <v>68</v>
      </c>
      <c r="E25" s="1" t="s">
        <v>69</v>
      </c>
      <c r="F25" s="1"/>
      <c r="G25" s="11" t="s">
        <v>28</v>
      </c>
      <c r="H25" s="43"/>
      <c r="I25" s="16" t="s">
        <v>92</v>
      </c>
      <c r="J25" s="11" t="s">
        <v>25</v>
      </c>
      <c r="K25" s="1" t="b">
        <v>1</v>
      </c>
      <c r="L25" s="1" t="b">
        <v>1</v>
      </c>
      <c r="M25" s="5" t="b">
        <v>0</v>
      </c>
      <c r="N25" s="5" t="b">
        <v>0</v>
      </c>
      <c r="O25" s="5" t="b">
        <v>0</v>
      </c>
      <c r="P25" s="5" t="b">
        <v>0</v>
      </c>
      <c r="Q25" s="1"/>
      <c r="R25" s="42"/>
      <c r="S25" s="42"/>
      <c r="T25" s="42"/>
      <c r="U25" s="42"/>
      <c r="V25" s="42"/>
      <c r="W25" s="42"/>
      <c r="X25" s="42"/>
      <c r="Y25" s="42"/>
      <c r="Z25" s="42"/>
    </row>
    <row r="26" hidden="1">
      <c r="A26" s="5"/>
      <c r="B26" s="2"/>
      <c r="C26" s="26">
        <v>45538.0</v>
      </c>
      <c r="D26" s="13" t="s">
        <v>93</v>
      </c>
      <c r="E26" s="1" t="s">
        <v>94</v>
      </c>
      <c r="F26" s="1"/>
      <c r="G26" s="11" t="s">
        <v>28</v>
      </c>
      <c r="H26" s="43"/>
      <c r="I26" s="16" t="s">
        <v>95</v>
      </c>
      <c r="J26" s="11" t="s">
        <v>25</v>
      </c>
      <c r="K26" s="1" t="b">
        <v>1</v>
      </c>
      <c r="L26" s="5" t="b">
        <v>0</v>
      </c>
      <c r="M26" s="5" t="b">
        <v>0</v>
      </c>
      <c r="N26" s="5" t="b">
        <v>0</v>
      </c>
      <c r="O26" s="5" t="b">
        <v>0</v>
      </c>
      <c r="P26" s="5" t="b">
        <v>0</v>
      </c>
      <c r="Q26" s="1" t="s">
        <v>96</v>
      </c>
      <c r="R26" s="5"/>
      <c r="S26" s="5"/>
      <c r="T26" s="5"/>
      <c r="U26" s="5"/>
      <c r="V26" s="5"/>
      <c r="W26" s="5"/>
      <c r="X26" s="5"/>
      <c r="Y26" s="5"/>
      <c r="Z26" s="5"/>
    </row>
    <row r="27" hidden="1">
      <c r="A27" s="5"/>
      <c r="B27" s="2"/>
      <c r="C27" s="26">
        <v>45538.0</v>
      </c>
      <c r="D27" s="13" t="s">
        <v>97</v>
      </c>
      <c r="E27" s="1" t="s">
        <v>98</v>
      </c>
      <c r="F27" s="1"/>
      <c r="G27" s="11" t="s">
        <v>28</v>
      </c>
      <c r="H27" s="43"/>
      <c r="I27" s="16" t="s">
        <v>99</v>
      </c>
      <c r="J27" s="11" t="s">
        <v>25</v>
      </c>
      <c r="K27" s="1" t="b">
        <v>1</v>
      </c>
      <c r="L27" s="5"/>
      <c r="M27" s="5"/>
      <c r="N27" s="5" t="b">
        <v>0</v>
      </c>
      <c r="O27" s="1" t="b">
        <v>1</v>
      </c>
      <c r="P27" s="1" t="b">
        <v>1</v>
      </c>
      <c r="Q27" s="1" t="s">
        <v>100</v>
      </c>
      <c r="R27" s="5"/>
      <c r="S27" s="5"/>
      <c r="T27" s="5"/>
      <c r="U27" s="5"/>
      <c r="V27" s="5"/>
      <c r="W27" s="5"/>
      <c r="X27" s="5"/>
      <c r="Y27" s="5"/>
      <c r="Z27" s="5"/>
    </row>
    <row r="28" hidden="1">
      <c r="A28" s="5"/>
      <c r="B28" s="2"/>
      <c r="C28" s="11" t="s">
        <v>101</v>
      </c>
      <c r="D28" s="13" t="s">
        <v>102</v>
      </c>
      <c r="E28" s="1"/>
      <c r="F28" s="1"/>
      <c r="G28" s="11" t="s">
        <v>45</v>
      </c>
      <c r="H28" s="43"/>
      <c r="I28" s="16" t="s">
        <v>103</v>
      </c>
      <c r="J28" s="11" t="s">
        <v>25</v>
      </c>
      <c r="K28" s="5" t="b">
        <v>0</v>
      </c>
      <c r="L28" s="5" t="b">
        <v>0</v>
      </c>
      <c r="M28" s="5" t="b">
        <v>0</v>
      </c>
      <c r="N28" s="5" t="b">
        <v>0</v>
      </c>
      <c r="O28" s="5" t="b">
        <v>0</v>
      </c>
      <c r="P28" s="1" t="b">
        <v>0</v>
      </c>
      <c r="Q28" s="1" t="s">
        <v>104</v>
      </c>
      <c r="R28" s="5"/>
      <c r="S28" s="5"/>
      <c r="T28" s="5"/>
      <c r="U28" s="5"/>
      <c r="V28" s="5"/>
      <c r="W28" s="5"/>
      <c r="X28" s="5"/>
      <c r="Y28" s="5"/>
      <c r="Z28" s="5"/>
    </row>
    <row r="29" hidden="1">
      <c r="A29" s="5"/>
      <c r="B29" s="2"/>
      <c r="C29" s="11" t="s">
        <v>105</v>
      </c>
      <c r="D29" s="13" t="s">
        <v>106</v>
      </c>
      <c r="E29" s="1" t="s">
        <v>107</v>
      </c>
      <c r="F29" s="1"/>
      <c r="G29" s="11" t="s">
        <v>28</v>
      </c>
      <c r="H29" s="43"/>
      <c r="I29" s="16" t="s">
        <v>108</v>
      </c>
      <c r="J29" s="11" t="s">
        <v>25</v>
      </c>
      <c r="K29" s="1" t="b">
        <v>1</v>
      </c>
      <c r="L29" s="5" t="b">
        <v>0</v>
      </c>
      <c r="M29" s="5" t="b">
        <v>0</v>
      </c>
      <c r="N29" s="5" t="b">
        <v>0</v>
      </c>
      <c r="O29" s="5" t="b">
        <v>0</v>
      </c>
      <c r="P29" s="1" t="b">
        <v>1</v>
      </c>
      <c r="Q29" s="1" t="s">
        <v>109</v>
      </c>
      <c r="R29" s="5"/>
      <c r="S29" s="5"/>
      <c r="T29" s="5"/>
      <c r="U29" s="5"/>
      <c r="V29" s="5"/>
      <c r="W29" s="5"/>
      <c r="X29" s="5"/>
      <c r="Y29" s="5"/>
      <c r="Z29" s="5"/>
    </row>
    <row r="30" hidden="1">
      <c r="A30" s="5"/>
      <c r="B30" s="2"/>
      <c r="C30" s="11" t="s">
        <v>101</v>
      </c>
      <c r="D30" s="13" t="s">
        <v>110</v>
      </c>
      <c r="E30" s="1" t="s">
        <v>111</v>
      </c>
      <c r="F30" s="1"/>
      <c r="G30" s="11" t="s">
        <v>23</v>
      </c>
      <c r="H30" s="43"/>
      <c r="I30" s="16"/>
      <c r="J30" s="11" t="s">
        <v>25</v>
      </c>
      <c r="K30" s="5" t="b">
        <v>0</v>
      </c>
      <c r="L30" s="5" t="b">
        <v>0</v>
      </c>
      <c r="M30" s="5" t="b">
        <v>0</v>
      </c>
      <c r="N30" s="5" t="b">
        <v>0</v>
      </c>
      <c r="O30" s="5" t="b">
        <v>0</v>
      </c>
      <c r="P30" s="1" t="b">
        <v>0</v>
      </c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idden="1">
      <c r="A31" s="5"/>
      <c r="B31" s="2"/>
      <c r="C31" s="26">
        <v>45536.0</v>
      </c>
      <c r="D31" s="13" t="s">
        <v>112</v>
      </c>
      <c r="E31" s="1" t="s">
        <v>113</v>
      </c>
      <c r="F31" s="1"/>
      <c r="G31" s="11" t="s">
        <v>28</v>
      </c>
      <c r="H31" s="43"/>
      <c r="I31" s="16" t="s">
        <v>108</v>
      </c>
      <c r="J31" s="11" t="s">
        <v>25</v>
      </c>
      <c r="K31" s="5" t="b">
        <v>0</v>
      </c>
      <c r="L31" s="5" t="b">
        <v>0</v>
      </c>
      <c r="M31" s="5" t="b">
        <v>0</v>
      </c>
      <c r="N31" s="5" t="b">
        <v>0</v>
      </c>
      <c r="O31" s="5" t="b">
        <v>0</v>
      </c>
      <c r="P31" s="1" t="b">
        <v>1</v>
      </c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idden="1">
      <c r="A32" s="5"/>
      <c r="B32" s="2"/>
      <c r="C32" s="11" t="s">
        <v>114</v>
      </c>
      <c r="D32" s="13" t="s">
        <v>115</v>
      </c>
      <c r="E32" s="1"/>
      <c r="F32" s="1"/>
      <c r="G32" s="11" t="s">
        <v>28</v>
      </c>
      <c r="H32" s="43"/>
      <c r="I32" s="16" t="s">
        <v>116</v>
      </c>
      <c r="J32" s="11" t="s">
        <v>25</v>
      </c>
      <c r="K32" s="1" t="b">
        <v>0</v>
      </c>
      <c r="L32" s="1" t="b">
        <v>0</v>
      </c>
      <c r="M32" s="5" t="b">
        <v>0</v>
      </c>
      <c r="N32" s="5" t="b">
        <v>0</v>
      </c>
      <c r="O32" s="5" t="b">
        <v>0</v>
      </c>
      <c r="P32" s="1" t="b">
        <v>0</v>
      </c>
      <c r="Q32" s="1" t="s">
        <v>117</v>
      </c>
      <c r="R32" s="5"/>
      <c r="S32" s="5"/>
      <c r="T32" s="5"/>
      <c r="U32" s="5"/>
      <c r="V32" s="5"/>
      <c r="W32" s="5"/>
      <c r="X32" s="5"/>
      <c r="Y32" s="5"/>
      <c r="Z32" s="5"/>
    </row>
    <row r="33" hidden="1">
      <c r="A33" s="5"/>
      <c r="B33" s="2"/>
      <c r="C33" s="11" t="s">
        <v>118</v>
      </c>
      <c r="D33" s="13" t="s">
        <v>119</v>
      </c>
      <c r="E33" s="1" t="s">
        <v>28</v>
      </c>
      <c r="F33" s="1"/>
      <c r="G33" s="11" t="s">
        <v>28</v>
      </c>
      <c r="H33" s="43"/>
      <c r="I33" s="16" t="s">
        <v>120</v>
      </c>
      <c r="J33" s="11" t="s">
        <v>25</v>
      </c>
      <c r="K33" s="1" t="b">
        <v>0</v>
      </c>
      <c r="L33" s="1" t="b">
        <v>0</v>
      </c>
      <c r="M33" s="5" t="b">
        <v>0</v>
      </c>
      <c r="N33" s="5" t="b">
        <v>0</v>
      </c>
      <c r="O33" s="5" t="b">
        <v>0</v>
      </c>
      <c r="P33" s="1" t="b">
        <v>0</v>
      </c>
      <c r="Q33" s="1"/>
      <c r="R33" s="5"/>
      <c r="S33" s="5"/>
      <c r="T33" s="5"/>
      <c r="U33" s="5"/>
      <c r="V33" s="5"/>
      <c r="W33" s="5"/>
      <c r="X33" s="5"/>
      <c r="Y33" s="5"/>
      <c r="Z33" s="5"/>
    </row>
    <row r="34" hidden="1">
      <c r="A34" s="5"/>
      <c r="B34" s="2"/>
      <c r="C34" s="11" t="s">
        <v>121</v>
      </c>
      <c r="D34" s="13" t="s">
        <v>122</v>
      </c>
      <c r="E34" s="1" t="s">
        <v>123</v>
      </c>
      <c r="F34" s="1"/>
      <c r="G34" s="11" t="s">
        <v>28</v>
      </c>
      <c r="H34" s="26">
        <v>45576.0</v>
      </c>
      <c r="I34" s="16" t="s">
        <v>124</v>
      </c>
      <c r="J34" s="11" t="s">
        <v>25</v>
      </c>
      <c r="K34" s="1" t="b">
        <v>1</v>
      </c>
      <c r="L34" s="1" t="b">
        <v>1</v>
      </c>
      <c r="M34" s="1" t="b">
        <v>1</v>
      </c>
      <c r="N34" s="5" t="b">
        <v>0</v>
      </c>
      <c r="O34" s="5" t="b">
        <v>0</v>
      </c>
      <c r="P34" s="1" t="b">
        <v>0</v>
      </c>
      <c r="Q34" s="1" t="s">
        <v>125</v>
      </c>
      <c r="R34" s="5"/>
      <c r="S34" s="5"/>
      <c r="T34" s="5"/>
      <c r="U34" s="5"/>
      <c r="V34" s="5"/>
      <c r="W34" s="5"/>
      <c r="X34" s="5"/>
      <c r="Y34" s="5"/>
      <c r="Z34" s="5"/>
    </row>
    <row r="35" hidden="1">
      <c r="A35" s="5"/>
      <c r="B35" s="2"/>
      <c r="C35" s="11" t="s">
        <v>126</v>
      </c>
      <c r="D35" s="13" t="s">
        <v>127</v>
      </c>
      <c r="E35" s="1" t="s">
        <v>28</v>
      </c>
      <c r="F35" s="1"/>
      <c r="G35" s="11" t="s">
        <v>28</v>
      </c>
      <c r="H35" s="43"/>
      <c r="I35" s="16"/>
      <c r="J35" s="11" t="s">
        <v>25</v>
      </c>
      <c r="K35" s="1" t="b">
        <v>1</v>
      </c>
      <c r="L35" s="1" t="b">
        <v>1</v>
      </c>
      <c r="M35" s="1" t="b">
        <v>1</v>
      </c>
      <c r="N35" s="5" t="b">
        <v>0</v>
      </c>
      <c r="O35" s="1" t="b">
        <v>1</v>
      </c>
      <c r="P35" s="1" t="b">
        <v>0</v>
      </c>
      <c r="Q35" s="1" t="s">
        <v>128</v>
      </c>
      <c r="R35" s="5"/>
      <c r="S35" s="5"/>
      <c r="T35" s="5"/>
      <c r="U35" s="5"/>
      <c r="V35" s="5"/>
      <c r="W35" s="5"/>
      <c r="X35" s="5"/>
      <c r="Y35" s="5"/>
      <c r="Z35" s="5"/>
    </row>
    <row r="36" hidden="1">
      <c r="A36" s="5"/>
      <c r="B36" s="2"/>
      <c r="C36" s="26"/>
      <c r="D36" s="13" t="s">
        <v>129</v>
      </c>
      <c r="E36" s="1" t="s">
        <v>130</v>
      </c>
      <c r="F36" s="1"/>
      <c r="G36" s="11" t="s">
        <v>28</v>
      </c>
      <c r="H36" s="26">
        <v>45580.0</v>
      </c>
      <c r="I36" s="16" t="s">
        <v>131</v>
      </c>
      <c r="J36" s="11" t="s">
        <v>25</v>
      </c>
      <c r="K36" s="1" t="b">
        <v>1</v>
      </c>
      <c r="L36" s="1" t="b">
        <v>0</v>
      </c>
      <c r="M36" s="5" t="b">
        <v>0</v>
      </c>
      <c r="N36" s="1" t="b">
        <v>1</v>
      </c>
      <c r="O36" s="5" t="b">
        <v>0</v>
      </c>
      <c r="P36" s="1" t="b">
        <v>0</v>
      </c>
      <c r="Q36" s="1" t="s">
        <v>132</v>
      </c>
      <c r="R36" s="5"/>
      <c r="S36" s="5"/>
      <c r="T36" s="5"/>
      <c r="U36" s="5"/>
      <c r="V36" s="5"/>
      <c r="W36" s="5"/>
      <c r="X36" s="5"/>
      <c r="Y36" s="5"/>
      <c r="Z36" s="5"/>
    </row>
    <row r="37" hidden="1">
      <c r="A37" s="5"/>
      <c r="B37" s="2"/>
      <c r="C37" s="11" t="s">
        <v>133</v>
      </c>
      <c r="D37" s="13" t="s">
        <v>134</v>
      </c>
      <c r="E37" s="1"/>
      <c r="F37" s="1"/>
      <c r="G37" s="11" t="s">
        <v>45</v>
      </c>
      <c r="H37" s="11" t="s">
        <v>135</v>
      </c>
      <c r="I37" s="16"/>
      <c r="J37" s="11" t="s">
        <v>25</v>
      </c>
      <c r="K37" s="1" t="b">
        <v>0</v>
      </c>
      <c r="L37" s="1" t="b">
        <v>0</v>
      </c>
      <c r="M37" s="5" t="b">
        <v>0</v>
      </c>
      <c r="N37" s="5" t="b">
        <v>0</v>
      </c>
      <c r="O37" s="5" t="b">
        <v>0</v>
      </c>
      <c r="P37" s="1" t="b">
        <v>0</v>
      </c>
      <c r="Q37" s="1"/>
      <c r="R37" s="5"/>
      <c r="S37" s="5"/>
      <c r="T37" s="5"/>
      <c r="U37" s="5"/>
      <c r="V37" s="5"/>
      <c r="W37" s="5"/>
      <c r="X37" s="5"/>
      <c r="Y37" s="5"/>
      <c r="Z37" s="5"/>
    </row>
    <row r="38" hidden="1">
      <c r="A38" s="5"/>
      <c r="B38" s="2"/>
      <c r="C38" s="26">
        <v>45558.0</v>
      </c>
      <c r="D38" s="13" t="s">
        <v>136</v>
      </c>
      <c r="E38" s="1"/>
      <c r="F38" s="1"/>
      <c r="G38" s="11" t="s">
        <v>45</v>
      </c>
      <c r="H38" s="11" t="s">
        <v>135</v>
      </c>
      <c r="I38" s="16" t="s">
        <v>137</v>
      </c>
      <c r="J38" s="11" t="s">
        <v>25</v>
      </c>
      <c r="K38" s="1" t="b">
        <v>0</v>
      </c>
      <c r="L38" s="1" t="b">
        <v>0</v>
      </c>
      <c r="M38" s="5" t="b">
        <v>0</v>
      </c>
      <c r="N38" s="5" t="b">
        <v>0</v>
      </c>
      <c r="O38" s="5" t="b">
        <v>0</v>
      </c>
      <c r="P38" s="1" t="b">
        <v>0</v>
      </c>
      <c r="Q38" s="1"/>
      <c r="R38" s="5"/>
      <c r="S38" s="5"/>
      <c r="T38" s="5"/>
      <c r="U38" s="5"/>
      <c r="V38" s="5"/>
      <c r="W38" s="5"/>
      <c r="X38" s="5"/>
      <c r="Y38" s="5"/>
      <c r="Z38" s="5"/>
    </row>
    <row r="39" hidden="1">
      <c r="A39" s="5"/>
      <c r="B39" s="2"/>
      <c r="C39" s="11"/>
      <c r="D39" s="13" t="s">
        <v>138</v>
      </c>
      <c r="E39" s="1"/>
      <c r="F39" s="1"/>
      <c r="G39" s="11" t="s">
        <v>28</v>
      </c>
      <c r="H39" s="43"/>
      <c r="I39" s="16" t="s">
        <v>139</v>
      </c>
      <c r="J39" s="11" t="s">
        <v>25</v>
      </c>
      <c r="K39" s="1" t="b">
        <v>0</v>
      </c>
      <c r="L39" s="1" t="b">
        <v>0</v>
      </c>
      <c r="M39" s="5" t="b">
        <v>0</v>
      </c>
      <c r="N39" s="5" t="b">
        <v>0</v>
      </c>
      <c r="O39" s="5" t="b">
        <v>0</v>
      </c>
      <c r="P39" s="1" t="b">
        <v>0</v>
      </c>
      <c r="Q39" s="1"/>
      <c r="R39" s="5"/>
      <c r="S39" s="5"/>
      <c r="T39" s="5"/>
      <c r="U39" s="5"/>
      <c r="V39" s="5"/>
      <c r="W39" s="5"/>
      <c r="X39" s="5"/>
      <c r="Y39" s="5"/>
      <c r="Z39" s="5"/>
    </row>
    <row r="40" hidden="1">
      <c r="A40" s="5"/>
      <c r="B40" s="2"/>
      <c r="C40" s="44">
        <v>45594.0</v>
      </c>
      <c r="D40" s="13" t="s">
        <v>140</v>
      </c>
      <c r="E40" s="1" t="s">
        <v>141</v>
      </c>
      <c r="F40" s="1"/>
      <c r="G40" s="11" t="s">
        <v>45</v>
      </c>
      <c r="H40" s="26">
        <v>45596.0</v>
      </c>
      <c r="I40" s="16" t="s">
        <v>142</v>
      </c>
      <c r="J40" s="11" t="s">
        <v>25</v>
      </c>
      <c r="K40" s="1" t="b">
        <v>0</v>
      </c>
      <c r="L40" s="1" t="b">
        <v>0</v>
      </c>
      <c r="M40" s="1" t="b">
        <v>0</v>
      </c>
      <c r="N40" s="5" t="b">
        <v>0</v>
      </c>
      <c r="O40" s="5" t="b">
        <v>0</v>
      </c>
      <c r="P40" s="1" t="b">
        <v>0</v>
      </c>
      <c r="Q40" s="1"/>
      <c r="R40" s="5"/>
      <c r="S40" s="5"/>
      <c r="T40" s="5"/>
      <c r="U40" s="5"/>
      <c r="V40" s="5"/>
      <c r="W40" s="5"/>
      <c r="X40" s="5"/>
      <c r="Y40" s="5"/>
      <c r="Z40" s="5"/>
    </row>
    <row r="41" hidden="1">
      <c r="A41" s="5"/>
      <c r="B41" s="2"/>
      <c r="C41" s="11" t="s">
        <v>133</v>
      </c>
      <c r="D41" s="13" t="s">
        <v>143</v>
      </c>
      <c r="E41" s="1" t="s">
        <v>141</v>
      </c>
      <c r="F41" s="1"/>
      <c r="G41" s="11" t="s">
        <v>45</v>
      </c>
      <c r="H41" s="26">
        <v>45590.0</v>
      </c>
      <c r="I41" s="16" t="s">
        <v>144</v>
      </c>
      <c r="J41" s="11" t="s">
        <v>25</v>
      </c>
      <c r="K41" s="1" t="b">
        <v>1</v>
      </c>
      <c r="L41" s="1" t="b">
        <v>1</v>
      </c>
      <c r="M41" s="1" t="b">
        <v>1</v>
      </c>
      <c r="N41" s="5" t="b">
        <v>0</v>
      </c>
      <c r="O41" s="5" t="b">
        <v>0</v>
      </c>
      <c r="P41" s="1" t="b">
        <v>0</v>
      </c>
      <c r="Q41" s="1" t="s">
        <v>132</v>
      </c>
      <c r="R41" s="5"/>
      <c r="S41" s="5"/>
      <c r="T41" s="5"/>
      <c r="U41" s="5"/>
      <c r="V41" s="5"/>
      <c r="W41" s="5"/>
      <c r="X41" s="5"/>
      <c r="Y41" s="5"/>
      <c r="Z41" s="5"/>
    </row>
    <row r="42" hidden="1">
      <c r="A42" s="5"/>
      <c r="B42" s="2"/>
      <c r="C42" s="28">
        <v>45580.0</v>
      </c>
      <c r="D42" s="13" t="s">
        <v>145</v>
      </c>
      <c r="E42" s="1" t="s">
        <v>141</v>
      </c>
      <c r="F42" s="1"/>
      <c r="G42" s="11" t="s">
        <v>45</v>
      </c>
      <c r="H42" s="26">
        <v>45596.0</v>
      </c>
      <c r="I42" s="16" t="s">
        <v>146</v>
      </c>
      <c r="J42" s="11" t="s">
        <v>25</v>
      </c>
      <c r="K42" s="1" t="b">
        <v>1</v>
      </c>
      <c r="L42" s="1" t="b">
        <v>0</v>
      </c>
      <c r="M42" s="1" t="b">
        <v>0</v>
      </c>
      <c r="N42" s="5" t="b">
        <v>0</v>
      </c>
      <c r="O42" s="5" t="b">
        <v>0</v>
      </c>
      <c r="P42" s="1" t="b">
        <v>1</v>
      </c>
      <c r="Q42" s="1"/>
      <c r="R42" s="5"/>
      <c r="S42" s="5"/>
      <c r="T42" s="5"/>
      <c r="U42" s="5"/>
      <c r="V42" s="5"/>
      <c r="W42" s="5"/>
      <c r="X42" s="5"/>
      <c r="Y42" s="5"/>
      <c r="Z42" s="5"/>
    </row>
    <row r="43" hidden="1">
      <c r="A43" s="5"/>
      <c r="B43" s="2"/>
      <c r="C43" s="26">
        <v>45565.0</v>
      </c>
      <c r="D43" s="13" t="s">
        <v>147</v>
      </c>
      <c r="E43" s="1" t="s">
        <v>148</v>
      </c>
      <c r="F43" s="1"/>
      <c r="G43" s="11" t="s">
        <v>23</v>
      </c>
      <c r="H43" s="43"/>
      <c r="I43" s="16" t="s">
        <v>149</v>
      </c>
      <c r="J43" s="11" t="s">
        <v>25</v>
      </c>
      <c r="K43" s="1" t="b">
        <v>0</v>
      </c>
      <c r="L43" s="1" t="b">
        <v>0</v>
      </c>
      <c r="M43" s="5" t="b">
        <v>0</v>
      </c>
      <c r="N43" s="5" t="b">
        <v>0</v>
      </c>
      <c r="O43" s="5" t="b">
        <v>0</v>
      </c>
      <c r="P43" s="1" t="b">
        <v>0</v>
      </c>
      <c r="Q43" s="1" t="s">
        <v>150</v>
      </c>
      <c r="R43" s="5"/>
      <c r="S43" s="5"/>
      <c r="T43" s="5"/>
      <c r="U43" s="5"/>
      <c r="V43" s="5"/>
      <c r="W43" s="5"/>
      <c r="X43" s="5"/>
      <c r="Y43" s="5"/>
      <c r="Z43" s="5"/>
    </row>
    <row r="44" hidden="1">
      <c r="A44" s="5"/>
      <c r="B44" s="2"/>
      <c r="C44" s="45">
        <v>45565.0</v>
      </c>
      <c r="D44" s="13" t="s">
        <v>151</v>
      </c>
      <c r="E44" s="1"/>
      <c r="F44" s="1"/>
      <c r="G44" s="11" t="s">
        <v>28</v>
      </c>
      <c r="H44" s="26">
        <v>45574.0</v>
      </c>
      <c r="I44" s="16" t="s">
        <v>152</v>
      </c>
      <c r="J44" s="11" t="s">
        <v>25</v>
      </c>
      <c r="K44" s="1" t="b">
        <v>1</v>
      </c>
      <c r="L44" s="1" t="b">
        <v>1</v>
      </c>
      <c r="M44" s="1" t="b">
        <v>1</v>
      </c>
      <c r="N44" s="1" t="b">
        <v>1</v>
      </c>
      <c r="O44" s="1" t="b">
        <v>1</v>
      </c>
      <c r="P44" s="1" t="b">
        <v>1</v>
      </c>
      <c r="Q44" s="1" t="s">
        <v>132</v>
      </c>
      <c r="R44" s="5"/>
      <c r="S44" s="5"/>
      <c r="T44" s="5"/>
      <c r="U44" s="5"/>
      <c r="V44" s="5"/>
      <c r="W44" s="5"/>
      <c r="X44" s="5"/>
      <c r="Y44" s="5"/>
      <c r="Z44" s="5"/>
    </row>
    <row r="45" hidden="1">
      <c r="A45" s="5"/>
      <c r="B45" s="2"/>
      <c r="C45" s="26"/>
      <c r="D45" s="13" t="s">
        <v>153</v>
      </c>
      <c r="E45" s="1" t="s">
        <v>154</v>
      </c>
      <c r="F45" s="1"/>
      <c r="G45" s="11" t="s">
        <v>28</v>
      </c>
      <c r="H45" s="26">
        <v>45572.0</v>
      </c>
      <c r="I45" s="16" t="s">
        <v>155</v>
      </c>
      <c r="J45" s="11" t="s">
        <v>25</v>
      </c>
      <c r="K45" s="1" t="b">
        <v>0</v>
      </c>
      <c r="L45" s="1" t="b">
        <v>0</v>
      </c>
      <c r="M45" s="5" t="b">
        <v>0</v>
      </c>
      <c r="N45" s="5" t="b">
        <v>0</v>
      </c>
      <c r="O45" s="5" t="b">
        <v>0</v>
      </c>
      <c r="P45" s="1" t="b">
        <v>0</v>
      </c>
      <c r="Q45" s="1"/>
      <c r="R45" s="5"/>
      <c r="S45" s="5"/>
      <c r="T45" s="5"/>
      <c r="U45" s="5"/>
      <c r="V45" s="5"/>
      <c r="W45" s="5"/>
      <c r="X45" s="5"/>
      <c r="Y45" s="5"/>
      <c r="Z45" s="5"/>
    </row>
    <row r="46" hidden="1">
      <c r="A46" s="5"/>
      <c r="B46" s="2"/>
      <c r="C46" s="26">
        <v>45566.0</v>
      </c>
      <c r="D46" s="13" t="s">
        <v>156</v>
      </c>
      <c r="E46" s="1" t="s">
        <v>157</v>
      </c>
      <c r="F46" s="1"/>
      <c r="G46" s="11" t="s">
        <v>45</v>
      </c>
      <c r="H46" s="26">
        <v>45576.0</v>
      </c>
      <c r="I46" s="16" t="s">
        <v>158</v>
      </c>
      <c r="J46" s="11" t="s">
        <v>25</v>
      </c>
      <c r="K46" s="1" t="b">
        <v>1</v>
      </c>
      <c r="L46" s="1" t="b">
        <v>1</v>
      </c>
      <c r="M46" s="1" t="b">
        <v>1</v>
      </c>
      <c r="N46" s="1" t="b">
        <v>1</v>
      </c>
      <c r="O46" s="5" t="b">
        <v>0</v>
      </c>
      <c r="P46" s="1" t="b">
        <v>0</v>
      </c>
      <c r="Q46" s="1"/>
      <c r="R46" s="5"/>
      <c r="S46" s="5"/>
      <c r="T46" s="5"/>
      <c r="U46" s="5"/>
      <c r="V46" s="5"/>
      <c r="W46" s="5"/>
      <c r="X46" s="5"/>
      <c r="Y46" s="5"/>
      <c r="Z46" s="5"/>
    </row>
    <row r="47" hidden="1">
      <c r="A47" s="5"/>
      <c r="B47" s="2"/>
      <c r="C47" s="26">
        <v>45570.0</v>
      </c>
      <c r="D47" s="13" t="s">
        <v>159</v>
      </c>
      <c r="E47" s="1" t="s">
        <v>160</v>
      </c>
      <c r="F47" s="1"/>
      <c r="G47" s="11" t="s">
        <v>28</v>
      </c>
      <c r="H47" s="26">
        <v>45583.0</v>
      </c>
      <c r="I47" s="16" t="s">
        <v>161</v>
      </c>
      <c r="J47" s="11" t="s">
        <v>25</v>
      </c>
      <c r="K47" s="1" t="b">
        <v>1</v>
      </c>
      <c r="L47" s="1" t="b">
        <v>0</v>
      </c>
      <c r="M47" s="5" t="b">
        <v>0</v>
      </c>
      <c r="N47" s="5" t="b">
        <v>0</v>
      </c>
      <c r="O47" s="5" t="b">
        <v>0</v>
      </c>
      <c r="P47" s="1" t="b">
        <v>1</v>
      </c>
      <c r="Q47" s="1"/>
      <c r="R47" s="5"/>
      <c r="S47" s="5"/>
      <c r="T47" s="5"/>
      <c r="U47" s="5"/>
      <c r="V47" s="5"/>
      <c r="W47" s="5"/>
      <c r="X47" s="5"/>
      <c r="Y47" s="5"/>
      <c r="Z47" s="5"/>
    </row>
    <row r="48" hidden="1">
      <c r="A48" s="5"/>
      <c r="B48" s="2"/>
      <c r="C48" s="26">
        <v>45572.0</v>
      </c>
      <c r="D48" s="13" t="s">
        <v>162</v>
      </c>
      <c r="E48" s="1" t="s">
        <v>163</v>
      </c>
      <c r="F48" s="1"/>
      <c r="G48" s="11" t="s">
        <v>45</v>
      </c>
      <c r="H48" s="26">
        <v>45573.0</v>
      </c>
      <c r="I48" s="16" t="s">
        <v>164</v>
      </c>
      <c r="J48" s="11" t="s">
        <v>25</v>
      </c>
      <c r="K48" s="1" t="b">
        <v>0</v>
      </c>
      <c r="L48" s="1" t="b">
        <v>0</v>
      </c>
      <c r="M48" s="5" t="b">
        <v>0</v>
      </c>
      <c r="N48" s="5" t="b">
        <v>0</v>
      </c>
      <c r="O48" s="5" t="b">
        <v>0</v>
      </c>
      <c r="P48" s="1" t="b">
        <v>0</v>
      </c>
      <c r="Q48" s="1"/>
      <c r="R48" s="5"/>
      <c r="S48" s="5"/>
      <c r="T48" s="5"/>
      <c r="U48" s="5"/>
      <c r="V48" s="5"/>
      <c r="W48" s="5"/>
      <c r="X48" s="5"/>
      <c r="Y48" s="5"/>
      <c r="Z48" s="5"/>
    </row>
    <row r="49" hidden="1">
      <c r="A49" s="5"/>
      <c r="B49" s="2"/>
      <c r="C49" s="26">
        <v>45573.0</v>
      </c>
      <c r="D49" s="13" t="s">
        <v>165</v>
      </c>
      <c r="E49" s="1" t="s">
        <v>166</v>
      </c>
      <c r="F49" s="1"/>
      <c r="G49" s="11" t="s">
        <v>45</v>
      </c>
      <c r="H49" s="26">
        <v>45596.0</v>
      </c>
      <c r="I49" s="16" t="s">
        <v>167</v>
      </c>
      <c r="J49" s="11" t="s">
        <v>25</v>
      </c>
      <c r="K49" s="1" t="b">
        <v>1</v>
      </c>
      <c r="L49" s="1" t="b">
        <v>0</v>
      </c>
      <c r="M49" s="5" t="b">
        <v>0</v>
      </c>
      <c r="N49" s="5" t="b">
        <v>0</v>
      </c>
      <c r="O49" s="5" t="b">
        <v>0</v>
      </c>
      <c r="P49" s="1" t="b">
        <v>0</v>
      </c>
      <c r="Q49" s="1"/>
      <c r="R49" s="5"/>
      <c r="S49" s="5"/>
      <c r="T49" s="5"/>
      <c r="U49" s="5"/>
      <c r="V49" s="5"/>
      <c r="W49" s="5"/>
      <c r="X49" s="5"/>
      <c r="Y49" s="5"/>
      <c r="Z49" s="5"/>
    </row>
    <row r="50" hidden="1">
      <c r="A50" s="5"/>
      <c r="B50" s="2"/>
      <c r="C50" s="26">
        <v>45573.0</v>
      </c>
      <c r="D50" s="13" t="s">
        <v>168</v>
      </c>
      <c r="E50" s="1"/>
      <c r="F50" s="1"/>
      <c r="G50" s="11" t="s">
        <v>28</v>
      </c>
      <c r="H50" s="26">
        <v>45576.0</v>
      </c>
      <c r="I50" s="16" t="s">
        <v>169</v>
      </c>
      <c r="J50" s="11" t="s">
        <v>25</v>
      </c>
      <c r="K50" s="1" t="b">
        <v>1</v>
      </c>
      <c r="L50" s="1" t="b">
        <v>0</v>
      </c>
      <c r="M50" s="5" t="b">
        <v>0</v>
      </c>
      <c r="N50" s="5" t="b">
        <v>0</v>
      </c>
      <c r="O50" s="5" t="b">
        <v>0</v>
      </c>
      <c r="P50" s="1" t="b">
        <v>0</v>
      </c>
      <c r="Q50" s="1"/>
      <c r="R50" s="5"/>
      <c r="S50" s="5"/>
      <c r="T50" s="5"/>
      <c r="U50" s="5"/>
      <c r="V50" s="5"/>
      <c r="W50" s="5"/>
      <c r="X50" s="5"/>
      <c r="Y50" s="5"/>
      <c r="Z50" s="5"/>
    </row>
    <row r="51" hidden="1">
      <c r="A51" s="5"/>
      <c r="B51" s="2"/>
      <c r="C51" s="26">
        <v>45573.0</v>
      </c>
      <c r="D51" s="13" t="s">
        <v>170</v>
      </c>
      <c r="E51" s="1"/>
      <c r="F51" s="1"/>
      <c r="G51" s="11" t="s">
        <v>28</v>
      </c>
      <c r="H51" s="26">
        <v>45575.0</v>
      </c>
      <c r="I51" s="16"/>
      <c r="J51" s="11" t="s">
        <v>25</v>
      </c>
      <c r="K51" s="1" t="b">
        <v>1</v>
      </c>
      <c r="L51" s="1" t="b">
        <v>0</v>
      </c>
      <c r="M51" s="5" t="b">
        <v>0</v>
      </c>
      <c r="N51" s="5" t="b">
        <v>0</v>
      </c>
      <c r="O51" s="5" t="b">
        <v>0</v>
      </c>
      <c r="P51" s="1" t="b">
        <v>1</v>
      </c>
      <c r="Q51" s="1"/>
      <c r="R51" s="5"/>
      <c r="S51" s="5"/>
      <c r="T51" s="5"/>
      <c r="U51" s="5"/>
      <c r="V51" s="5"/>
      <c r="W51" s="5"/>
      <c r="X51" s="5"/>
      <c r="Y51" s="5"/>
      <c r="Z51" s="5"/>
    </row>
    <row r="52" hidden="1">
      <c r="A52" s="5"/>
      <c r="B52" s="2"/>
      <c r="C52" s="26">
        <v>45573.0</v>
      </c>
      <c r="D52" s="13" t="s">
        <v>171</v>
      </c>
      <c r="E52" s="1"/>
      <c r="F52" s="1"/>
      <c r="G52" s="11" t="s">
        <v>45</v>
      </c>
      <c r="H52" s="26">
        <v>45576.0</v>
      </c>
      <c r="I52" s="16" t="s">
        <v>172</v>
      </c>
      <c r="J52" s="11" t="s">
        <v>173</v>
      </c>
      <c r="K52" s="1" t="b">
        <v>1</v>
      </c>
      <c r="L52" s="1" t="b">
        <v>0</v>
      </c>
      <c r="M52" s="5" t="b">
        <v>0</v>
      </c>
      <c r="N52" s="5" t="b">
        <v>0</v>
      </c>
      <c r="O52" s="5" t="b">
        <v>0</v>
      </c>
      <c r="P52" s="1" t="b">
        <v>0</v>
      </c>
      <c r="Q52" s="1"/>
      <c r="R52" s="5"/>
      <c r="S52" s="5"/>
      <c r="T52" s="5"/>
      <c r="U52" s="5"/>
      <c r="V52" s="5"/>
      <c r="W52" s="5"/>
      <c r="X52" s="5"/>
      <c r="Y52" s="5"/>
      <c r="Z52" s="5"/>
    </row>
    <row r="53" hidden="1">
      <c r="A53" s="5"/>
      <c r="B53" s="2"/>
      <c r="C53" s="26">
        <v>45573.0</v>
      </c>
      <c r="D53" s="13" t="s">
        <v>174</v>
      </c>
      <c r="E53" s="1"/>
      <c r="F53" s="1"/>
      <c r="G53" s="11" t="s">
        <v>28</v>
      </c>
      <c r="H53" s="26"/>
      <c r="I53" s="16" t="s">
        <v>175</v>
      </c>
      <c r="J53" s="11" t="s">
        <v>25</v>
      </c>
      <c r="K53" s="1" t="b">
        <v>1</v>
      </c>
      <c r="L53" s="1" t="b">
        <v>1</v>
      </c>
      <c r="M53" s="1" t="b">
        <v>1</v>
      </c>
      <c r="N53" s="1" t="b">
        <v>1</v>
      </c>
      <c r="O53" s="5" t="b">
        <v>0</v>
      </c>
      <c r="P53" s="1" t="b">
        <v>0</v>
      </c>
      <c r="Q53" s="1"/>
      <c r="R53" s="5"/>
      <c r="S53" s="5"/>
      <c r="T53" s="5"/>
      <c r="U53" s="5"/>
      <c r="V53" s="5"/>
      <c r="W53" s="5"/>
      <c r="X53" s="5"/>
      <c r="Y53" s="5"/>
      <c r="Z53" s="5"/>
    </row>
    <row r="54" hidden="1">
      <c r="A54" s="5"/>
      <c r="B54" s="2"/>
      <c r="C54" s="26"/>
      <c r="D54" s="13" t="s">
        <v>176</v>
      </c>
      <c r="E54" s="1" t="s">
        <v>177</v>
      </c>
      <c r="F54" s="1"/>
      <c r="G54" s="11" t="s">
        <v>45</v>
      </c>
      <c r="H54" s="26">
        <v>45574.0</v>
      </c>
      <c r="I54" s="16" t="s">
        <v>178</v>
      </c>
      <c r="J54" s="11" t="s">
        <v>25</v>
      </c>
      <c r="K54" s="1" t="b">
        <v>0</v>
      </c>
      <c r="L54" s="1" t="b">
        <v>0</v>
      </c>
      <c r="M54" s="5" t="b">
        <v>0</v>
      </c>
      <c r="N54" s="5" t="b">
        <v>0</v>
      </c>
      <c r="O54" s="5" t="b">
        <v>0</v>
      </c>
      <c r="P54" s="1" t="b">
        <v>0</v>
      </c>
      <c r="Q54" s="1"/>
      <c r="R54" s="5"/>
      <c r="S54" s="5"/>
      <c r="T54" s="5"/>
      <c r="U54" s="5"/>
      <c r="V54" s="5"/>
      <c r="W54" s="5"/>
      <c r="X54" s="5"/>
      <c r="Y54" s="5"/>
      <c r="Z54" s="5"/>
    </row>
    <row r="55" hidden="1">
      <c r="A55" s="5"/>
      <c r="B55" s="2"/>
      <c r="C55" s="26">
        <v>45586.0</v>
      </c>
      <c r="D55" s="13" t="s">
        <v>179</v>
      </c>
      <c r="E55" s="1"/>
      <c r="F55" s="1"/>
      <c r="G55" s="11" t="s">
        <v>23</v>
      </c>
      <c r="H55" s="26">
        <v>45577.0</v>
      </c>
      <c r="I55" s="16"/>
      <c r="J55" s="11" t="s">
        <v>173</v>
      </c>
      <c r="K55" s="1" t="b">
        <v>1</v>
      </c>
      <c r="L55" s="1" t="b">
        <v>0</v>
      </c>
      <c r="M55" s="5" t="b">
        <v>0</v>
      </c>
      <c r="N55" s="5" t="b">
        <v>0</v>
      </c>
      <c r="O55" s="5" t="b">
        <v>0</v>
      </c>
      <c r="P55" s="1" t="b">
        <v>0</v>
      </c>
      <c r="Q55" s="1"/>
      <c r="R55" s="5"/>
      <c r="S55" s="5"/>
      <c r="T55" s="5"/>
      <c r="U55" s="5"/>
      <c r="V55" s="5"/>
      <c r="W55" s="5"/>
      <c r="X55" s="5"/>
      <c r="Y55" s="5"/>
      <c r="Z55" s="5"/>
    </row>
    <row r="56" hidden="1">
      <c r="A56" s="5"/>
      <c r="B56" s="2"/>
      <c r="C56" s="26">
        <v>45586.0</v>
      </c>
      <c r="D56" s="13" t="s">
        <v>180</v>
      </c>
      <c r="E56" s="1" t="s">
        <v>181</v>
      </c>
      <c r="F56" s="1"/>
      <c r="G56" s="11" t="s">
        <v>28</v>
      </c>
      <c r="H56" s="26">
        <v>45578.0</v>
      </c>
      <c r="I56" s="16" t="s">
        <v>182</v>
      </c>
      <c r="J56" s="11" t="s">
        <v>25</v>
      </c>
      <c r="K56" s="1" t="b">
        <v>1</v>
      </c>
      <c r="L56" s="1" t="b">
        <v>0</v>
      </c>
      <c r="M56" s="5" t="b">
        <v>0</v>
      </c>
      <c r="N56" s="5" t="b">
        <v>0</v>
      </c>
      <c r="O56" s="5" t="b">
        <v>0</v>
      </c>
      <c r="P56" s="1" t="b">
        <v>0</v>
      </c>
      <c r="Q56" s="1"/>
      <c r="R56" s="5"/>
      <c r="S56" s="5"/>
      <c r="T56" s="5"/>
      <c r="U56" s="5"/>
      <c r="V56" s="5"/>
      <c r="W56" s="5"/>
      <c r="X56" s="5"/>
      <c r="Y56" s="5"/>
      <c r="Z56" s="5"/>
    </row>
    <row r="57" hidden="1">
      <c r="A57" s="5"/>
      <c r="B57" s="2"/>
      <c r="C57" s="26">
        <v>45587.0</v>
      </c>
      <c r="D57" s="13" t="s">
        <v>183</v>
      </c>
      <c r="E57" s="1" t="s">
        <v>184</v>
      </c>
      <c r="F57" s="1"/>
      <c r="G57" s="11" t="s">
        <v>45</v>
      </c>
      <c r="H57" s="26">
        <v>45611.0</v>
      </c>
      <c r="I57" s="16" t="s">
        <v>185</v>
      </c>
      <c r="J57" s="11" t="s">
        <v>25</v>
      </c>
      <c r="K57" s="1" t="b">
        <v>1</v>
      </c>
      <c r="L57" s="1" t="b">
        <v>0</v>
      </c>
      <c r="M57" s="5" t="b">
        <v>0</v>
      </c>
      <c r="N57" s="5" t="b">
        <v>0</v>
      </c>
      <c r="O57" s="1" t="b">
        <v>1</v>
      </c>
      <c r="P57" s="1" t="b">
        <v>1</v>
      </c>
      <c r="Q57" s="1"/>
      <c r="R57" s="5"/>
      <c r="S57" s="5"/>
      <c r="T57" s="5"/>
      <c r="U57" s="5"/>
      <c r="V57" s="5"/>
      <c r="W57" s="5"/>
      <c r="X57" s="5"/>
      <c r="Y57" s="5"/>
      <c r="Z57" s="5"/>
    </row>
    <row r="58" hidden="1">
      <c r="A58" s="5"/>
      <c r="B58" s="2"/>
      <c r="C58" s="26">
        <v>45588.0</v>
      </c>
      <c r="D58" s="13" t="s">
        <v>186</v>
      </c>
      <c r="E58" s="1" t="s">
        <v>187</v>
      </c>
      <c r="F58" s="1"/>
      <c r="G58" s="11" t="s">
        <v>28</v>
      </c>
      <c r="H58" s="26">
        <v>45604.0</v>
      </c>
      <c r="I58" s="16"/>
      <c r="J58" s="11" t="s">
        <v>25</v>
      </c>
      <c r="K58" s="1" t="b">
        <v>1</v>
      </c>
      <c r="L58" s="1" t="b">
        <v>0</v>
      </c>
      <c r="M58" s="5" t="b">
        <v>0</v>
      </c>
      <c r="N58" s="5" t="b">
        <v>0</v>
      </c>
      <c r="O58" s="5" t="b">
        <v>0</v>
      </c>
      <c r="P58" s="1" t="b">
        <v>1</v>
      </c>
      <c r="Q58" s="1"/>
      <c r="R58" s="5"/>
      <c r="S58" s="5"/>
      <c r="T58" s="5"/>
      <c r="U58" s="5"/>
      <c r="V58" s="5"/>
      <c r="W58" s="5"/>
      <c r="X58" s="5"/>
      <c r="Y58" s="5"/>
      <c r="Z58" s="5"/>
    </row>
    <row r="59" hidden="1">
      <c r="A59" s="5"/>
      <c r="B59" s="2"/>
      <c r="C59" s="26"/>
      <c r="D59" s="13" t="s">
        <v>188</v>
      </c>
      <c r="E59" s="1"/>
      <c r="F59" s="1"/>
      <c r="G59" s="11" t="s">
        <v>28</v>
      </c>
      <c r="H59" s="26"/>
      <c r="I59" s="16"/>
      <c r="J59" s="11" t="s">
        <v>25</v>
      </c>
      <c r="K59" s="1" t="b">
        <v>0</v>
      </c>
      <c r="L59" s="1" t="b">
        <v>0</v>
      </c>
      <c r="M59" s="5" t="b">
        <v>0</v>
      </c>
      <c r="N59" s="5" t="b">
        <v>0</v>
      </c>
      <c r="O59" s="5" t="b">
        <v>0</v>
      </c>
      <c r="P59" s="1" t="b">
        <v>0</v>
      </c>
      <c r="Q59" s="1"/>
      <c r="R59" s="5"/>
      <c r="S59" s="5"/>
      <c r="T59" s="5"/>
      <c r="U59" s="5"/>
      <c r="V59" s="5"/>
      <c r="W59" s="5"/>
      <c r="X59" s="5"/>
      <c r="Y59" s="5"/>
      <c r="Z59" s="5"/>
    </row>
    <row r="60" hidden="1">
      <c r="A60" s="5"/>
      <c r="B60" s="2"/>
      <c r="C60" s="26">
        <v>45588.0</v>
      </c>
      <c r="D60" s="13" t="s">
        <v>189</v>
      </c>
      <c r="E60" s="1"/>
      <c r="F60" s="1"/>
      <c r="G60" s="11" t="s">
        <v>28</v>
      </c>
      <c r="H60" s="26">
        <v>45582.0</v>
      </c>
      <c r="I60" s="16" t="s">
        <v>190</v>
      </c>
      <c r="J60" s="11" t="s">
        <v>25</v>
      </c>
      <c r="K60" s="1" t="b">
        <v>1</v>
      </c>
      <c r="L60" s="1" t="b">
        <v>0</v>
      </c>
      <c r="M60" s="5" t="b">
        <v>0</v>
      </c>
      <c r="N60" s="5" t="b">
        <v>0</v>
      </c>
      <c r="O60" s="5" t="b">
        <v>0</v>
      </c>
      <c r="P60" s="1" t="b">
        <v>0</v>
      </c>
      <c r="Q60" s="1"/>
      <c r="R60" s="5"/>
      <c r="S60" s="5"/>
      <c r="T60" s="5"/>
      <c r="U60" s="5"/>
      <c r="V60" s="5"/>
      <c r="W60" s="5"/>
      <c r="X60" s="5"/>
      <c r="Y60" s="5"/>
      <c r="Z60" s="5"/>
    </row>
    <row r="61" hidden="1">
      <c r="A61" s="5"/>
      <c r="B61" s="2"/>
      <c r="C61" s="26">
        <v>45596.0</v>
      </c>
      <c r="D61" s="13" t="s">
        <v>191</v>
      </c>
      <c r="E61" s="1"/>
      <c r="F61" s="1"/>
      <c r="G61" s="11" t="s">
        <v>23</v>
      </c>
      <c r="H61" s="26"/>
      <c r="I61" s="16" t="s">
        <v>192</v>
      </c>
      <c r="J61" s="11" t="s">
        <v>25</v>
      </c>
      <c r="K61" s="1" t="b">
        <v>1</v>
      </c>
      <c r="L61" s="1" t="b">
        <v>0</v>
      </c>
      <c r="M61" s="5" t="b">
        <v>0</v>
      </c>
      <c r="N61" s="5" t="b">
        <v>0</v>
      </c>
      <c r="O61" s="5" t="b">
        <v>0</v>
      </c>
      <c r="P61" s="1" t="b">
        <v>1</v>
      </c>
      <c r="Q61" s="1"/>
      <c r="R61" s="5"/>
      <c r="S61" s="5"/>
      <c r="T61" s="5"/>
      <c r="U61" s="5"/>
      <c r="V61" s="5"/>
      <c r="W61" s="5"/>
      <c r="X61" s="5"/>
      <c r="Y61" s="5"/>
      <c r="Z61" s="5"/>
    </row>
    <row r="62" hidden="1">
      <c r="A62" s="5"/>
      <c r="B62" s="2"/>
      <c r="C62" s="26"/>
      <c r="D62" s="13" t="s">
        <v>193</v>
      </c>
      <c r="E62" s="1"/>
      <c r="F62" s="1"/>
      <c r="G62" s="11" t="s">
        <v>23</v>
      </c>
      <c r="H62" s="26">
        <v>45597.0</v>
      </c>
      <c r="I62" s="16" t="s">
        <v>194</v>
      </c>
      <c r="J62" s="11" t="s">
        <v>25</v>
      </c>
      <c r="K62" s="1" t="b">
        <v>1</v>
      </c>
      <c r="L62" s="1" t="b">
        <v>1</v>
      </c>
      <c r="M62" s="1" t="b">
        <v>1</v>
      </c>
      <c r="N62" s="1" t="b">
        <v>1</v>
      </c>
      <c r="O62" s="5" t="b">
        <v>0</v>
      </c>
      <c r="P62" s="1" t="b">
        <v>0</v>
      </c>
      <c r="Q62" s="1"/>
      <c r="R62" s="5"/>
      <c r="S62" s="5"/>
      <c r="T62" s="5"/>
      <c r="U62" s="5"/>
      <c r="V62" s="5"/>
      <c r="W62" s="5"/>
      <c r="X62" s="5"/>
      <c r="Y62" s="5"/>
      <c r="Z62" s="5"/>
    </row>
    <row r="63" hidden="1">
      <c r="A63" s="5"/>
      <c r="B63" s="2"/>
      <c r="C63" s="26">
        <v>45574.0</v>
      </c>
      <c r="D63" s="13" t="s">
        <v>195</v>
      </c>
      <c r="E63" s="1"/>
      <c r="F63" s="1"/>
      <c r="G63" s="11" t="s">
        <v>28</v>
      </c>
      <c r="H63" s="26">
        <v>45582.0</v>
      </c>
      <c r="I63" s="16" t="s">
        <v>196</v>
      </c>
      <c r="J63" s="11" t="s">
        <v>25</v>
      </c>
      <c r="K63" s="1" t="b">
        <v>1</v>
      </c>
      <c r="L63" s="1" t="b">
        <v>0</v>
      </c>
      <c r="M63" s="5" t="b">
        <v>0</v>
      </c>
      <c r="N63" s="5" t="b">
        <v>0</v>
      </c>
      <c r="O63" s="5" t="b">
        <v>0</v>
      </c>
      <c r="P63" s="1" t="b">
        <v>1</v>
      </c>
      <c r="Q63" s="1"/>
      <c r="R63" s="5"/>
      <c r="S63" s="5"/>
      <c r="T63" s="5"/>
      <c r="U63" s="5"/>
      <c r="V63" s="5"/>
      <c r="W63" s="5"/>
      <c r="X63" s="5"/>
      <c r="Y63" s="5"/>
      <c r="Z63" s="5"/>
    </row>
    <row r="64" hidden="1">
      <c r="A64" s="5"/>
      <c r="B64" s="2"/>
      <c r="C64" s="26">
        <v>45574.0</v>
      </c>
      <c r="D64" s="13" t="s">
        <v>197</v>
      </c>
      <c r="E64" s="1" t="s">
        <v>198</v>
      </c>
      <c r="F64" s="1"/>
      <c r="G64" s="11" t="s">
        <v>45</v>
      </c>
      <c r="H64" s="26"/>
      <c r="I64" s="16" t="s">
        <v>199</v>
      </c>
      <c r="J64" s="11" t="s">
        <v>25</v>
      </c>
      <c r="K64" s="1" t="b">
        <v>1</v>
      </c>
      <c r="L64" s="1" t="b">
        <v>0</v>
      </c>
      <c r="M64" s="5" t="b">
        <v>0</v>
      </c>
      <c r="N64" s="5" t="b">
        <v>0</v>
      </c>
      <c r="O64" s="1" t="b">
        <v>1</v>
      </c>
      <c r="P64" s="1" t="b">
        <v>1</v>
      </c>
      <c r="Q64" s="1"/>
      <c r="R64" s="5"/>
      <c r="S64" s="5"/>
      <c r="T64" s="5"/>
      <c r="U64" s="5"/>
      <c r="V64" s="5"/>
      <c r="W64" s="5"/>
      <c r="X64" s="5"/>
      <c r="Y64" s="5"/>
      <c r="Z64" s="5"/>
    </row>
    <row r="65" hidden="1">
      <c r="A65" s="5"/>
      <c r="B65" s="2"/>
      <c r="C65" s="26">
        <v>45597.0</v>
      </c>
      <c r="D65" s="13" t="s">
        <v>200</v>
      </c>
      <c r="E65" s="1" t="s">
        <v>113</v>
      </c>
      <c r="F65" s="1"/>
      <c r="G65" s="11" t="s">
        <v>28</v>
      </c>
      <c r="H65" s="26">
        <v>45625.0</v>
      </c>
      <c r="I65" s="16" t="s">
        <v>201</v>
      </c>
      <c r="J65" s="11" t="s">
        <v>25</v>
      </c>
      <c r="K65" s="1" t="b">
        <v>1</v>
      </c>
      <c r="L65" s="1" t="b">
        <v>0</v>
      </c>
      <c r="M65" s="5" t="b">
        <v>0</v>
      </c>
      <c r="N65" s="5" t="b">
        <v>0</v>
      </c>
      <c r="O65" s="1" t="b">
        <v>1</v>
      </c>
      <c r="P65" s="1" t="b">
        <v>1</v>
      </c>
      <c r="Q65" s="1"/>
      <c r="R65" s="5"/>
      <c r="S65" s="5"/>
      <c r="T65" s="5"/>
      <c r="U65" s="5"/>
      <c r="V65" s="5"/>
      <c r="W65" s="5"/>
      <c r="X65" s="5"/>
      <c r="Y65" s="5"/>
      <c r="Z65" s="5"/>
    </row>
    <row r="66" hidden="1">
      <c r="A66" s="5"/>
      <c r="B66" s="2"/>
      <c r="C66" s="26">
        <v>45597.0</v>
      </c>
      <c r="D66" s="13" t="s">
        <v>202</v>
      </c>
      <c r="E66" s="1" t="s">
        <v>113</v>
      </c>
      <c r="F66" s="1"/>
      <c r="G66" s="11" t="s">
        <v>28</v>
      </c>
      <c r="H66" s="26">
        <v>45625.0</v>
      </c>
      <c r="I66" s="16"/>
      <c r="J66" s="11" t="s">
        <v>25</v>
      </c>
      <c r="K66" s="1" t="b">
        <v>1</v>
      </c>
      <c r="L66" s="1" t="b">
        <v>0</v>
      </c>
      <c r="M66" s="5" t="b">
        <v>0</v>
      </c>
      <c r="N66" s="5" t="b">
        <v>0</v>
      </c>
      <c r="O66" s="1" t="b">
        <v>1</v>
      </c>
      <c r="P66" s="1" t="b">
        <v>1</v>
      </c>
      <c r="Q66" s="1"/>
      <c r="R66" s="5"/>
      <c r="S66" s="5"/>
      <c r="T66" s="5"/>
      <c r="U66" s="5"/>
      <c r="V66" s="5"/>
      <c r="W66" s="5"/>
      <c r="X66" s="5"/>
      <c r="Y66" s="5"/>
      <c r="Z66" s="5"/>
    </row>
    <row r="67" hidden="1">
      <c r="A67" s="5"/>
      <c r="B67" s="2"/>
      <c r="C67" s="26">
        <v>45597.0</v>
      </c>
      <c r="D67" s="13" t="s">
        <v>203</v>
      </c>
      <c r="E67" s="1" t="s">
        <v>113</v>
      </c>
      <c r="F67" s="1"/>
      <c r="G67" s="11" t="s">
        <v>28</v>
      </c>
      <c r="H67" s="26">
        <v>45625.0</v>
      </c>
      <c r="I67" s="16" t="s">
        <v>204</v>
      </c>
      <c r="J67" s="11" t="s">
        <v>25</v>
      </c>
      <c r="K67" s="1" t="b">
        <v>1</v>
      </c>
      <c r="L67" s="1" t="b">
        <v>0</v>
      </c>
      <c r="M67" s="5" t="b">
        <v>0</v>
      </c>
      <c r="N67" s="5" t="b">
        <v>0</v>
      </c>
      <c r="O67" s="1" t="b">
        <v>1</v>
      </c>
      <c r="P67" s="1" t="b">
        <v>1</v>
      </c>
      <c r="Q67" s="1"/>
      <c r="R67" s="5"/>
      <c r="S67" s="5"/>
      <c r="T67" s="5"/>
      <c r="U67" s="5"/>
      <c r="V67" s="5"/>
      <c r="W67" s="5"/>
      <c r="X67" s="5"/>
      <c r="Y67" s="5"/>
      <c r="Z67" s="5"/>
    </row>
    <row r="68" hidden="1">
      <c r="A68" s="5"/>
      <c r="B68" s="2"/>
      <c r="C68" s="26">
        <v>45597.0</v>
      </c>
      <c r="D68" s="13" t="s">
        <v>205</v>
      </c>
      <c r="E68" s="1" t="s">
        <v>113</v>
      </c>
      <c r="F68" s="1"/>
      <c r="G68" s="11" t="s">
        <v>28</v>
      </c>
      <c r="H68" s="26">
        <v>45625.0</v>
      </c>
      <c r="I68" s="16"/>
      <c r="J68" s="11" t="s">
        <v>25</v>
      </c>
      <c r="K68" s="1" t="b">
        <v>1</v>
      </c>
      <c r="L68" s="1" t="b">
        <v>0</v>
      </c>
      <c r="M68" s="5" t="b">
        <v>0</v>
      </c>
      <c r="N68" s="5" t="b">
        <v>0</v>
      </c>
      <c r="O68" s="1" t="b">
        <v>1</v>
      </c>
      <c r="P68" s="1" t="b">
        <v>1</v>
      </c>
      <c r="Q68" s="1"/>
      <c r="R68" s="5"/>
      <c r="S68" s="5"/>
      <c r="T68" s="5"/>
      <c r="U68" s="5"/>
      <c r="V68" s="5"/>
      <c r="W68" s="5"/>
      <c r="X68" s="5"/>
      <c r="Y68" s="5"/>
      <c r="Z68" s="5"/>
    </row>
    <row r="69" hidden="1">
      <c r="A69" s="5"/>
      <c r="B69" s="2"/>
      <c r="C69" s="26">
        <v>45604.0</v>
      </c>
      <c r="D69" s="13" t="s">
        <v>206</v>
      </c>
      <c r="E69" s="1" t="s">
        <v>207</v>
      </c>
      <c r="F69" s="1"/>
      <c r="G69" s="11" t="s">
        <v>28</v>
      </c>
      <c r="H69" s="26">
        <v>45626.0</v>
      </c>
      <c r="I69" s="16" t="s">
        <v>208</v>
      </c>
      <c r="J69" s="11" t="s">
        <v>25</v>
      </c>
      <c r="K69" s="1" t="b">
        <v>0</v>
      </c>
      <c r="L69" s="1" t="b">
        <v>0</v>
      </c>
      <c r="M69" s="5" t="b">
        <v>0</v>
      </c>
      <c r="N69" s="5" t="b">
        <v>0</v>
      </c>
      <c r="O69" s="5" t="b">
        <v>0</v>
      </c>
      <c r="P69" s="1" t="b">
        <v>0</v>
      </c>
      <c r="Q69" s="1"/>
      <c r="R69" s="5"/>
      <c r="S69" s="5"/>
      <c r="T69" s="5"/>
      <c r="U69" s="5"/>
      <c r="V69" s="5"/>
      <c r="W69" s="5"/>
      <c r="X69" s="5"/>
      <c r="Y69" s="5"/>
      <c r="Z69" s="5"/>
    </row>
    <row r="70" hidden="1">
      <c r="A70" s="5"/>
      <c r="B70" s="2"/>
      <c r="C70" s="26">
        <v>45609.0</v>
      </c>
      <c r="D70" s="13" t="s">
        <v>209</v>
      </c>
      <c r="E70" s="1" t="s">
        <v>210</v>
      </c>
      <c r="F70" s="1"/>
      <c r="G70" s="11" t="s">
        <v>23</v>
      </c>
      <c r="H70" s="46">
        <v>45702.0</v>
      </c>
      <c r="I70" s="16" t="s">
        <v>211</v>
      </c>
      <c r="J70" s="11" t="s">
        <v>25</v>
      </c>
      <c r="K70" s="1" t="b">
        <v>1</v>
      </c>
      <c r="L70" s="1" t="b">
        <v>1</v>
      </c>
      <c r="M70" s="1" t="b">
        <v>1</v>
      </c>
      <c r="N70" s="5" t="b">
        <v>0</v>
      </c>
      <c r="O70" s="1" t="b">
        <v>1</v>
      </c>
      <c r="P70" s="1" t="b">
        <v>1</v>
      </c>
      <c r="Q70" s="1" t="s">
        <v>212</v>
      </c>
      <c r="R70" s="5"/>
      <c r="S70" s="5"/>
      <c r="T70" s="5"/>
      <c r="U70" s="5"/>
      <c r="V70" s="5"/>
      <c r="W70" s="5"/>
      <c r="X70" s="5"/>
      <c r="Y70" s="5"/>
      <c r="Z70" s="5"/>
    </row>
    <row r="71" hidden="1">
      <c r="A71" s="5"/>
      <c r="B71" s="2"/>
      <c r="C71" s="26">
        <v>45992.0</v>
      </c>
      <c r="D71" s="13" t="s">
        <v>213</v>
      </c>
      <c r="E71" s="1"/>
      <c r="F71" s="1"/>
      <c r="G71" s="11" t="s">
        <v>23</v>
      </c>
      <c r="H71" s="46">
        <v>45702.0</v>
      </c>
      <c r="I71" s="16" t="s">
        <v>214</v>
      </c>
      <c r="J71" s="11" t="s">
        <v>25</v>
      </c>
      <c r="K71" s="1" t="b">
        <v>1</v>
      </c>
      <c r="L71" s="1" t="b">
        <v>1</v>
      </c>
      <c r="M71" s="5" t="b">
        <v>0</v>
      </c>
      <c r="N71" s="5" t="b">
        <v>0</v>
      </c>
      <c r="O71" s="1" t="b">
        <v>1</v>
      </c>
      <c r="P71" s="1" t="b">
        <v>1</v>
      </c>
      <c r="Q71" s="1" t="s">
        <v>215</v>
      </c>
      <c r="R71" s="5"/>
      <c r="S71" s="5"/>
      <c r="T71" s="5"/>
      <c r="U71" s="5"/>
      <c r="V71" s="5"/>
      <c r="W71" s="5"/>
      <c r="X71" s="5"/>
      <c r="Y71" s="5"/>
      <c r="Z71" s="5"/>
    </row>
    <row r="72" hidden="1">
      <c r="A72" s="5"/>
      <c r="B72" s="2"/>
      <c r="C72" s="26">
        <v>45992.0</v>
      </c>
      <c r="D72" s="13" t="s">
        <v>216</v>
      </c>
      <c r="E72" s="1" t="s">
        <v>184</v>
      </c>
      <c r="F72" s="1"/>
      <c r="G72" s="11" t="s">
        <v>23</v>
      </c>
      <c r="H72" s="46">
        <v>45679.0</v>
      </c>
      <c r="I72" s="16" t="s">
        <v>90</v>
      </c>
      <c r="J72" s="11" t="s">
        <v>25</v>
      </c>
      <c r="K72" s="1" t="b">
        <v>1</v>
      </c>
      <c r="L72" s="1" t="b">
        <v>0</v>
      </c>
      <c r="M72" s="5" t="b">
        <v>0</v>
      </c>
      <c r="N72" s="1" t="b">
        <v>1</v>
      </c>
      <c r="O72" s="1" t="b">
        <v>1</v>
      </c>
      <c r="P72" s="1" t="b">
        <v>1</v>
      </c>
      <c r="Q72" s="1"/>
      <c r="R72" s="5"/>
      <c r="S72" s="5"/>
      <c r="T72" s="5"/>
      <c r="U72" s="5"/>
      <c r="V72" s="5"/>
      <c r="W72" s="5"/>
      <c r="X72" s="5"/>
      <c r="Y72" s="5"/>
      <c r="Z72" s="5"/>
    </row>
    <row r="73" hidden="1">
      <c r="A73" s="5"/>
      <c r="B73" s="2"/>
      <c r="C73" s="26">
        <v>45663.0</v>
      </c>
      <c r="D73" s="13" t="s">
        <v>217</v>
      </c>
      <c r="E73" s="1" t="s">
        <v>218</v>
      </c>
      <c r="F73" s="1"/>
      <c r="G73" s="11" t="s">
        <v>23</v>
      </c>
      <c r="H73" s="46">
        <v>45687.0</v>
      </c>
      <c r="I73" s="16" t="s">
        <v>219</v>
      </c>
      <c r="J73" s="11" t="s">
        <v>25</v>
      </c>
      <c r="K73" s="1" t="b">
        <v>1</v>
      </c>
      <c r="L73" s="1" t="b">
        <v>0</v>
      </c>
      <c r="M73" s="5" t="b">
        <v>0</v>
      </c>
      <c r="N73" s="5" t="b">
        <v>0</v>
      </c>
      <c r="O73" s="5" t="b">
        <v>0</v>
      </c>
      <c r="P73" s="1" t="b">
        <v>0</v>
      </c>
      <c r="Q73" s="1"/>
      <c r="R73" s="5"/>
      <c r="S73" s="5"/>
      <c r="T73" s="5"/>
      <c r="U73" s="5"/>
      <c r="V73" s="5"/>
      <c r="W73" s="5"/>
      <c r="X73" s="5"/>
      <c r="Y73" s="5"/>
      <c r="Z73" s="5"/>
    </row>
    <row r="74" hidden="1">
      <c r="A74" s="5"/>
      <c r="B74" s="2"/>
      <c r="C74" s="26">
        <v>45663.0</v>
      </c>
      <c r="D74" s="13" t="s">
        <v>220</v>
      </c>
      <c r="E74" s="1"/>
      <c r="F74" s="1"/>
      <c r="G74" s="11" t="s">
        <v>23</v>
      </c>
      <c r="H74" s="47">
        <v>45728.0</v>
      </c>
      <c r="I74" s="16" t="s">
        <v>221</v>
      </c>
      <c r="J74" s="11" t="s">
        <v>25</v>
      </c>
      <c r="K74" s="1" t="b">
        <v>1</v>
      </c>
      <c r="L74" s="1" t="b">
        <v>1</v>
      </c>
      <c r="M74" s="1" t="b">
        <v>1</v>
      </c>
      <c r="N74" s="1" t="b">
        <v>1</v>
      </c>
      <c r="O74" s="1" t="b">
        <v>1</v>
      </c>
      <c r="P74" s="1" t="b">
        <v>1</v>
      </c>
      <c r="Q74" s="1" t="s">
        <v>222</v>
      </c>
      <c r="R74" s="5"/>
      <c r="S74" s="1" t="s">
        <v>223</v>
      </c>
      <c r="T74" s="5"/>
      <c r="U74" s="5"/>
      <c r="V74" s="5"/>
      <c r="W74" s="5"/>
      <c r="X74" s="5"/>
      <c r="Y74" s="5"/>
      <c r="Z74" s="5"/>
    </row>
    <row r="75" hidden="1">
      <c r="A75" s="5"/>
      <c r="B75" s="2"/>
      <c r="C75" s="26">
        <v>45663.0</v>
      </c>
      <c r="D75" s="13" t="s">
        <v>224</v>
      </c>
      <c r="E75" s="1" t="s">
        <v>225</v>
      </c>
      <c r="F75" s="1"/>
      <c r="G75" s="11" t="s">
        <v>23</v>
      </c>
      <c r="H75" s="46">
        <v>45674.0</v>
      </c>
      <c r="I75" s="16" t="s">
        <v>226</v>
      </c>
      <c r="J75" s="11" t="s">
        <v>25</v>
      </c>
      <c r="K75" s="1" t="b">
        <v>1</v>
      </c>
      <c r="L75" s="1" t="b">
        <v>1</v>
      </c>
      <c r="M75" s="1" t="b">
        <v>1</v>
      </c>
      <c r="N75" s="1" t="b">
        <v>1</v>
      </c>
      <c r="O75" s="5" t="b">
        <v>0</v>
      </c>
      <c r="P75" s="1" t="b">
        <v>1</v>
      </c>
      <c r="Q75" s="1"/>
      <c r="R75" s="5"/>
      <c r="S75" s="5"/>
      <c r="T75" s="5"/>
      <c r="U75" s="5"/>
      <c r="V75" s="5"/>
      <c r="W75" s="5"/>
      <c r="X75" s="5"/>
      <c r="Y75" s="5"/>
      <c r="Z75" s="5"/>
    </row>
    <row r="76" hidden="1">
      <c r="A76" s="5"/>
      <c r="B76" s="2"/>
      <c r="C76" s="26">
        <v>45663.0</v>
      </c>
      <c r="D76" s="13" t="s">
        <v>227</v>
      </c>
      <c r="E76" s="1" t="s">
        <v>228</v>
      </c>
      <c r="F76" s="1"/>
      <c r="G76" s="11" t="s">
        <v>23</v>
      </c>
      <c r="H76" s="46">
        <v>45695.0</v>
      </c>
      <c r="I76" s="16" t="s">
        <v>229</v>
      </c>
      <c r="J76" s="11" t="s">
        <v>25</v>
      </c>
      <c r="K76" s="1" t="b">
        <v>1</v>
      </c>
      <c r="L76" s="1" t="b">
        <v>0</v>
      </c>
      <c r="M76" s="5" t="b">
        <v>0</v>
      </c>
      <c r="N76" s="5" t="b">
        <v>0</v>
      </c>
      <c r="O76" s="1" t="b">
        <v>1</v>
      </c>
      <c r="P76" s="1" t="b">
        <v>1</v>
      </c>
      <c r="Q76" s="1"/>
      <c r="R76" s="5"/>
      <c r="S76" s="5"/>
      <c r="T76" s="5"/>
      <c r="U76" s="5"/>
      <c r="V76" s="5"/>
      <c r="W76" s="5"/>
      <c r="X76" s="5"/>
      <c r="Y76" s="5"/>
      <c r="Z76" s="5"/>
    </row>
    <row r="77" hidden="1">
      <c r="A77" s="5"/>
      <c r="B77" s="2"/>
      <c r="C77" s="26">
        <v>45664.0</v>
      </c>
      <c r="D77" s="13" t="s">
        <v>230</v>
      </c>
      <c r="E77" s="1"/>
      <c r="F77" s="1"/>
      <c r="G77" s="11" t="s">
        <v>45</v>
      </c>
      <c r="H77" s="1" t="s">
        <v>231</v>
      </c>
      <c r="I77" s="16" t="s">
        <v>232</v>
      </c>
      <c r="J77" s="11" t="s">
        <v>233</v>
      </c>
      <c r="K77" s="1" t="b">
        <v>1</v>
      </c>
      <c r="L77" s="1" t="b">
        <v>0</v>
      </c>
      <c r="M77" s="5" t="b">
        <v>0</v>
      </c>
      <c r="N77" s="5" t="b">
        <v>0</v>
      </c>
      <c r="O77" s="5" t="b">
        <v>0</v>
      </c>
      <c r="P77" s="1" t="b">
        <v>0</v>
      </c>
      <c r="Q77" s="1"/>
      <c r="R77" s="5"/>
      <c r="S77" s="5"/>
      <c r="T77" s="5"/>
      <c r="U77" s="5"/>
      <c r="V77" s="5"/>
      <c r="W77" s="5"/>
      <c r="X77" s="5"/>
      <c r="Y77" s="5"/>
      <c r="Z77" s="5"/>
    </row>
    <row r="78" hidden="1">
      <c r="A78" s="5"/>
      <c r="B78" s="2"/>
      <c r="C78" s="48">
        <v>45665.0</v>
      </c>
      <c r="D78" s="49" t="s">
        <v>68</v>
      </c>
      <c r="E78" s="50"/>
      <c r="F78" s="50"/>
      <c r="G78" s="51" t="s">
        <v>23</v>
      </c>
      <c r="H78" s="50" t="s">
        <v>234</v>
      </c>
      <c r="I78" s="52" t="s">
        <v>235</v>
      </c>
      <c r="J78" s="51" t="s">
        <v>25</v>
      </c>
      <c r="K78" s="50" t="b">
        <v>1</v>
      </c>
      <c r="L78" s="50" t="b">
        <v>1</v>
      </c>
      <c r="M78" s="50" t="b">
        <v>1</v>
      </c>
      <c r="N78" s="50" t="b">
        <v>1</v>
      </c>
      <c r="O78" s="53" t="b">
        <v>0</v>
      </c>
      <c r="P78" s="50" t="b">
        <v>0</v>
      </c>
      <c r="Q78" s="50" t="s">
        <v>236</v>
      </c>
      <c r="R78" s="5"/>
      <c r="S78" s="5"/>
      <c r="T78" s="5"/>
      <c r="U78" s="5"/>
      <c r="V78" s="5"/>
      <c r="W78" s="5"/>
      <c r="X78" s="5"/>
      <c r="Y78" s="5"/>
      <c r="Z78" s="5"/>
    </row>
    <row r="79" hidden="1">
      <c r="A79" s="5"/>
      <c r="B79" s="2"/>
      <c r="C79" s="26">
        <v>45665.0</v>
      </c>
      <c r="D79" s="13" t="s">
        <v>237</v>
      </c>
      <c r="E79" s="1" t="s">
        <v>238</v>
      </c>
      <c r="F79" s="1"/>
      <c r="G79" s="11" t="s">
        <v>23</v>
      </c>
      <c r="H79" s="46">
        <v>45681.0</v>
      </c>
      <c r="I79" s="16" t="s">
        <v>239</v>
      </c>
      <c r="J79" s="11" t="s">
        <v>25</v>
      </c>
      <c r="K79" s="1" t="b">
        <v>1</v>
      </c>
      <c r="L79" s="1" t="b">
        <v>0</v>
      </c>
      <c r="M79" s="5" t="b">
        <v>0</v>
      </c>
      <c r="N79" s="5" t="b">
        <v>0</v>
      </c>
      <c r="O79" s="5" t="b">
        <v>0</v>
      </c>
      <c r="P79" s="1" t="b">
        <v>0</v>
      </c>
      <c r="Q79" s="1" t="s">
        <v>240</v>
      </c>
      <c r="R79" s="5"/>
      <c r="S79" s="5"/>
      <c r="T79" s="5"/>
      <c r="U79" s="5"/>
      <c r="V79" s="5"/>
      <c r="W79" s="5"/>
      <c r="X79" s="5"/>
      <c r="Y79" s="5"/>
      <c r="Z79" s="5"/>
    </row>
    <row r="80" hidden="1">
      <c r="A80" s="5"/>
      <c r="B80" s="2"/>
      <c r="C80" s="26">
        <v>45666.0</v>
      </c>
      <c r="D80" s="13" t="s">
        <v>237</v>
      </c>
      <c r="E80" s="1" t="s">
        <v>238</v>
      </c>
      <c r="F80" s="1"/>
      <c r="G80" s="11" t="s">
        <v>23</v>
      </c>
      <c r="H80" s="1" t="s">
        <v>241</v>
      </c>
      <c r="I80" s="16" t="s">
        <v>242</v>
      </c>
      <c r="J80" s="11" t="s">
        <v>25</v>
      </c>
      <c r="K80" s="1" t="b">
        <v>1</v>
      </c>
      <c r="L80" s="1" t="b">
        <v>1</v>
      </c>
      <c r="M80" s="1" t="b">
        <v>0</v>
      </c>
      <c r="N80" s="5" t="b">
        <v>0</v>
      </c>
      <c r="O80" s="5" t="b">
        <v>0</v>
      </c>
      <c r="P80" s="1" t="b">
        <v>0</v>
      </c>
      <c r="Q80" s="1"/>
      <c r="R80" s="5"/>
      <c r="S80" s="5"/>
      <c r="T80" s="5"/>
      <c r="U80" s="5"/>
      <c r="V80" s="5"/>
      <c r="W80" s="5"/>
      <c r="X80" s="5"/>
      <c r="Y80" s="5"/>
      <c r="Z80" s="5"/>
    </row>
    <row r="81" hidden="1">
      <c r="A81" s="5"/>
      <c r="B81" s="2"/>
      <c r="C81" s="26">
        <v>45627.0</v>
      </c>
      <c r="D81" s="13" t="s">
        <v>243</v>
      </c>
      <c r="E81" s="1"/>
      <c r="F81" s="1"/>
      <c r="G81" s="11" t="s">
        <v>23</v>
      </c>
      <c r="H81" s="46">
        <v>45678.0</v>
      </c>
      <c r="I81" s="16" t="s">
        <v>244</v>
      </c>
      <c r="J81" s="11" t="s">
        <v>25</v>
      </c>
      <c r="K81" s="1" t="b">
        <v>1</v>
      </c>
      <c r="L81" s="1" t="b">
        <v>0</v>
      </c>
      <c r="M81" s="5" t="b">
        <v>0</v>
      </c>
      <c r="N81" s="5" t="b">
        <v>0</v>
      </c>
      <c r="O81" s="5" t="b">
        <v>0</v>
      </c>
      <c r="P81" s="1" t="b">
        <v>0</v>
      </c>
      <c r="Q81" s="1" t="s">
        <v>245</v>
      </c>
      <c r="R81" s="5"/>
      <c r="S81" s="5"/>
      <c r="T81" s="5"/>
      <c r="U81" s="5"/>
      <c r="V81" s="5"/>
      <c r="W81" s="5"/>
      <c r="X81" s="5"/>
      <c r="Y81" s="5"/>
      <c r="Z81" s="5"/>
    </row>
    <row r="82" hidden="1">
      <c r="A82" s="5"/>
      <c r="B82" s="54"/>
      <c r="C82" s="26">
        <v>45627.0</v>
      </c>
      <c r="D82" s="13" t="s">
        <v>246</v>
      </c>
      <c r="E82" s="1" t="s">
        <v>247</v>
      </c>
      <c r="F82" s="1"/>
      <c r="G82" s="11" t="s">
        <v>23</v>
      </c>
      <c r="H82" s="1" t="s">
        <v>248</v>
      </c>
      <c r="I82" s="16" t="s">
        <v>249</v>
      </c>
      <c r="J82" s="11" t="s">
        <v>25</v>
      </c>
      <c r="K82" s="1" t="b">
        <v>1</v>
      </c>
      <c r="L82" s="1" t="b">
        <v>1</v>
      </c>
      <c r="M82" s="1" t="b">
        <v>1</v>
      </c>
      <c r="N82" s="5" t="b">
        <v>0</v>
      </c>
      <c r="O82" s="5" t="b">
        <v>0</v>
      </c>
      <c r="P82" s="1" t="b">
        <v>1</v>
      </c>
      <c r="Q82" s="1"/>
      <c r="R82" s="5"/>
      <c r="S82" s="5"/>
      <c r="T82" s="5"/>
      <c r="U82" s="5"/>
      <c r="V82" s="5"/>
      <c r="W82" s="5"/>
      <c r="X82" s="5"/>
      <c r="Y82" s="5"/>
      <c r="Z82" s="5"/>
    </row>
    <row r="83" hidden="1">
      <c r="A83" s="5"/>
      <c r="B83" s="2"/>
      <c r="C83" s="26">
        <v>45666.0</v>
      </c>
      <c r="D83" s="13" t="s">
        <v>250</v>
      </c>
      <c r="E83" s="1" t="s">
        <v>251</v>
      </c>
      <c r="F83" s="1"/>
      <c r="G83" s="11" t="s">
        <v>23</v>
      </c>
      <c r="H83" s="1" t="s">
        <v>241</v>
      </c>
      <c r="I83" s="16" t="s">
        <v>252</v>
      </c>
      <c r="J83" s="11" t="s">
        <v>25</v>
      </c>
      <c r="K83" s="1" t="b">
        <v>0</v>
      </c>
      <c r="L83" s="1" t="b">
        <v>0</v>
      </c>
      <c r="M83" s="5" t="b">
        <v>0</v>
      </c>
      <c r="N83" s="5" t="b">
        <v>0</v>
      </c>
      <c r="O83" s="5" t="b">
        <v>0</v>
      </c>
      <c r="P83" s="1" t="b">
        <v>1</v>
      </c>
      <c r="Q83" s="1" t="s">
        <v>253</v>
      </c>
      <c r="R83" s="5"/>
      <c r="S83" s="5"/>
      <c r="T83" s="5"/>
      <c r="U83" s="5"/>
      <c r="V83" s="5"/>
      <c r="W83" s="5"/>
      <c r="X83" s="5"/>
      <c r="Y83" s="5"/>
      <c r="Z83" s="5"/>
    </row>
    <row r="84" hidden="1">
      <c r="A84" s="5"/>
      <c r="B84" s="2"/>
      <c r="C84" s="26">
        <v>45667.0</v>
      </c>
      <c r="D84" s="13" t="s">
        <v>68</v>
      </c>
      <c r="E84" s="1"/>
      <c r="F84" s="1"/>
      <c r="G84" s="11" t="s">
        <v>28</v>
      </c>
      <c r="H84" s="46">
        <v>45715.0</v>
      </c>
      <c r="I84" s="16" t="s">
        <v>254</v>
      </c>
      <c r="J84" s="11" t="s">
        <v>25</v>
      </c>
      <c r="K84" s="1" t="b">
        <v>1</v>
      </c>
      <c r="L84" s="1" t="b">
        <v>0</v>
      </c>
      <c r="M84" s="5" t="b">
        <v>0</v>
      </c>
      <c r="N84" s="5" t="b">
        <v>0</v>
      </c>
      <c r="O84" s="5" t="b">
        <v>0</v>
      </c>
      <c r="P84" s="1" t="b">
        <v>0</v>
      </c>
      <c r="Q84" s="1" t="s">
        <v>255</v>
      </c>
      <c r="R84" s="5"/>
      <c r="S84" s="5"/>
      <c r="T84" s="5"/>
      <c r="U84" s="5"/>
      <c r="V84" s="5"/>
      <c r="W84" s="5"/>
      <c r="X84" s="5"/>
      <c r="Y84" s="5"/>
      <c r="Z84" s="5"/>
    </row>
    <row r="85" hidden="1">
      <c r="A85" s="5"/>
      <c r="B85" s="2"/>
      <c r="C85" s="26">
        <v>45672.0</v>
      </c>
      <c r="D85" s="13" t="s">
        <v>256</v>
      </c>
      <c r="E85" s="1" t="s">
        <v>257</v>
      </c>
      <c r="F85" s="1"/>
      <c r="G85" s="11" t="s">
        <v>45</v>
      </c>
      <c r="H85" s="1"/>
      <c r="I85" s="16" t="s">
        <v>258</v>
      </c>
      <c r="J85" s="11" t="s">
        <v>25</v>
      </c>
      <c r="K85" s="1" t="b">
        <v>1</v>
      </c>
      <c r="L85" s="1" t="b">
        <v>1</v>
      </c>
      <c r="M85" s="1" t="b">
        <v>0</v>
      </c>
      <c r="N85" s="5" t="b">
        <v>0</v>
      </c>
      <c r="O85" s="1" t="b">
        <v>1</v>
      </c>
      <c r="P85" s="1" t="b">
        <v>1</v>
      </c>
      <c r="Q85" s="1" t="s">
        <v>259</v>
      </c>
      <c r="R85" s="5"/>
      <c r="S85" s="5"/>
      <c r="T85" s="5"/>
      <c r="U85" s="5"/>
      <c r="V85" s="5"/>
      <c r="W85" s="5"/>
      <c r="X85" s="5"/>
      <c r="Y85" s="5"/>
      <c r="Z85" s="5"/>
    </row>
    <row r="86" hidden="1">
      <c r="A86" s="5"/>
      <c r="B86" s="2"/>
      <c r="C86" s="26">
        <v>45672.0</v>
      </c>
      <c r="D86" s="13" t="s">
        <v>260</v>
      </c>
      <c r="E86" s="1"/>
      <c r="F86" s="1"/>
      <c r="G86" s="11" t="s">
        <v>23</v>
      </c>
      <c r="H86" s="46"/>
      <c r="I86" s="16" t="s">
        <v>90</v>
      </c>
      <c r="J86" s="11" t="s">
        <v>173</v>
      </c>
      <c r="K86" s="1" t="b">
        <v>0</v>
      </c>
      <c r="L86" s="1" t="b">
        <v>0</v>
      </c>
      <c r="M86" s="5" t="b">
        <v>0</v>
      </c>
      <c r="N86" s="5" t="b">
        <v>0</v>
      </c>
      <c r="O86" s="5" t="b">
        <v>0</v>
      </c>
      <c r="P86" s="1" t="b">
        <v>0</v>
      </c>
      <c r="Q86" s="1"/>
      <c r="R86" s="5"/>
      <c r="S86" s="5"/>
      <c r="T86" s="5"/>
      <c r="U86" s="5"/>
      <c r="V86" s="5"/>
      <c r="W86" s="5"/>
      <c r="X86" s="5"/>
      <c r="Y86" s="5"/>
      <c r="Z86" s="5"/>
    </row>
    <row r="87" hidden="1">
      <c r="A87" s="5"/>
      <c r="B87" s="2"/>
      <c r="C87" s="26">
        <v>45672.0</v>
      </c>
      <c r="D87" s="13" t="s">
        <v>261</v>
      </c>
      <c r="E87" s="1" t="s">
        <v>262</v>
      </c>
      <c r="F87" s="1"/>
      <c r="G87" s="11" t="s">
        <v>23</v>
      </c>
      <c r="H87" s="46">
        <v>45688.0</v>
      </c>
      <c r="I87" s="16" t="s">
        <v>263</v>
      </c>
      <c r="J87" s="11" t="s">
        <v>25</v>
      </c>
      <c r="K87" s="1" t="b">
        <v>1</v>
      </c>
      <c r="L87" s="1" t="b">
        <v>1</v>
      </c>
      <c r="M87" s="5" t="b">
        <v>0</v>
      </c>
      <c r="N87" s="5" t="b">
        <v>0</v>
      </c>
      <c r="O87" s="1" t="b">
        <v>1</v>
      </c>
      <c r="P87" s="1" t="b">
        <v>1</v>
      </c>
      <c r="Q87" s="1" t="s">
        <v>264</v>
      </c>
      <c r="R87" s="5"/>
      <c r="S87" s="5"/>
      <c r="T87" s="5"/>
      <c r="U87" s="5"/>
      <c r="V87" s="5"/>
      <c r="W87" s="5"/>
      <c r="X87" s="5"/>
      <c r="Y87" s="5"/>
      <c r="Z87" s="5"/>
    </row>
    <row r="88" hidden="1">
      <c r="A88" s="5"/>
      <c r="B88" s="2"/>
      <c r="C88" s="26">
        <v>45673.0</v>
      </c>
      <c r="D88" s="13" t="s">
        <v>265</v>
      </c>
      <c r="E88" s="1"/>
      <c r="F88" s="1"/>
      <c r="G88" s="11" t="s">
        <v>23</v>
      </c>
      <c r="H88" s="1" t="s">
        <v>241</v>
      </c>
      <c r="I88" s="16" t="s">
        <v>266</v>
      </c>
      <c r="J88" s="11" t="s">
        <v>233</v>
      </c>
      <c r="K88" s="1" t="b">
        <v>1</v>
      </c>
      <c r="L88" s="1" t="b">
        <v>0</v>
      </c>
      <c r="M88" s="5" t="b">
        <v>0</v>
      </c>
      <c r="N88" s="5" t="b">
        <v>0</v>
      </c>
      <c r="O88" s="5" t="b">
        <v>0</v>
      </c>
      <c r="P88" s="1" t="b">
        <v>0</v>
      </c>
      <c r="Q88" s="16"/>
      <c r="R88" s="5"/>
      <c r="S88" s="5"/>
      <c r="T88" s="5"/>
      <c r="U88" s="5"/>
      <c r="V88" s="5"/>
      <c r="W88" s="5"/>
      <c r="X88" s="5"/>
      <c r="Y88" s="5"/>
      <c r="Z88" s="5"/>
    </row>
    <row r="89" hidden="1">
      <c r="A89" s="5"/>
      <c r="B89" s="2"/>
      <c r="C89" s="26">
        <v>45674.0</v>
      </c>
      <c r="D89" s="13" t="s">
        <v>267</v>
      </c>
      <c r="E89" s="1" t="s">
        <v>268</v>
      </c>
      <c r="F89" s="1"/>
      <c r="G89" s="11" t="s">
        <v>23</v>
      </c>
      <c r="H89" s="1" t="s">
        <v>269</v>
      </c>
      <c r="I89" s="16" t="s">
        <v>270</v>
      </c>
      <c r="J89" s="11" t="s">
        <v>271</v>
      </c>
      <c r="K89" s="1" t="b">
        <v>1</v>
      </c>
      <c r="L89" s="1" t="b">
        <v>0</v>
      </c>
      <c r="M89" s="5" t="b">
        <v>0</v>
      </c>
      <c r="N89" s="5" t="b">
        <v>0</v>
      </c>
      <c r="O89" s="5" t="b">
        <v>0</v>
      </c>
      <c r="P89" s="1" t="b">
        <v>0</v>
      </c>
      <c r="Q89" s="1"/>
      <c r="R89" s="5"/>
      <c r="S89" s="5"/>
      <c r="T89" s="5"/>
      <c r="U89" s="5"/>
      <c r="V89" s="5"/>
      <c r="W89" s="5"/>
      <c r="X89" s="5"/>
      <c r="Y89" s="5"/>
      <c r="Z89" s="5"/>
    </row>
    <row r="90" ht="49.5" hidden="1" customHeight="1">
      <c r="A90" s="5"/>
      <c r="B90" s="2"/>
      <c r="C90" s="26">
        <v>45673.0</v>
      </c>
      <c r="D90" s="13" t="s">
        <v>272</v>
      </c>
      <c r="E90" s="1" t="s">
        <v>273</v>
      </c>
      <c r="F90" s="1"/>
      <c r="G90" s="11" t="s">
        <v>23</v>
      </c>
      <c r="H90" s="46">
        <v>45687.0</v>
      </c>
      <c r="I90" s="16" t="s">
        <v>274</v>
      </c>
      <c r="J90" s="11" t="s">
        <v>25</v>
      </c>
      <c r="K90" s="1" t="b">
        <v>1</v>
      </c>
      <c r="L90" s="1" t="b">
        <v>1</v>
      </c>
      <c r="M90" s="1" t="b">
        <v>1</v>
      </c>
      <c r="N90" s="5" t="b">
        <v>0</v>
      </c>
      <c r="O90" s="5" t="b">
        <v>0</v>
      </c>
      <c r="P90" s="1" t="b">
        <v>1</v>
      </c>
      <c r="Q90" s="16" t="s">
        <v>275</v>
      </c>
      <c r="R90" s="1" t="s">
        <v>276</v>
      </c>
      <c r="S90" s="5"/>
      <c r="T90" s="5"/>
      <c r="U90" s="5"/>
      <c r="V90" s="5"/>
      <c r="W90" s="5"/>
      <c r="X90" s="5"/>
      <c r="Y90" s="5"/>
      <c r="Z90" s="5"/>
    </row>
    <row r="91" hidden="1">
      <c r="A91" s="5"/>
      <c r="B91" s="2"/>
      <c r="C91" s="26">
        <v>45673.0</v>
      </c>
      <c r="D91" s="13" t="s">
        <v>277</v>
      </c>
      <c r="E91" s="1" t="s">
        <v>278</v>
      </c>
      <c r="F91" s="1"/>
      <c r="G91" s="11" t="s">
        <v>45</v>
      </c>
      <c r="H91" s="46"/>
      <c r="I91" s="16" t="s">
        <v>279</v>
      </c>
      <c r="J91" s="11" t="s">
        <v>25</v>
      </c>
      <c r="K91" s="1" t="b">
        <v>1</v>
      </c>
      <c r="L91" s="1" t="b">
        <v>1</v>
      </c>
      <c r="M91" s="1" t="b">
        <v>1</v>
      </c>
      <c r="N91" s="5" t="b">
        <v>0</v>
      </c>
      <c r="O91" s="5" t="b">
        <v>0</v>
      </c>
      <c r="P91" s="1" t="b">
        <v>1</v>
      </c>
      <c r="Q91" s="16"/>
      <c r="R91" s="5"/>
      <c r="S91" s="5"/>
      <c r="T91" s="5"/>
      <c r="U91" s="5"/>
      <c r="V91" s="5"/>
      <c r="W91" s="5"/>
      <c r="X91" s="5"/>
      <c r="Y91" s="5"/>
      <c r="Z91" s="5"/>
    </row>
    <row r="92" hidden="1">
      <c r="A92" s="5"/>
      <c r="B92" s="2"/>
      <c r="C92" s="26">
        <v>45674.0</v>
      </c>
      <c r="D92" s="13" t="s">
        <v>280</v>
      </c>
      <c r="E92" s="55" t="s">
        <v>281</v>
      </c>
      <c r="F92" s="55"/>
      <c r="G92" s="11"/>
      <c r="H92" s="46">
        <v>45688.0</v>
      </c>
      <c r="I92" s="16" t="s">
        <v>282</v>
      </c>
      <c r="J92" s="11" t="s">
        <v>25</v>
      </c>
      <c r="K92" s="1" t="b">
        <v>0</v>
      </c>
      <c r="L92" s="1" t="b">
        <v>0</v>
      </c>
      <c r="M92" s="5" t="b">
        <v>0</v>
      </c>
      <c r="N92" s="5" t="b">
        <v>0</v>
      </c>
      <c r="O92" s="5" t="b">
        <v>0</v>
      </c>
      <c r="P92" s="1" t="b">
        <v>0</v>
      </c>
      <c r="Q92" s="1"/>
      <c r="R92" s="5"/>
      <c r="S92" s="5"/>
      <c r="T92" s="5"/>
      <c r="U92" s="5"/>
      <c r="V92" s="5"/>
      <c r="W92" s="5"/>
      <c r="X92" s="5"/>
      <c r="Y92" s="5"/>
      <c r="Z92" s="5"/>
    </row>
    <row r="93" hidden="1">
      <c r="A93" s="5"/>
      <c r="B93" s="2"/>
      <c r="C93" s="26">
        <v>45674.0</v>
      </c>
      <c r="D93" s="13" t="s">
        <v>283</v>
      </c>
      <c r="E93" s="1" t="s">
        <v>284</v>
      </c>
      <c r="F93" s="1"/>
      <c r="G93" s="11" t="s">
        <v>28</v>
      </c>
      <c r="H93" s="46">
        <v>45688.0</v>
      </c>
      <c r="I93" s="16" t="s">
        <v>285</v>
      </c>
      <c r="J93" s="11" t="s">
        <v>25</v>
      </c>
      <c r="K93" s="1" t="b">
        <v>1</v>
      </c>
      <c r="L93" s="1" t="b">
        <v>0</v>
      </c>
      <c r="M93" s="5" t="b">
        <v>0</v>
      </c>
      <c r="N93" s="5" t="b">
        <v>0</v>
      </c>
      <c r="O93" s="1" t="b">
        <v>1</v>
      </c>
      <c r="P93" s="1" t="b">
        <v>0</v>
      </c>
      <c r="Q93" s="1"/>
      <c r="R93" s="5"/>
      <c r="S93" s="5"/>
      <c r="T93" s="5"/>
      <c r="U93" s="5"/>
      <c r="V93" s="5"/>
      <c r="W93" s="5"/>
      <c r="X93" s="5"/>
      <c r="Y93" s="5"/>
      <c r="Z93" s="5"/>
    </row>
    <row r="94" hidden="1">
      <c r="A94" s="5"/>
      <c r="B94" s="2"/>
      <c r="C94" s="26">
        <v>45677.0</v>
      </c>
      <c r="D94" s="13" t="s">
        <v>286</v>
      </c>
      <c r="E94" s="1" t="s">
        <v>287</v>
      </c>
      <c r="F94" s="1"/>
      <c r="G94" s="11" t="s">
        <v>23</v>
      </c>
      <c r="H94" s="5"/>
      <c r="I94" s="16" t="s">
        <v>288</v>
      </c>
      <c r="J94" s="11" t="s">
        <v>233</v>
      </c>
      <c r="K94" s="1" t="b">
        <v>0</v>
      </c>
      <c r="L94" s="1" t="b">
        <v>0</v>
      </c>
      <c r="M94" s="5" t="b">
        <v>0</v>
      </c>
      <c r="N94" s="5" t="b">
        <v>0</v>
      </c>
      <c r="O94" s="5" t="b">
        <v>0</v>
      </c>
      <c r="P94" s="1" t="b">
        <v>0</v>
      </c>
      <c r="Q94" s="1" t="s">
        <v>289</v>
      </c>
      <c r="R94" s="5"/>
      <c r="S94" s="5"/>
      <c r="T94" s="5"/>
      <c r="U94" s="5"/>
      <c r="V94" s="5"/>
      <c r="W94" s="5"/>
      <c r="X94" s="5"/>
      <c r="Y94" s="5"/>
      <c r="Z94" s="5"/>
    </row>
    <row r="95" hidden="1">
      <c r="A95" s="5"/>
      <c r="B95" s="2"/>
      <c r="C95" s="26">
        <v>45677.0</v>
      </c>
      <c r="D95" s="13" t="s">
        <v>290</v>
      </c>
      <c r="E95" s="1" t="s">
        <v>291</v>
      </c>
      <c r="F95" s="1"/>
      <c r="G95" s="11" t="s">
        <v>23</v>
      </c>
      <c r="H95" s="46">
        <v>45688.0</v>
      </c>
      <c r="I95" s="16" t="s">
        <v>292</v>
      </c>
      <c r="J95" s="11" t="s">
        <v>25</v>
      </c>
      <c r="K95" s="1" t="b">
        <v>1</v>
      </c>
      <c r="L95" s="1" t="b">
        <v>1</v>
      </c>
      <c r="M95" s="1" t="b">
        <v>1</v>
      </c>
      <c r="N95" s="1" t="b">
        <v>1</v>
      </c>
      <c r="O95" s="1" t="b">
        <v>1</v>
      </c>
      <c r="P95" s="1" t="b">
        <v>1</v>
      </c>
      <c r="Q95" s="1"/>
      <c r="R95" s="5"/>
      <c r="S95" s="5"/>
      <c r="T95" s="5"/>
      <c r="U95" s="5"/>
      <c r="V95" s="5"/>
      <c r="W95" s="5"/>
      <c r="X95" s="5"/>
      <c r="Y95" s="5"/>
      <c r="Z95" s="5"/>
    </row>
    <row r="96" hidden="1">
      <c r="A96" s="5"/>
      <c r="B96" s="2"/>
      <c r="C96" s="26">
        <v>45678.0</v>
      </c>
      <c r="D96" s="13" t="s">
        <v>293</v>
      </c>
      <c r="E96" s="1" t="s">
        <v>294</v>
      </c>
      <c r="F96" s="1"/>
      <c r="G96" s="11" t="s">
        <v>23</v>
      </c>
      <c r="H96" s="5"/>
      <c r="I96" s="16" t="s">
        <v>295</v>
      </c>
      <c r="J96" s="11" t="s">
        <v>233</v>
      </c>
      <c r="K96" s="1" t="b">
        <v>1</v>
      </c>
      <c r="L96" s="1" t="b">
        <v>0</v>
      </c>
      <c r="M96" s="5" t="b">
        <v>0</v>
      </c>
      <c r="N96" s="5" t="b">
        <v>0</v>
      </c>
      <c r="O96" s="5" t="b">
        <v>0</v>
      </c>
      <c r="P96" s="1" t="b">
        <v>0</v>
      </c>
      <c r="Q96" s="1"/>
      <c r="R96" s="5"/>
      <c r="S96" s="5"/>
      <c r="T96" s="5"/>
      <c r="U96" s="5"/>
      <c r="V96" s="5"/>
      <c r="W96" s="5"/>
      <c r="X96" s="5"/>
      <c r="Y96" s="5"/>
      <c r="Z96" s="5"/>
    </row>
    <row r="97" hidden="1">
      <c r="A97" s="5"/>
      <c r="B97" s="2"/>
      <c r="C97" s="26">
        <v>45679.0</v>
      </c>
      <c r="D97" s="13" t="s">
        <v>296</v>
      </c>
      <c r="E97" s="1" t="s">
        <v>297</v>
      </c>
      <c r="F97" s="1"/>
      <c r="G97" s="11" t="s">
        <v>23</v>
      </c>
      <c r="H97" s="5"/>
      <c r="I97" s="16" t="s">
        <v>298</v>
      </c>
      <c r="J97" s="11" t="s">
        <v>233</v>
      </c>
      <c r="K97" s="1" t="b">
        <v>0</v>
      </c>
      <c r="L97" s="1" t="b">
        <v>0</v>
      </c>
      <c r="M97" s="5" t="b">
        <v>0</v>
      </c>
      <c r="N97" s="5" t="b">
        <v>0</v>
      </c>
      <c r="O97" s="5" t="b">
        <v>0</v>
      </c>
      <c r="P97" s="1" t="b">
        <v>0</v>
      </c>
      <c r="Q97" s="1"/>
      <c r="R97" s="5"/>
      <c r="S97" s="5"/>
      <c r="T97" s="5"/>
      <c r="U97" s="5"/>
      <c r="V97" s="5"/>
      <c r="W97" s="5"/>
      <c r="X97" s="5"/>
      <c r="Y97" s="5"/>
      <c r="Z97" s="5"/>
    </row>
    <row r="98" hidden="1">
      <c r="A98" s="5"/>
      <c r="B98" s="2"/>
      <c r="C98" s="26">
        <v>45680.0</v>
      </c>
      <c r="D98" s="13" t="s">
        <v>299</v>
      </c>
      <c r="E98" s="1" t="s">
        <v>300</v>
      </c>
      <c r="F98" s="1"/>
      <c r="G98" s="11" t="s">
        <v>23</v>
      </c>
      <c r="H98" s="5"/>
      <c r="I98" s="16" t="s">
        <v>301</v>
      </c>
      <c r="J98" s="11" t="s">
        <v>25</v>
      </c>
      <c r="K98" s="1" t="b">
        <v>1</v>
      </c>
      <c r="L98" s="1" t="b">
        <v>0</v>
      </c>
      <c r="M98" s="5" t="b">
        <v>0</v>
      </c>
      <c r="N98" s="5" t="b">
        <v>0</v>
      </c>
      <c r="O98" s="5" t="b">
        <v>0</v>
      </c>
      <c r="P98" s="1" t="b">
        <v>1</v>
      </c>
      <c r="Q98" s="1"/>
      <c r="R98" s="5"/>
      <c r="S98" s="5"/>
      <c r="T98" s="5"/>
      <c r="U98" s="5"/>
      <c r="V98" s="5"/>
      <c r="W98" s="5"/>
      <c r="X98" s="5"/>
      <c r="Y98" s="5"/>
      <c r="Z98" s="5"/>
    </row>
    <row r="99" hidden="1">
      <c r="A99" s="5"/>
      <c r="B99" s="2"/>
      <c r="C99" s="26">
        <v>45681.0</v>
      </c>
      <c r="D99" s="13" t="s">
        <v>183</v>
      </c>
      <c r="E99" s="1" t="s">
        <v>184</v>
      </c>
      <c r="F99" s="1"/>
      <c r="G99" s="11" t="s">
        <v>45</v>
      </c>
      <c r="H99" s="5"/>
      <c r="I99" s="16" t="s">
        <v>302</v>
      </c>
      <c r="J99" s="11" t="s">
        <v>25</v>
      </c>
      <c r="K99" s="1" t="b">
        <v>1</v>
      </c>
      <c r="L99" s="1" t="b">
        <v>1</v>
      </c>
      <c r="M99" s="5" t="b">
        <v>0</v>
      </c>
      <c r="N99" s="5" t="b">
        <v>0</v>
      </c>
      <c r="O99" s="1" t="b">
        <v>1</v>
      </c>
      <c r="P99" s="1" t="b">
        <v>1</v>
      </c>
      <c r="Q99" s="1" t="s">
        <v>303</v>
      </c>
      <c r="R99" s="1" t="s">
        <v>304</v>
      </c>
      <c r="S99" s="1" t="s">
        <v>305</v>
      </c>
      <c r="T99" s="5"/>
      <c r="U99" s="5"/>
      <c r="V99" s="5"/>
      <c r="W99" s="5"/>
      <c r="X99" s="5"/>
      <c r="Y99" s="5"/>
      <c r="Z99" s="5"/>
    </row>
    <row r="100" hidden="1">
      <c r="A100" s="5"/>
      <c r="B100" s="2"/>
      <c r="C100" s="26">
        <v>45682.0</v>
      </c>
      <c r="D100" s="13" t="s">
        <v>306</v>
      </c>
      <c r="E100" s="1"/>
      <c r="F100" s="1"/>
      <c r="G100" s="11" t="s">
        <v>23</v>
      </c>
      <c r="H100" s="5"/>
      <c r="I100" s="16" t="s">
        <v>307</v>
      </c>
      <c r="J100" s="11" t="s">
        <v>25</v>
      </c>
      <c r="K100" s="1" t="b">
        <v>1</v>
      </c>
      <c r="L100" s="1" t="b">
        <v>0</v>
      </c>
      <c r="M100" s="5" t="b">
        <v>0</v>
      </c>
      <c r="N100" s="5" t="b">
        <v>0</v>
      </c>
      <c r="O100" s="5" t="b">
        <v>0</v>
      </c>
      <c r="P100" s="1" t="b">
        <v>0</v>
      </c>
      <c r="Q100" s="1" t="s">
        <v>308</v>
      </c>
      <c r="R100" s="5"/>
      <c r="S100" s="1" t="s">
        <v>309</v>
      </c>
      <c r="T100" s="5"/>
      <c r="U100" s="5"/>
      <c r="V100" s="5"/>
      <c r="W100" s="5"/>
      <c r="X100" s="5"/>
      <c r="Y100" s="5"/>
      <c r="Z100" s="5"/>
    </row>
    <row r="101" hidden="1">
      <c r="A101" s="5"/>
      <c r="B101" s="2"/>
      <c r="C101" s="26">
        <v>45683.0</v>
      </c>
      <c r="D101" s="13" t="s">
        <v>310</v>
      </c>
      <c r="E101" s="1"/>
      <c r="F101" s="1"/>
      <c r="G101" s="11" t="s">
        <v>23</v>
      </c>
      <c r="H101" s="5"/>
      <c r="I101" s="16" t="s">
        <v>311</v>
      </c>
      <c r="J101" s="11" t="s">
        <v>25</v>
      </c>
      <c r="K101" s="1" t="b">
        <v>1</v>
      </c>
      <c r="L101" s="1" t="b">
        <v>0</v>
      </c>
      <c r="M101" s="5" t="b">
        <v>0</v>
      </c>
      <c r="N101" s="5" t="b">
        <v>0</v>
      </c>
      <c r="O101" s="5" t="b">
        <v>0</v>
      </c>
      <c r="P101" s="1" t="b">
        <v>1</v>
      </c>
      <c r="Q101" s="1" t="s">
        <v>312</v>
      </c>
      <c r="R101" s="5"/>
      <c r="S101" s="5"/>
      <c r="T101" s="5"/>
      <c r="U101" s="5"/>
      <c r="V101" s="5"/>
      <c r="W101" s="5"/>
      <c r="X101" s="5"/>
      <c r="Y101" s="5"/>
      <c r="Z101" s="5"/>
    </row>
    <row r="102" hidden="1">
      <c r="A102" s="5"/>
      <c r="B102" s="2"/>
      <c r="C102" s="26">
        <v>45691.0</v>
      </c>
      <c r="D102" s="13" t="s">
        <v>209</v>
      </c>
      <c r="E102" s="1" t="s">
        <v>210</v>
      </c>
      <c r="F102" s="1"/>
      <c r="G102" s="11" t="s">
        <v>23</v>
      </c>
      <c r="H102" s="5"/>
      <c r="I102" s="16" t="s">
        <v>313</v>
      </c>
      <c r="J102" s="11" t="s">
        <v>25</v>
      </c>
      <c r="K102" s="1" t="b">
        <v>1</v>
      </c>
      <c r="L102" s="1" t="b">
        <v>1</v>
      </c>
      <c r="M102" s="5" t="b">
        <v>0</v>
      </c>
      <c r="N102" s="5" t="b">
        <v>0</v>
      </c>
      <c r="O102" s="5" t="b">
        <v>0</v>
      </c>
      <c r="P102" s="1" t="b">
        <v>1</v>
      </c>
      <c r="Q102" s="1"/>
      <c r="R102" s="5"/>
      <c r="S102" s="5"/>
      <c r="T102" s="5"/>
      <c r="U102" s="5"/>
      <c r="V102" s="5"/>
      <c r="W102" s="5"/>
      <c r="X102" s="5"/>
      <c r="Y102" s="5"/>
      <c r="Z102" s="5"/>
    </row>
    <row r="103" hidden="1">
      <c r="A103" s="5"/>
      <c r="B103" s="2"/>
      <c r="C103" s="26">
        <v>45692.0</v>
      </c>
      <c r="D103" s="13" t="s">
        <v>314</v>
      </c>
      <c r="E103" s="1"/>
      <c r="F103" s="1"/>
      <c r="G103" s="11" t="s">
        <v>23</v>
      </c>
      <c r="H103" s="5"/>
      <c r="I103" s="16" t="s">
        <v>315</v>
      </c>
      <c r="J103" s="11" t="s">
        <v>233</v>
      </c>
      <c r="K103" s="1" t="b">
        <v>1</v>
      </c>
      <c r="L103" s="1" t="b">
        <v>0</v>
      </c>
      <c r="M103" s="5" t="b">
        <v>0</v>
      </c>
      <c r="N103" s="5" t="b">
        <v>0</v>
      </c>
      <c r="O103" s="5" t="b">
        <v>0</v>
      </c>
      <c r="P103" s="1" t="b">
        <v>0</v>
      </c>
      <c r="Q103" s="1"/>
      <c r="R103" s="5"/>
      <c r="S103" s="5"/>
      <c r="T103" s="5"/>
      <c r="U103" s="5"/>
      <c r="V103" s="5"/>
      <c r="W103" s="5"/>
      <c r="X103" s="5"/>
      <c r="Y103" s="5"/>
      <c r="Z103" s="5"/>
    </row>
    <row r="104" hidden="1">
      <c r="A104" s="5"/>
      <c r="B104" s="2"/>
      <c r="C104" s="26">
        <v>45693.0</v>
      </c>
      <c r="D104" s="13" t="s">
        <v>316</v>
      </c>
      <c r="E104" s="1" t="s">
        <v>317</v>
      </c>
      <c r="F104" s="1"/>
      <c r="G104" s="11" t="s">
        <v>23</v>
      </c>
      <c r="H104" s="5"/>
      <c r="I104" s="16" t="s">
        <v>318</v>
      </c>
      <c r="J104" s="11" t="s">
        <v>25</v>
      </c>
      <c r="K104" s="1" t="b">
        <v>1</v>
      </c>
      <c r="L104" s="1" t="b">
        <v>1</v>
      </c>
      <c r="M104" s="5" t="b">
        <v>0</v>
      </c>
      <c r="N104" s="5" t="b">
        <v>0</v>
      </c>
      <c r="O104" s="5" t="b">
        <v>0</v>
      </c>
      <c r="P104" s="1" t="b">
        <v>1</v>
      </c>
      <c r="Q104" s="1" t="s">
        <v>319</v>
      </c>
      <c r="R104" s="5"/>
      <c r="S104" s="5"/>
      <c r="T104" s="5"/>
      <c r="U104" s="5"/>
      <c r="V104" s="5"/>
      <c r="W104" s="5"/>
      <c r="X104" s="5"/>
      <c r="Y104" s="5"/>
      <c r="Z104" s="5"/>
    </row>
    <row r="105" hidden="1">
      <c r="A105" s="5"/>
      <c r="B105" s="2"/>
      <c r="C105" s="26">
        <v>45693.0</v>
      </c>
      <c r="D105" s="13" t="s">
        <v>320</v>
      </c>
      <c r="E105" s="1" t="s">
        <v>321</v>
      </c>
      <c r="F105" s="1"/>
      <c r="G105" s="11" t="s">
        <v>45</v>
      </c>
      <c r="H105" s="56">
        <v>45727.0</v>
      </c>
      <c r="I105" s="16" t="s">
        <v>322</v>
      </c>
      <c r="J105" s="11" t="s">
        <v>25</v>
      </c>
      <c r="K105" s="1" t="b">
        <v>1</v>
      </c>
      <c r="L105" s="1" t="b">
        <v>0</v>
      </c>
      <c r="M105" s="5" t="b">
        <v>0</v>
      </c>
      <c r="N105" s="5" t="b">
        <v>0</v>
      </c>
      <c r="O105" s="5" t="b">
        <v>0</v>
      </c>
      <c r="P105" s="1" t="b">
        <v>1</v>
      </c>
      <c r="Q105" s="1"/>
      <c r="R105" s="5"/>
      <c r="S105" s="5"/>
      <c r="T105" s="5"/>
      <c r="U105" s="5"/>
      <c r="V105" s="5"/>
      <c r="W105" s="5"/>
      <c r="X105" s="5"/>
      <c r="Y105" s="5"/>
      <c r="Z105" s="5"/>
    </row>
    <row r="106" hidden="1">
      <c r="A106" s="5"/>
      <c r="B106" s="2"/>
      <c r="C106" s="26">
        <v>45698.0</v>
      </c>
      <c r="D106" s="13" t="s">
        <v>323</v>
      </c>
      <c r="E106" s="1"/>
      <c r="F106" s="1"/>
      <c r="G106" s="11" t="s">
        <v>28</v>
      </c>
      <c r="H106" s="5"/>
      <c r="I106" s="16" t="s">
        <v>324</v>
      </c>
      <c r="J106" s="11" t="s">
        <v>233</v>
      </c>
      <c r="K106" s="1" t="b">
        <v>0</v>
      </c>
      <c r="L106" s="1" t="b">
        <v>0</v>
      </c>
      <c r="M106" s="5" t="b">
        <v>0</v>
      </c>
      <c r="N106" s="5" t="b">
        <v>0</v>
      </c>
      <c r="O106" s="5" t="b">
        <v>0</v>
      </c>
      <c r="P106" s="1" t="b">
        <v>0</v>
      </c>
      <c r="Q106" s="1"/>
      <c r="R106" s="5"/>
      <c r="S106" s="5"/>
      <c r="T106" s="5"/>
      <c r="U106" s="5"/>
      <c r="V106" s="5"/>
      <c r="W106" s="5"/>
      <c r="X106" s="5"/>
      <c r="Y106" s="5"/>
      <c r="Z106" s="5"/>
    </row>
    <row r="107" hidden="1">
      <c r="A107" s="5"/>
      <c r="B107" s="2"/>
      <c r="C107" s="26">
        <v>45699.0</v>
      </c>
      <c r="D107" s="13" t="s">
        <v>325</v>
      </c>
      <c r="E107" s="1" t="s">
        <v>326</v>
      </c>
      <c r="F107" s="1"/>
      <c r="G107" s="11" t="s">
        <v>28</v>
      </c>
      <c r="H107" s="57">
        <v>45753.0</v>
      </c>
      <c r="I107" s="16" t="s">
        <v>327</v>
      </c>
      <c r="J107" s="11" t="s">
        <v>25</v>
      </c>
      <c r="K107" s="1" t="b">
        <v>1</v>
      </c>
      <c r="L107" s="1" t="b">
        <v>1</v>
      </c>
      <c r="M107" s="1" t="b">
        <v>1</v>
      </c>
      <c r="N107" s="5" t="b">
        <v>0</v>
      </c>
      <c r="O107" s="5" t="b">
        <v>0</v>
      </c>
      <c r="P107" s="1" t="b">
        <v>0</v>
      </c>
      <c r="Q107" s="1"/>
      <c r="R107" s="5"/>
      <c r="S107" s="5"/>
      <c r="T107" s="5"/>
      <c r="U107" s="5"/>
      <c r="V107" s="5"/>
      <c r="W107" s="5"/>
      <c r="X107" s="5"/>
      <c r="Y107" s="5"/>
      <c r="Z107" s="5"/>
    </row>
    <row r="108" hidden="1">
      <c r="A108" s="5"/>
      <c r="B108" s="2"/>
      <c r="C108" s="26">
        <v>45700.0</v>
      </c>
      <c r="D108" s="13" t="s">
        <v>328</v>
      </c>
      <c r="E108" s="1"/>
      <c r="F108" s="1"/>
      <c r="G108" s="11" t="s">
        <v>28</v>
      </c>
      <c r="H108" s="5"/>
      <c r="I108" s="16" t="s">
        <v>90</v>
      </c>
      <c r="J108" s="11" t="s">
        <v>25</v>
      </c>
      <c r="K108" s="1" t="b">
        <v>0</v>
      </c>
      <c r="L108" s="1" t="b">
        <v>0</v>
      </c>
      <c r="M108" s="5" t="b">
        <v>0</v>
      </c>
      <c r="N108" s="5" t="b">
        <v>0</v>
      </c>
      <c r="O108" s="5" t="b">
        <v>0</v>
      </c>
      <c r="P108" s="1" t="b">
        <v>0</v>
      </c>
      <c r="Q108" s="1"/>
      <c r="R108" s="5"/>
      <c r="S108" s="5"/>
      <c r="T108" s="5"/>
      <c r="U108" s="5"/>
      <c r="V108" s="5"/>
      <c r="W108" s="5"/>
      <c r="X108" s="5"/>
      <c r="Y108" s="5"/>
      <c r="Z108" s="5"/>
    </row>
    <row r="109" hidden="1">
      <c r="A109" s="5"/>
      <c r="B109" s="2"/>
      <c r="C109" s="26">
        <v>45700.0</v>
      </c>
      <c r="D109" s="13" t="s">
        <v>329</v>
      </c>
      <c r="E109" s="1" t="s">
        <v>330</v>
      </c>
      <c r="F109" s="1"/>
      <c r="G109" s="11" t="s">
        <v>28</v>
      </c>
      <c r="H109" s="5"/>
      <c r="I109" s="16" t="s">
        <v>331</v>
      </c>
      <c r="J109" s="11" t="s">
        <v>25</v>
      </c>
      <c r="K109" s="1" t="b">
        <v>1</v>
      </c>
      <c r="L109" s="1" t="b">
        <v>0</v>
      </c>
      <c r="M109" s="5" t="b">
        <v>0</v>
      </c>
      <c r="N109" s="5" t="b">
        <v>0</v>
      </c>
      <c r="O109" s="5" t="b">
        <v>0</v>
      </c>
      <c r="P109" s="1" t="b">
        <v>0</v>
      </c>
      <c r="Q109" s="1"/>
      <c r="R109" s="5"/>
      <c r="S109" s="5"/>
      <c r="T109" s="5"/>
      <c r="U109" s="5"/>
      <c r="V109" s="5"/>
      <c r="W109" s="5"/>
      <c r="X109" s="5"/>
      <c r="Y109" s="5"/>
      <c r="Z109" s="5"/>
    </row>
    <row r="110" hidden="1">
      <c r="A110" s="5"/>
      <c r="B110" s="2"/>
      <c r="C110" s="26">
        <v>45700.0</v>
      </c>
      <c r="D110" s="13" t="s">
        <v>332</v>
      </c>
      <c r="E110" s="1" t="s">
        <v>333</v>
      </c>
      <c r="F110" s="1"/>
      <c r="G110" s="11" t="s">
        <v>45</v>
      </c>
      <c r="H110" s="5"/>
      <c r="I110" s="16" t="s">
        <v>334</v>
      </c>
      <c r="J110" s="11" t="s">
        <v>25</v>
      </c>
      <c r="K110" s="1" t="b">
        <v>1</v>
      </c>
      <c r="L110" s="1" t="b">
        <v>1</v>
      </c>
      <c r="M110" s="1" t="b">
        <v>1</v>
      </c>
      <c r="N110" s="5" t="b">
        <v>0</v>
      </c>
      <c r="O110" s="5" t="b">
        <v>0</v>
      </c>
      <c r="P110" s="1" t="b">
        <v>0</v>
      </c>
      <c r="Q110" s="1"/>
      <c r="R110" s="5"/>
      <c r="S110" s="5"/>
      <c r="T110" s="5"/>
      <c r="U110" s="5"/>
      <c r="V110" s="5"/>
      <c r="W110" s="5"/>
      <c r="X110" s="5"/>
      <c r="Y110" s="5"/>
      <c r="Z110" s="5"/>
    </row>
    <row r="111" hidden="1">
      <c r="A111" s="5"/>
      <c r="B111" s="2"/>
      <c r="C111" s="26">
        <v>45701.0</v>
      </c>
      <c r="D111" s="13" t="s">
        <v>335</v>
      </c>
      <c r="E111" s="1" t="s">
        <v>336</v>
      </c>
      <c r="F111" s="1"/>
      <c r="G111" s="11" t="s">
        <v>23</v>
      </c>
      <c r="H111" s="5"/>
      <c r="I111" s="16" t="s">
        <v>337</v>
      </c>
      <c r="J111" s="11" t="s">
        <v>173</v>
      </c>
      <c r="K111" s="1" t="b">
        <v>1</v>
      </c>
      <c r="L111" s="1" t="b">
        <v>0</v>
      </c>
      <c r="M111" s="5" t="b">
        <v>0</v>
      </c>
      <c r="N111" s="5" t="b">
        <v>0</v>
      </c>
      <c r="O111" s="5" t="b">
        <v>0</v>
      </c>
      <c r="P111" s="1" t="b">
        <v>0</v>
      </c>
      <c r="Q111" s="1"/>
      <c r="R111" s="5"/>
      <c r="S111" s="5"/>
      <c r="T111" s="5"/>
      <c r="U111" s="5"/>
      <c r="V111" s="5"/>
      <c r="W111" s="5"/>
      <c r="X111" s="5"/>
      <c r="Y111" s="5"/>
      <c r="Z111" s="5"/>
    </row>
    <row r="112" hidden="1">
      <c r="A112" s="5"/>
      <c r="B112" s="2"/>
      <c r="C112" s="26">
        <v>45702.0</v>
      </c>
      <c r="D112" s="13" t="s">
        <v>338</v>
      </c>
      <c r="E112" s="1"/>
      <c r="F112" s="1"/>
      <c r="G112" s="11" t="s">
        <v>28</v>
      </c>
      <c r="H112" s="5"/>
      <c r="I112" s="16" t="s">
        <v>339</v>
      </c>
      <c r="J112" s="11" t="s">
        <v>25</v>
      </c>
      <c r="K112" s="1" t="b">
        <v>0</v>
      </c>
      <c r="L112" s="1" t="b">
        <v>0</v>
      </c>
      <c r="M112" s="5" t="b">
        <v>0</v>
      </c>
      <c r="N112" s="5" t="b">
        <v>0</v>
      </c>
      <c r="O112" s="5" t="b">
        <v>0</v>
      </c>
      <c r="P112" s="1" t="b">
        <v>0</v>
      </c>
      <c r="Q112" s="1"/>
      <c r="R112" s="5"/>
      <c r="S112" s="5"/>
      <c r="T112" s="5"/>
      <c r="U112" s="5"/>
      <c r="V112" s="5"/>
      <c r="W112" s="5"/>
      <c r="X112" s="5"/>
      <c r="Y112" s="5"/>
      <c r="Z112" s="5"/>
    </row>
    <row r="113" hidden="1">
      <c r="A113" s="5"/>
      <c r="B113" s="2"/>
      <c r="C113" s="26">
        <v>45615.0</v>
      </c>
      <c r="D113" s="13" t="s">
        <v>340</v>
      </c>
      <c r="E113" s="1" t="s">
        <v>341</v>
      </c>
      <c r="F113" s="1"/>
      <c r="G113" s="11" t="s">
        <v>28</v>
      </c>
      <c r="H113" s="26"/>
      <c r="I113" s="16" t="s">
        <v>342</v>
      </c>
      <c r="J113" s="11" t="s">
        <v>25</v>
      </c>
      <c r="K113" s="1" t="b">
        <v>0</v>
      </c>
      <c r="L113" s="1" t="b">
        <v>0</v>
      </c>
      <c r="M113" s="5" t="b">
        <v>0</v>
      </c>
      <c r="N113" s="5" t="b">
        <v>0</v>
      </c>
      <c r="O113" s="5" t="b">
        <v>0</v>
      </c>
      <c r="P113" s="1" t="b">
        <v>0</v>
      </c>
      <c r="Q113" s="1" t="s">
        <v>343</v>
      </c>
      <c r="R113" s="5"/>
      <c r="S113" s="5"/>
      <c r="T113" s="5"/>
      <c r="U113" s="5"/>
      <c r="V113" s="5"/>
      <c r="W113" s="5"/>
      <c r="X113" s="5"/>
      <c r="Y113" s="5"/>
      <c r="Z113" s="5"/>
    </row>
    <row r="114" hidden="1">
      <c r="A114" s="5"/>
      <c r="B114" s="2"/>
      <c r="C114" s="26">
        <v>45616.0</v>
      </c>
      <c r="D114" s="13" t="s">
        <v>344</v>
      </c>
      <c r="E114" s="1" t="s">
        <v>345</v>
      </c>
      <c r="F114" s="1"/>
      <c r="G114" s="11" t="s">
        <v>28</v>
      </c>
      <c r="H114" s="26"/>
      <c r="I114" s="16"/>
      <c r="J114" s="11" t="s">
        <v>25</v>
      </c>
      <c r="K114" s="1" t="b">
        <v>0</v>
      </c>
      <c r="L114" s="1" t="b">
        <v>0</v>
      </c>
      <c r="M114" s="5" t="b">
        <v>0</v>
      </c>
      <c r="N114" s="5" t="b">
        <v>0</v>
      </c>
      <c r="O114" s="5" t="b">
        <v>0</v>
      </c>
      <c r="P114" s="1" t="b">
        <v>0</v>
      </c>
      <c r="Q114" s="1"/>
      <c r="R114" s="5"/>
      <c r="S114" s="5"/>
      <c r="T114" s="5"/>
      <c r="U114" s="5"/>
      <c r="V114" s="5"/>
      <c r="W114" s="5"/>
      <c r="X114" s="5"/>
      <c r="Y114" s="5"/>
      <c r="Z114" s="5"/>
    </row>
    <row r="115" hidden="1">
      <c r="A115" s="5"/>
      <c r="B115" s="2"/>
      <c r="C115" s="26">
        <v>45615.0</v>
      </c>
      <c r="D115" s="13" t="s">
        <v>346</v>
      </c>
      <c r="E115" s="1" t="s">
        <v>347</v>
      </c>
      <c r="F115" s="1"/>
      <c r="G115" s="11" t="s">
        <v>45</v>
      </c>
      <c r="H115" s="26"/>
      <c r="I115" s="16" t="s">
        <v>348</v>
      </c>
      <c r="J115" s="11" t="s">
        <v>25</v>
      </c>
      <c r="K115" s="1" t="b">
        <v>0</v>
      </c>
      <c r="L115" s="1" t="b">
        <v>0</v>
      </c>
      <c r="M115" s="5" t="b">
        <v>0</v>
      </c>
      <c r="N115" s="5" t="b">
        <v>0</v>
      </c>
      <c r="O115" s="5" t="b">
        <v>0</v>
      </c>
      <c r="P115" s="1" t="b">
        <v>0</v>
      </c>
      <c r="Q115" s="1"/>
      <c r="R115" s="5"/>
      <c r="S115" s="5"/>
      <c r="T115" s="5"/>
      <c r="U115" s="5"/>
      <c r="V115" s="5"/>
      <c r="W115" s="5"/>
      <c r="X115" s="5"/>
      <c r="Y115" s="5"/>
      <c r="Z115" s="5"/>
    </row>
    <row r="116" hidden="1">
      <c r="A116" s="5"/>
      <c r="B116" s="2"/>
      <c r="C116" s="26">
        <v>45615.0</v>
      </c>
      <c r="D116" s="13" t="s">
        <v>349</v>
      </c>
      <c r="E116" s="1"/>
      <c r="F116" s="1"/>
      <c r="G116" s="11"/>
      <c r="H116" s="26"/>
      <c r="I116" s="16"/>
      <c r="J116" s="11" t="s">
        <v>25</v>
      </c>
      <c r="K116" s="1" t="b">
        <v>0</v>
      </c>
      <c r="L116" s="1" t="b">
        <v>0</v>
      </c>
      <c r="M116" s="5" t="b">
        <v>0</v>
      </c>
      <c r="N116" s="5" t="b">
        <v>0</v>
      </c>
      <c r="O116" s="5" t="b">
        <v>0</v>
      </c>
      <c r="P116" s="1" t="b">
        <v>0</v>
      </c>
      <c r="Q116" s="1"/>
      <c r="R116" s="5"/>
      <c r="S116" s="5"/>
      <c r="T116" s="5"/>
      <c r="U116" s="5"/>
      <c r="V116" s="5"/>
      <c r="W116" s="5"/>
      <c r="X116" s="5"/>
      <c r="Y116" s="5"/>
      <c r="Z116" s="5"/>
    </row>
    <row r="117" hidden="1">
      <c r="A117" s="5"/>
      <c r="B117" s="2"/>
      <c r="C117" s="26"/>
      <c r="D117" s="13" t="s">
        <v>350</v>
      </c>
      <c r="E117" s="1" t="s">
        <v>351</v>
      </c>
      <c r="F117" s="1"/>
      <c r="G117" s="11" t="s">
        <v>28</v>
      </c>
      <c r="H117" s="26"/>
      <c r="I117" s="16" t="s">
        <v>352</v>
      </c>
      <c r="J117" s="11" t="s">
        <v>25</v>
      </c>
      <c r="K117" s="1" t="b">
        <v>0</v>
      </c>
      <c r="L117" s="1" t="b">
        <v>0</v>
      </c>
      <c r="M117" s="5" t="b">
        <v>0</v>
      </c>
      <c r="N117" s="5" t="b">
        <v>0</v>
      </c>
      <c r="O117" s="5" t="b">
        <v>0</v>
      </c>
      <c r="P117" s="1" t="b">
        <v>0</v>
      </c>
      <c r="Q117" s="1"/>
      <c r="R117" s="5"/>
      <c r="S117" s="5"/>
      <c r="T117" s="5"/>
      <c r="U117" s="5"/>
      <c r="V117" s="5"/>
      <c r="W117" s="5"/>
      <c r="X117" s="5"/>
      <c r="Y117" s="5"/>
      <c r="Z117" s="5"/>
    </row>
    <row r="118" hidden="1">
      <c r="A118" s="5"/>
      <c r="B118" s="2"/>
      <c r="C118" s="26">
        <v>45614.0</v>
      </c>
      <c r="D118" s="13" t="s">
        <v>353</v>
      </c>
      <c r="E118" s="1" t="s">
        <v>111</v>
      </c>
      <c r="F118" s="1"/>
      <c r="G118" s="11" t="s">
        <v>45</v>
      </c>
      <c r="H118" s="26">
        <v>45618.0</v>
      </c>
      <c r="I118" s="16" t="s">
        <v>354</v>
      </c>
      <c r="J118" s="11" t="s">
        <v>25</v>
      </c>
      <c r="K118" s="1" t="b">
        <v>0</v>
      </c>
      <c r="L118" s="1" t="b">
        <v>0</v>
      </c>
      <c r="M118" s="5" t="b">
        <v>0</v>
      </c>
      <c r="N118" s="5" t="b">
        <v>0</v>
      </c>
      <c r="O118" s="5" t="b">
        <v>0</v>
      </c>
      <c r="P118" s="1" t="b">
        <v>0</v>
      </c>
      <c r="Q118" s="1"/>
      <c r="R118" s="5"/>
      <c r="S118" s="5"/>
      <c r="T118" s="5"/>
      <c r="U118" s="5"/>
      <c r="V118" s="5"/>
      <c r="W118" s="5"/>
      <c r="X118" s="5"/>
      <c r="Y118" s="5"/>
      <c r="Z118" s="5"/>
    </row>
    <row r="119" hidden="1">
      <c r="A119" s="5"/>
      <c r="B119" s="2"/>
      <c r="C119" s="26">
        <v>45581.0</v>
      </c>
      <c r="D119" s="13" t="s">
        <v>355</v>
      </c>
      <c r="E119" s="1"/>
      <c r="F119" s="1"/>
      <c r="G119" s="11" t="s">
        <v>28</v>
      </c>
      <c r="H119" s="26">
        <v>45588.0</v>
      </c>
      <c r="I119" s="16" t="s">
        <v>356</v>
      </c>
      <c r="J119" s="11" t="s">
        <v>25</v>
      </c>
      <c r="K119" s="1" t="b">
        <v>1</v>
      </c>
      <c r="L119" s="1" t="b">
        <v>0</v>
      </c>
      <c r="M119" s="5" t="b">
        <v>0</v>
      </c>
      <c r="N119" s="5" t="b">
        <v>0</v>
      </c>
      <c r="O119" s="5" t="b">
        <v>0</v>
      </c>
      <c r="P119" s="1" t="b">
        <v>1</v>
      </c>
      <c r="Q119" s="1"/>
      <c r="R119" s="5"/>
      <c r="S119" s="5"/>
      <c r="T119" s="5"/>
      <c r="U119" s="5"/>
      <c r="V119" s="5"/>
      <c r="W119" s="5"/>
      <c r="X119" s="5"/>
      <c r="Y119" s="5"/>
      <c r="Z119" s="5"/>
    </row>
    <row r="120" hidden="1">
      <c r="A120" s="5"/>
      <c r="B120" s="2"/>
      <c r="C120" s="26">
        <v>45536.0</v>
      </c>
      <c r="D120" s="13" t="s">
        <v>112</v>
      </c>
      <c r="E120" s="1" t="s">
        <v>113</v>
      </c>
      <c r="F120" s="1"/>
      <c r="G120" s="11" t="s">
        <v>28</v>
      </c>
      <c r="H120" s="43"/>
      <c r="I120" s="16" t="s">
        <v>357</v>
      </c>
      <c r="J120" s="11" t="s">
        <v>25</v>
      </c>
      <c r="K120" s="1" t="b">
        <v>1</v>
      </c>
      <c r="L120" s="1" t="b">
        <v>1</v>
      </c>
      <c r="M120" s="5" t="b">
        <v>0</v>
      </c>
      <c r="N120" s="5" t="b">
        <v>0</v>
      </c>
      <c r="O120" s="5" t="b">
        <v>0</v>
      </c>
      <c r="P120" s="1" t="b">
        <v>1</v>
      </c>
      <c r="Q120" s="1" t="s">
        <v>358</v>
      </c>
      <c r="R120" s="5"/>
      <c r="S120" s="5"/>
      <c r="T120" s="5"/>
      <c r="U120" s="5"/>
      <c r="V120" s="5"/>
      <c r="W120" s="5"/>
      <c r="X120" s="5"/>
      <c r="Y120" s="5"/>
      <c r="Z120" s="5"/>
    </row>
    <row r="121" hidden="1">
      <c r="A121" s="5"/>
      <c r="B121" s="2"/>
      <c r="C121" s="26">
        <v>45703.0</v>
      </c>
      <c r="D121" s="13" t="s">
        <v>359</v>
      </c>
      <c r="E121" s="5"/>
      <c r="F121" s="5"/>
      <c r="G121" s="11" t="s">
        <v>23</v>
      </c>
      <c r="H121" s="43"/>
      <c r="I121" s="16" t="s">
        <v>360</v>
      </c>
      <c r="J121" s="11" t="s">
        <v>25</v>
      </c>
      <c r="K121" s="1" t="b">
        <v>1</v>
      </c>
      <c r="L121" s="1" t="b">
        <v>0</v>
      </c>
      <c r="M121" s="5" t="b">
        <v>0</v>
      </c>
      <c r="N121" s="5" t="b">
        <v>0</v>
      </c>
      <c r="O121" s="5" t="b">
        <v>0</v>
      </c>
      <c r="P121" s="1" t="b"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idden="1">
      <c r="A122" s="5"/>
      <c r="B122" s="2"/>
      <c r="C122" s="26">
        <v>45705.0</v>
      </c>
      <c r="D122" s="13" t="s">
        <v>361</v>
      </c>
      <c r="E122" s="1" t="s">
        <v>362</v>
      </c>
      <c r="F122" s="1"/>
      <c r="G122" s="11" t="s">
        <v>28</v>
      </c>
      <c r="H122" s="11" t="s">
        <v>363</v>
      </c>
      <c r="I122" s="16" t="s">
        <v>364</v>
      </c>
      <c r="J122" s="11" t="s">
        <v>25</v>
      </c>
      <c r="K122" s="1" t="b">
        <v>1</v>
      </c>
      <c r="L122" s="1" t="b">
        <v>0</v>
      </c>
      <c r="M122" s="5" t="b">
        <v>0</v>
      </c>
      <c r="N122" s="5" t="b">
        <v>0</v>
      </c>
      <c r="O122" s="5" t="b">
        <v>0</v>
      </c>
      <c r="P122" s="1" t="b">
        <v>1</v>
      </c>
      <c r="Q122" s="1" t="s">
        <v>363</v>
      </c>
      <c r="R122" s="5"/>
      <c r="S122" s="5"/>
      <c r="T122" s="5"/>
      <c r="U122" s="5"/>
      <c r="V122" s="5"/>
      <c r="W122" s="5"/>
      <c r="X122" s="5"/>
      <c r="Y122" s="5"/>
      <c r="Z122" s="5"/>
    </row>
    <row r="123" hidden="1">
      <c r="A123" s="5"/>
      <c r="B123" s="2"/>
      <c r="C123" s="26">
        <v>45712.0</v>
      </c>
      <c r="D123" s="13" t="s">
        <v>365</v>
      </c>
      <c r="E123" s="1" t="s">
        <v>366</v>
      </c>
      <c r="F123" s="1"/>
      <c r="G123" s="11" t="s">
        <v>23</v>
      </c>
      <c r="H123" s="26">
        <v>45728.0</v>
      </c>
      <c r="I123" s="16" t="s">
        <v>367</v>
      </c>
      <c r="J123" s="11" t="s">
        <v>25</v>
      </c>
      <c r="K123" s="1" t="b">
        <v>1</v>
      </c>
      <c r="L123" s="1" t="b">
        <v>0</v>
      </c>
      <c r="M123" s="5" t="b">
        <v>0</v>
      </c>
      <c r="N123" s="5" t="b">
        <v>0</v>
      </c>
      <c r="O123" s="5" t="b">
        <v>0</v>
      </c>
      <c r="P123" s="1" t="b">
        <v>1</v>
      </c>
      <c r="Q123" s="1" t="s">
        <v>368</v>
      </c>
      <c r="R123" s="5"/>
      <c r="S123" s="5"/>
      <c r="T123" s="5"/>
      <c r="U123" s="5"/>
      <c r="V123" s="5"/>
      <c r="W123" s="5"/>
      <c r="X123" s="5"/>
      <c r="Y123" s="5"/>
      <c r="Z123" s="5"/>
    </row>
    <row r="124" hidden="1">
      <c r="A124" s="5"/>
      <c r="B124" s="2"/>
      <c r="C124" s="26">
        <v>45712.0</v>
      </c>
      <c r="D124" s="13" t="s">
        <v>369</v>
      </c>
      <c r="E124" s="5"/>
      <c r="F124" s="5"/>
      <c r="G124" s="11" t="s">
        <v>23</v>
      </c>
      <c r="H124" s="26">
        <v>45730.0</v>
      </c>
      <c r="I124" s="16" t="s">
        <v>370</v>
      </c>
      <c r="J124" s="11" t="s">
        <v>25</v>
      </c>
      <c r="K124" s="1" t="b">
        <v>1</v>
      </c>
      <c r="L124" s="1" t="b">
        <v>1</v>
      </c>
      <c r="M124" s="5" t="b">
        <v>0</v>
      </c>
      <c r="N124" s="5" t="b">
        <v>0</v>
      </c>
      <c r="O124" s="5" t="b">
        <v>0</v>
      </c>
      <c r="P124" s="1" t="b">
        <v>1</v>
      </c>
      <c r="Q124" s="1" t="s">
        <v>371</v>
      </c>
      <c r="R124" s="5"/>
      <c r="S124" s="5"/>
      <c r="T124" s="5"/>
      <c r="U124" s="5"/>
      <c r="V124" s="5"/>
      <c r="W124" s="5"/>
      <c r="X124" s="5"/>
      <c r="Y124" s="5"/>
      <c r="Z124" s="5"/>
    </row>
    <row r="125" hidden="1">
      <c r="A125" s="5"/>
      <c r="B125" s="2"/>
      <c r="C125" s="26">
        <v>45713.0</v>
      </c>
      <c r="D125" s="13" t="s">
        <v>372</v>
      </c>
      <c r="E125" s="1" t="s">
        <v>373</v>
      </c>
      <c r="F125" s="1"/>
      <c r="G125" s="11" t="s">
        <v>23</v>
      </c>
      <c r="H125" s="26">
        <v>45730.0</v>
      </c>
      <c r="I125" s="16" t="s">
        <v>374</v>
      </c>
      <c r="J125" s="11" t="s">
        <v>25</v>
      </c>
      <c r="K125" s="1" t="b">
        <v>1</v>
      </c>
      <c r="L125" s="1" t="b">
        <v>1</v>
      </c>
      <c r="M125" s="5" t="b">
        <v>0</v>
      </c>
      <c r="N125" s="5" t="b">
        <v>0</v>
      </c>
      <c r="O125" s="5" t="b">
        <v>0</v>
      </c>
      <c r="P125" s="1" t="b">
        <v>0</v>
      </c>
      <c r="Q125" s="1" t="s">
        <v>375</v>
      </c>
      <c r="R125" s="5"/>
      <c r="S125" s="5"/>
      <c r="T125" s="5"/>
      <c r="U125" s="5"/>
      <c r="V125" s="5"/>
      <c r="W125" s="5"/>
      <c r="X125" s="5"/>
      <c r="Y125" s="5"/>
      <c r="Z125" s="5"/>
    </row>
    <row r="126" hidden="1">
      <c r="A126" s="5"/>
      <c r="B126" s="2"/>
      <c r="C126" s="26">
        <v>45714.0</v>
      </c>
      <c r="D126" s="13" t="s">
        <v>43</v>
      </c>
      <c r="E126" s="1" t="s">
        <v>376</v>
      </c>
      <c r="F126" s="1"/>
      <c r="G126" s="11" t="s">
        <v>45</v>
      </c>
      <c r="H126" s="26">
        <v>45727.0</v>
      </c>
      <c r="I126" s="16" t="s">
        <v>377</v>
      </c>
      <c r="J126" s="11" t="s">
        <v>25</v>
      </c>
      <c r="K126" s="1" t="b">
        <v>1</v>
      </c>
      <c r="L126" s="1" t="b">
        <v>1</v>
      </c>
      <c r="M126" s="1" t="b">
        <v>1</v>
      </c>
      <c r="N126" s="5" t="b">
        <v>0</v>
      </c>
      <c r="O126" s="5" t="b">
        <v>0</v>
      </c>
      <c r="P126" s="1" t="b"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idden="1">
      <c r="A127" s="5"/>
      <c r="B127" s="11"/>
      <c r="C127" s="26">
        <v>45720.0</v>
      </c>
      <c r="D127" s="13" t="s">
        <v>378</v>
      </c>
      <c r="E127" s="1" t="s">
        <v>379</v>
      </c>
      <c r="F127" s="1"/>
      <c r="G127" s="11" t="s">
        <v>23</v>
      </c>
      <c r="H127" s="43"/>
      <c r="I127" s="16" t="s">
        <v>380</v>
      </c>
      <c r="J127" s="11" t="s">
        <v>233</v>
      </c>
      <c r="K127" s="1" t="b">
        <v>0</v>
      </c>
      <c r="L127" s="1" t="b">
        <v>0</v>
      </c>
      <c r="M127" s="5" t="b">
        <v>0</v>
      </c>
      <c r="N127" s="5" t="b">
        <v>0</v>
      </c>
      <c r="O127" s="5" t="b">
        <v>0</v>
      </c>
      <c r="P127" s="1" t="b">
        <v>0</v>
      </c>
      <c r="Q127" s="1" t="s">
        <v>381</v>
      </c>
      <c r="R127" s="5"/>
      <c r="S127" s="5"/>
      <c r="T127" s="5"/>
      <c r="U127" s="5"/>
      <c r="V127" s="5"/>
      <c r="W127" s="5"/>
      <c r="X127" s="5"/>
      <c r="Y127" s="5"/>
      <c r="Z127" s="5"/>
    </row>
    <row r="128" hidden="1">
      <c r="A128" s="5"/>
      <c r="B128" s="2"/>
      <c r="C128" s="26">
        <v>45720.0</v>
      </c>
      <c r="D128" s="13" t="s">
        <v>382</v>
      </c>
      <c r="E128" s="1" t="s">
        <v>383</v>
      </c>
      <c r="F128" s="1"/>
      <c r="G128" s="11" t="s">
        <v>23</v>
      </c>
      <c r="H128" s="43"/>
      <c r="I128" s="16" t="s">
        <v>384</v>
      </c>
      <c r="J128" s="11" t="s">
        <v>233</v>
      </c>
      <c r="K128" s="1" t="b">
        <v>1</v>
      </c>
      <c r="L128" s="1" t="b">
        <v>0</v>
      </c>
      <c r="M128" s="5" t="b">
        <v>0</v>
      </c>
      <c r="N128" s="5" t="b">
        <v>0</v>
      </c>
      <c r="O128" s="5" t="b">
        <v>0</v>
      </c>
      <c r="P128" s="1" t="b">
        <v>0</v>
      </c>
      <c r="Q128" s="1" t="s">
        <v>381</v>
      </c>
      <c r="R128" s="5"/>
      <c r="S128" s="5"/>
      <c r="T128" s="5"/>
      <c r="U128" s="5"/>
      <c r="V128" s="5"/>
      <c r="W128" s="5"/>
      <c r="X128" s="5"/>
      <c r="Y128" s="5"/>
      <c r="Z128" s="5"/>
    </row>
    <row r="129" hidden="1">
      <c r="A129" s="5"/>
      <c r="B129" s="2"/>
      <c r="C129" s="26">
        <v>45720.0</v>
      </c>
      <c r="D129" s="13" t="s">
        <v>385</v>
      </c>
      <c r="E129" s="1" t="s">
        <v>386</v>
      </c>
      <c r="F129" s="1"/>
      <c r="G129" s="11" t="s">
        <v>28</v>
      </c>
      <c r="H129" s="26">
        <v>45750.0</v>
      </c>
      <c r="I129" s="16" t="s">
        <v>387</v>
      </c>
      <c r="J129" s="11" t="s">
        <v>25</v>
      </c>
      <c r="K129" s="1" t="b">
        <v>1</v>
      </c>
      <c r="L129" s="1" t="b">
        <v>0</v>
      </c>
      <c r="M129" s="5" t="b">
        <v>0</v>
      </c>
      <c r="N129" s="5" t="b">
        <v>0</v>
      </c>
      <c r="O129" s="5" t="b">
        <v>0</v>
      </c>
      <c r="P129" s="1" t="b">
        <v>1</v>
      </c>
      <c r="Q129" s="1" t="s">
        <v>388</v>
      </c>
      <c r="R129" s="5"/>
      <c r="S129" s="5"/>
      <c r="T129" s="5"/>
      <c r="U129" s="5"/>
      <c r="V129" s="5"/>
      <c r="W129" s="5"/>
      <c r="X129" s="5"/>
      <c r="Y129" s="5"/>
      <c r="Z129" s="5"/>
    </row>
    <row r="130" hidden="1">
      <c r="A130" s="5"/>
      <c r="B130" s="2"/>
      <c r="C130" s="26">
        <v>45720.0</v>
      </c>
      <c r="D130" s="13" t="s">
        <v>389</v>
      </c>
      <c r="E130" s="5"/>
      <c r="F130" s="5"/>
      <c r="G130" s="11" t="s">
        <v>28</v>
      </c>
      <c r="H130" s="26">
        <v>45726.0</v>
      </c>
      <c r="I130" s="16" t="s">
        <v>390</v>
      </c>
      <c r="J130" s="11" t="s">
        <v>25</v>
      </c>
      <c r="K130" s="1" t="b">
        <v>1</v>
      </c>
      <c r="L130" s="1" t="b">
        <v>1</v>
      </c>
      <c r="M130" s="1" t="b">
        <v>1</v>
      </c>
      <c r="N130" s="5" t="b">
        <v>0</v>
      </c>
      <c r="O130" s="5" t="b">
        <v>0</v>
      </c>
      <c r="P130" s="1" t="b"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idden="1">
      <c r="A131" s="5"/>
      <c r="B131" s="2"/>
      <c r="C131" s="26">
        <v>45706.0</v>
      </c>
      <c r="D131" s="13" t="s">
        <v>391</v>
      </c>
      <c r="E131" s="5"/>
      <c r="F131" s="5"/>
      <c r="G131" s="11" t="s">
        <v>28</v>
      </c>
      <c r="H131" s="43"/>
      <c r="I131" s="16" t="s">
        <v>392</v>
      </c>
      <c r="J131" s="11" t="s">
        <v>25</v>
      </c>
      <c r="K131" s="1" t="b">
        <v>0</v>
      </c>
      <c r="L131" s="1" t="b">
        <v>0</v>
      </c>
      <c r="M131" s="5" t="b">
        <v>0</v>
      </c>
      <c r="N131" s="5" t="b">
        <v>0</v>
      </c>
      <c r="O131" s="5" t="b">
        <v>0</v>
      </c>
      <c r="P131" s="1" t="b"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idden="1">
      <c r="A132" s="5"/>
      <c r="B132" s="2"/>
      <c r="C132" s="26"/>
      <c r="D132" s="13" t="s">
        <v>393</v>
      </c>
      <c r="E132" s="1"/>
      <c r="F132" s="1"/>
      <c r="G132" s="11"/>
      <c r="H132" s="43"/>
      <c r="I132" s="16" t="s">
        <v>394</v>
      </c>
      <c r="J132" s="11" t="s">
        <v>25</v>
      </c>
      <c r="K132" s="1" t="b">
        <v>1</v>
      </c>
      <c r="L132" s="1" t="b">
        <v>1</v>
      </c>
      <c r="M132" s="1" t="b">
        <v>1</v>
      </c>
      <c r="N132" s="5" t="b">
        <v>0</v>
      </c>
      <c r="O132" s="5" t="b">
        <v>0</v>
      </c>
      <c r="P132" s="1" t="b"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idden="1">
      <c r="A133" s="5"/>
      <c r="B133" s="2"/>
      <c r="C133" s="26">
        <v>45707.0</v>
      </c>
      <c r="D133" s="13" t="s">
        <v>395</v>
      </c>
      <c r="E133" s="1"/>
      <c r="F133" s="1"/>
      <c r="G133" s="11" t="s">
        <v>23</v>
      </c>
      <c r="H133" s="43"/>
      <c r="I133" s="16" t="s">
        <v>396</v>
      </c>
      <c r="J133" s="11" t="s">
        <v>173</v>
      </c>
      <c r="K133" s="1" t="b">
        <v>1</v>
      </c>
      <c r="L133" s="1" t="b">
        <v>0</v>
      </c>
      <c r="M133" s="5" t="b">
        <v>0</v>
      </c>
      <c r="N133" s="5" t="b">
        <v>0</v>
      </c>
      <c r="O133" s="5" t="b">
        <v>0</v>
      </c>
      <c r="P133" s="1" t="b"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idden="1">
      <c r="A134" s="5"/>
      <c r="B134" s="2"/>
      <c r="C134" s="26"/>
      <c r="D134" s="13" t="s">
        <v>397</v>
      </c>
      <c r="E134" s="1"/>
      <c r="F134" s="1"/>
      <c r="G134" s="11"/>
      <c r="H134" s="43"/>
      <c r="I134" s="16" t="s">
        <v>398</v>
      </c>
      <c r="J134" s="11" t="s">
        <v>25</v>
      </c>
      <c r="K134" s="1" t="b">
        <v>1</v>
      </c>
      <c r="L134" s="1" t="b">
        <v>0</v>
      </c>
      <c r="M134" s="5" t="b">
        <v>0</v>
      </c>
      <c r="N134" s="5" t="b">
        <v>0</v>
      </c>
      <c r="O134" s="1" t="b">
        <v>1</v>
      </c>
      <c r="P134" s="1" t="b">
        <v>1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idden="1">
      <c r="A135" s="5"/>
      <c r="B135" s="2"/>
      <c r="C135" s="26">
        <v>45707.0</v>
      </c>
      <c r="D135" s="13" t="s">
        <v>399</v>
      </c>
      <c r="E135" s="1" t="s">
        <v>400</v>
      </c>
      <c r="F135" s="1"/>
      <c r="G135" s="11" t="s">
        <v>28</v>
      </c>
      <c r="H135" s="26">
        <v>45763.0</v>
      </c>
      <c r="I135" s="16" t="s">
        <v>401</v>
      </c>
      <c r="J135" s="11" t="s">
        <v>25</v>
      </c>
      <c r="K135" s="1" t="b">
        <v>1</v>
      </c>
      <c r="L135" s="1" t="b">
        <v>1</v>
      </c>
      <c r="M135" s="5" t="b">
        <v>0</v>
      </c>
      <c r="N135" s="5" t="b">
        <v>0</v>
      </c>
      <c r="O135" s="5" t="b">
        <v>0</v>
      </c>
      <c r="P135" s="1" t="b">
        <v>0</v>
      </c>
      <c r="Q135" s="1" t="s">
        <v>402</v>
      </c>
      <c r="R135" s="5"/>
      <c r="S135" s="5"/>
      <c r="T135" s="5"/>
      <c r="U135" s="5"/>
      <c r="V135" s="5"/>
      <c r="W135" s="5"/>
      <c r="X135" s="5"/>
      <c r="Y135" s="5"/>
      <c r="Z135" s="5"/>
    </row>
    <row r="136" hidden="1">
      <c r="A136" s="5"/>
      <c r="B136" s="2"/>
      <c r="C136" s="26">
        <v>45727.0</v>
      </c>
      <c r="D136" s="13" t="s">
        <v>403</v>
      </c>
      <c r="E136" s="1" t="s">
        <v>404</v>
      </c>
      <c r="F136" s="1"/>
      <c r="G136" s="11" t="s">
        <v>23</v>
      </c>
      <c r="H136" s="11" t="s">
        <v>405</v>
      </c>
      <c r="I136" s="16" t="s">
        <v>406</v>
      </c>
      <c r="J136" s="11" t="s">
        <v>173</v>
      </c>
      <c r="K136" s="1" t="b">
        <v>0</v>
      </c>
      <c r="L136" s="1" t="b">
        <v>0</v>
      </c>
      <c r="M136" s="5" t="b">
        <v>0</v>
      </c>
      <c r="N136" s="5" t="b">
        <v>0</v>
      </c>
      <c r="O136" s="5" t="b">
        <v>0</v>
      </c>
      <c r="P136" s="1" t="b">
        <v>0</v>
      </c>
      <c r="Q136" s="1" t="s">
        <v>407</v>
      </c>
      <c r="R136" s="5"/>
      <c r="S136" s="5"/>
      <c r="T136" s="5"/>
      <c r="U136" s="5"/>
      <c r="V136" s="5"/>
      <c r="W136" s="5"/>
      <c r="X136" s="5"/>
      <c r="Y136" s="5"/>
      <c r="Z136" s="5"/>
    </row>
    <row r="137" hidden="1">
      <c r="A137" s="5"/>
      <c r="B137" s="2"/>
      <c r="C137" s="26">
        <v>45728.0</v>
      </c>
      <c r="D137" s="13" t="s">
        <v>408</v>
      </c>
      <c r="E137" s="1" t="s">
        <v>409</v>
      </c>
      <c r="F137" s="1"/>
      <c r="G137" s="11" t="s">
        <v>45</v>
      </c>
      <c r="H137" s="43"/>
      <c r="I137" s="16" t="s">
        <v>410</v>
      </c>
      <c r="J137" s="11" t="s">
        <v>25</v>
      </c>
      <c r="K137" s="1" t="b">
        <v>1</v>
      </c>
      <c r="L137" s="1" t="b">
        <v>1</v>
      </c>
      <c r="M137" s="1" t="b">
        <v>1</v>
      </c>
      <c r="N137" s="5" t="b">
        <v>0</v>
      </c>
      <c r="O137" s="5" t="b">
        <v>0</v>
      </c>
      <c r="P137" s="1" t="b"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30.0" hidden="1" customHeight="1">
      <c r="A138" s="5"/>
      <c r="B138" s="11">
        <v>1.0</v>
      </c>
      <c r="C138" s="26">
        <v>45728.0</v>
      </c>
      <c r="D138" s="13" t="s">
        <v>408</v>
      </c>
      <c r="E138" s="1" t="s">
        <v>409</v>
      </c>
      <c r="F138" s="1">
        <v>7.1975134E8</v>
      </c>
      <c r="G138" s="11" t="s">
        <v>411</v>
      </c>
      <c r="H138" s="11" t="s">
        <v>412</v>
      </c>
      <c r="I138" s="16" t="s">
        <v>413</v>
      </c>
      <c r="J138" s="11" t="s">
        <v>25</v>
      </c>
      <c r="K138" s="1" t="b">
        <v>1</v>
      </c>
      <c r="L138" s="1" t="b">
        <v>0</v>
      </c>
      <c r="M138" s="5" t="b">
        <v>0</v>
      </c>
      <c r="N138" s="5" t="b">
        <v>0</v>
      </c>
      <c r="O138" s="1" t="b">
        <v>1</v>
      </c>
      <c r="P138" s="1" t="b">
        <v>1</v>
      </c>
      <c r="Q138" s="1"/>
      <c r="R138" s="5"/>
      <c r="S138" s="5"/>
      <c r="T138" s="5"/>
      <c r="U138" s="5"/>
      <c r="V138" s="5"/>
      <c r="W138" s="5"/>
      <c r="X138" s="5"/>
      <c r="Y138" s="5"/>
      <c r="Z138" s="5"/>
    </row>
    <row r="139" hidden="1">
      <c r="A139" s="5"/>
      <c r="B139" s="2"/>
      <c r="C139" s="26">
        <v>45730.0</v>
      </c>
      <c r="D139" s="13" t="s">
        <v>414</v>
      </c>
      <c r="E139" s="1" t="s">
        <v>415</v>
      </c>
      <c r="F139" s="1"/>
      <c r="G139" s="11" t="s">
        <v>28</v>
      </c>
      <c r="H139" s="43"/>
      <c r="I139" s="16" t="s">
        <v>416</v>
      </c>
      <c r="J139" s="11" t="s">
        <v>173</v>
      </c>
      <c r="K139" s="1" t="b">
        <v>1</v>
      </c>
      <c r="L139" s="1" t="b">
        <v>0</v>
      </c>
      <c r="M139" s="5" t="b">
        <v>0</v>
      </c>
      <c r="N139" s="5" t="b">
        <v>0</v>
      </c>
      <c r="O139" s="5" t="b">
        <v>0</v>
      </c>
      <c r="P139" s="1" t="b"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idden="1">
      <c r="A140" s="5"/>
      <c r="B140" s="2"/>
      <c r="C140" s="26">
        <v>45730.0</v>
      </c>
      <c r="D140" s="13" t="s">
        <v>417</v>
      </c>
      <c r="E140" s="1" t="s">
        <v>418</v>
      </c>
      <c r="F140" s="1"/>
      <c r="G140" s="11" t="s">
        <v>28</v>
      </c>
      <c r="H140" s="43"/>
      <c r="I140" s="16" t="s">
        <v>419</v>
      </c>
      <c r="J140" s="11" t="s">
        <v>233</v>
      </c>
      <c r="K140" s="1" t="b">
        <v>1</v>
      </c>
      <c r="L140" s="1" t="b">
        <v>0</v>
      </c>
      <c r="M140" s="5" t="b">
        <v>0</v>
      </c>
      <c r="N140" s="1" t="b">
        <v>1</v>
      </c>
      <c r="O140" s="5" t="b">
        <v>0</v>
      </c>
      <c r="P140" s="1" t="b">
        <v>0</v>
      </c>
      <c r="Q140" s="1" t="s">
        <v>420</v>
      </c>
      <c r="R140" s="5"/>
      <c r="S140" s="5"/>
      <c r="T140" s="5"/>
      <c r="U140" s="5"/>
      <c r="V140" s="5"/>
      <c r="W140" s="5"/>
      <c r="X140" s="5"/>
      <c r="Y140" s="5"/>
      <c r="Z140" s="5"/>
    </row>
    <row r="141" hidden="1">
      <c r="A141" s="5"/>
      <c r="B141" s="2"/>
      <c r="C141" s="26">
        <v>45731.0</v>
      </c>
      <c r="D141" s="13" t="s">
        <v>183</v>
      </c>
      <c r="E141" s="1" t="s">
        <v>184</v>
      </c>
      <c r="F141" s="1"/>
      <c r="G141" s="11" t="s">
        <v>45</v>
      </c>
      <c r="H141" s="43"/>
      <c r="I141" s="16" t="s">
        <v>421</v>
      </c>
      <c r="J141" s="11" t="s">
        <v>233</v>
      </c>
      <c r="K141" s="1" t="b">
        <v>1</v>
      </c>
      <c r="L141" s="1" t="b">
        <v>0</v>
      </c>
      <c r="M141" s="5" t="b">
        <v>0</v>
      </c>
      <c r="N141" s="5" t="b">
        <v>0</v>
      </c>
      <c r="O141" s="5" t="b">
        <v>0</v>
      </c>
      <c r="P141" s="1" t="b"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idden="1">
      <c r="A142" s="5"/>
      <c r="B142" s="2"/>
      <c r="C142" s="26">
        <v>45732.0</v>
      </c>
      <c r="D142" s="13" t="s">
        <v>422</v>
      </c>
      <c r="E142" s="1" t="s">
        <v>423</v>
      </c>
      <c r="F142" s="1"/>
      <c r="G142" s="11" t="s">
        <v>23</v>
      </c>
      <c r="H142" s="26">
        <v>45750.0</v>
      </c>
      <c r="I142" s="16" t="s">
        <v>424</v>
      </c>
      <c r="J142" s="11" t="s">
        <v>25</v>
      </c>
      <c r="K142" s="1" t="b">
        <v>1</v>
      </c>
      <c r="L142" s="1" t="b">
        <v>1</v>
      </c>
      <c r="M142" s="1" t="b">
        <v>1</v>
      </c>
      <c r="N142" s="5" t="b">
        <v>0</v>
      </c>
      <c r="O142" s="5" t="b">
        <v>0</v>
      </c>
      <c r="P142" s="1" t="b">
        <v>1</v>
      </c>
      <c r="Q142" s="1" t="s">
        <v>425</v>
      </c>
      <c r="R142" s="5"/>
      <c r="S142" s="5"/>
      <c r="T142" s="5"/>
      <c r="U142" s="5"/>
      <c r="V142" s="5"/>
      <c r="W142" s="5"/>
      <c r="X142" s="5"/>
      <c r="Y142" s="5"/>
      <c r="Z142" s="5"/>
    </row>
    <row r="143" hidden="1">
      <c r="A143" s="5"/>
      <c r="B143" s="2"/>
      <c r="C143" s="26">
        <v>45733.0</v>
      </c>
      <c r="D143" s="13" t="s">
        <v>426</v>
      </c>
      <c r="E143" s="5"/>
      <c r="F143" s="5"/>
      <c r="G143" s="11" t="s">
        <v>45</v>
      </c>
      <c r="H143" s="43"/>
      <c r="I143" s="16" t="s">
        <v>108</v>
      </c>
      <c r="J143" s="11" t="s">
        <v>25</v>
      </c>
      <c r="K143" s="1" t="b">
        <v>1</v>
      </c>
      <c r="L143" s="1" t="b">
        <v>0</v>
      </c>
      <c r="M143" s="5" t="b">
        <v>0</v>
      </c>
      <c r="N143" s="5" t="b">
        <v>0</v>
      </c>
      <c r="O143" s="1" t="b">
        <v>1</v>
      </c>
      <c r="P143" s="1" t="b">
        <v>1</v>
      </c>
      <c r="Q143" s="1" t="s">
        <v>427</v>
      </c>
      <c r="R143" s="5"/>
      <c r="S143" s="5"/>
      <c r="T143" s="5"/>
      <c r="U143" s="5"/>
      <c r="V143" s="5"/>
      <c r="W143" s="5"/>
      <c r="X143" s="5"/>
      <c r="Y143" s="5"/>
      <c r="Z143" s="5"/>
    </row>
    <row r="144" hidden="1">
      <c r="A144" s="5"/>
      <c r="B144" s="2"/>
      <c r="C144" s="26">
        <v>45741.0</v>
      </c>
      <c r="D144" s="13" t="s">
        <v>428</v>
      </c>
      <c r="E144" s="1" t="s">
        <v>429</v>
      </c>
      <c r="F144" s="1"/>
      <c r="G144" s="11" t="s">
        <v>23</v>
      </c>
      <c r="H144" s="43"/>
      <c r="I144" s="16" t="s">
        <v>430</v>
      </c>
      <c r="J144" s="11" t="s">
        <v>25</v>
      </c>
      <c r="K144" s="1" t="b">
        <v>1</v>
      </c>
      <c r="L144" s="1" t="b">
        <v>0</v>
      </c>
      <c r="M144" s="5" t="b">
        <v>0</v>
      </c>
      <c r="N144" s="5" t="b">
        <v>0</v>
      </c>
      <c r="O144" s="5" t="b">
        <v>0</v>
      </c>
      <c r="P144" s="1" t="b">
        <v>1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idden="1">
      <c r="A145" s="5"/>
      <c r="B145" s="2"/>
      <c r="C145" s="26">
        <v>45713.0</v>
      </c>
      <c r="D145" s="13" t="s">
        <v>431</v>
      </c>
      <c r="E145" s="5"/>
      <c r="F145" s="5"/>
      <c r="G145" s="11" t="s">
        <v>23</v>
      </c>
      <c r="H145" s="43"/>
      <c r="I145" s="7"/>
      <c r="J145" s="11" t="s">
        <v>173</v>
      </c>
      <c r="K145" s="1" t="b">
        <v>1</v>
      </c>
      <c r="L145" s="1" t="b">
        <v>0</v>
      </c>
      <c r="M145" s="5" t="b">
        <v>0</v>
      </c>
      <c r="N145" s="5" t="b">
        <v>0</v>
      </c>
      <c r="O145" s="5" t="b">
        <v>0</v>
      </c>
      <c r="P145" s="1" t="b"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idden="1">
      <c r="A146" s="5"/>
      <c r="B146" s="2"/>
      <c r="C146" s="26">
        <v>45741.0</v>
      </c>
      <c r="D146" s="58" t="s">
        <v>408</v>
      </c>
      <c r="E146" s="1" t="s">
        <v>111</v>
      </c>
      <c r="F146" s="1"/>
      <c r="G146" s="11" t="s">
        <v>28</v>
      </c>
      <c r="H146" s="11" t="s">
        <v>248</v>
      </c>
      <c r="I146" s="16" t="s">
        <v>432</v>
      </c>
      <c r="J146" s="11" t="s">
        <v>25</v>
      </c>
      <c r="K146" s="1" t="b">
        <v>1</v>
      </c>
      <c r="L146" s="1" t="b">
        <v>0</v>
      </c>
      <c r="M146" s="5" t="b">
        <v>0</v>
      </c>
      <c r="N146" s="5" t="b">
        <v>0</v>
      </c>
      <c r="O146" s="1" t="b">
        <v>1</v>
      </c>
      <c r="P146" s="1" t="b">
        <v>1</v>
      </c>
      <c r="Q146" s="1" t="s">
        <v>433</v>
      </c>
      <c r="R146" s="5"/>
      <c r="S146" s="5"/>
      <c r="T146" s="5"/>
      <c r="U146" s="5"/>
      <c r="V146" s="5"/>
      <c r="W146" s="5"/>
      <c r="X146" s="5"/>
      <c r="Y146" s="5"/>
      <c r="Z146" s="5"/>
    </row>
    <row r="147" hidden="1">
      <c r="A147" s="5"/>
      <c r="B147" s="2"/>
      <c r="C147" s="26">
        <v>45741.0</v>
      </c>
      <c r="D147" s="13" t="s">
        <v>72</v>
      </c>
      <c r="E147" s="1" t="s">
        <v>434</v>
      </c>
      <c r="F147" s="1"/>
      <c r="G147" s="11" t="s">
        <v>23</v>
      </c>
      <c r="H147" s="43"/>
      <c r="I147" s="16" t="s">
        <v>435</v>
      </c>
      <c r="J147" s="11" t="s">
        <v>25</v>
      </c>
      <c r="K147" s="1" t="b">
        <v>1</v>
      </c>
      <c r="L147" s="1" t="b">
        <v>0</v>
      </c>
      <c r="M147" s="5" t="b">
        <v>0</v>
      </c>
      <c r="N147" s="5" t="b">
        <v>0</v>
      </c>
      <c r="O147" s="5" t="b">
        <v>0</v>
      </c>
      <c r="P147" s="1" t="b">
        <v>1</v>
      </c>
      <c r="Q147" s="1" t="s">
        <v>436</v>
      </c>
      <c r="R147" s="5"/>
      <c r="S147" s="5"/>
      <c r="T147" s="5"/>
      <c r="U147" s="5"/>
      <c r="V147" s="5"/>
      <c r="W147" s="5"/>
      <c r="X147" s="5"/>
      <c r="Y147" s="5"/>
      <c r="Z147" s="5"/>
    </row>
    <row r="148" hidden="1">
      <c r="A148" s="5"/>
      <c r="B148" s="2"/>
      <c r="C148" s="26">
        <v>45741.0</v>
      </c>
      <c r="D148" s="58" t="s">
        <v>437</v>
      </c>
      <c r="E148" s="1"/>
      <c r="F148" s="1"/>
      <c r="G148" s="11" t="s">
        <v>23</v>
      </c>
      <c r="H148" s="11" t="s">
        <v>248</v>
      </c>
      <c r="I148" s="16" t="s">
        <v>438</v>
      </c>
      <c r="J148" s="11" t="s">
        <v>25</v>
      </c>
      <c r="K148" s="1" t="b">
        <v>1</v>
      </c>
      <c r="L148" s="1" t="b">
        <v>0</v>
      </c>
      <c r="M148" s="5" t="b">
        <v>0</v>
      </c>
      <c r="N148" s="5" t="b">
        <v>0</v>
      </c>
      <c r="O148" s="1" t="b">
        <v>1</v>
      </c>
      <c r="P148" s="1" t="b">
        <v>1</v>
      </c>
      <c r="Q148" s="1" t="s">
        <v>439</v>
      </c>
      <c r="R148" s="5"/>
      <c r="S148" s="5"/>
      <c r="T148" s="5"/>
      <c r="U148" s="5"/>
      <c r="V148" s="5"/>
      <c r="W148" s="5"/>
      <c r="X148" s="5"/>
      <c r="Y148" s="5"/>
      <c r="Z148" s="5"/>
    </row>
    <row r="149" hidden="1">
      <c r="A149" s="5"/>
      <c r="B149" s="2"/>
      <c r="C149" s="26">
        <v>45741.0</v>
      </c>
      <c r="D149" s="13" t="s">
        <v>440</v>
      </c>
      <c r="E149" s="1" t="s">
        <v>441</v>
      </c>
      <c r="F149" s="1"/>
      <c r="G149" s="11" t="s">
        <v>23</v>
      </c>
      <c r="H149" s="43"/>
      <c r="I149" s="16" t="s">
        <v>442</v>
      </c>
      <c r="J149" s="11" t="s">
        <v>173</v>
      </c>
      <c r="K149" s="1" t="b">
        <v>1</v>
      </c>
      <c r="L149" s="1" t="b">
        <v>0</v>
      </c>
      <c r="M149" s="5" t="b">
        <v>0</v>
      </c>
      <c r="N149" s="5" t="b">
        <v>0</v>
      </c>
      <c r="O149" s="5" t="b">
        <v>0</v>
      </c>
      <c r="P149" s="1" t="b">
        <v>0</v>
      </c>
      <c r="Q149" s="1" t="s">
        <v>443</v>
      </c>
      <c r="R149" s="5"/>
      <c r="S149" s="5"/>
      <c r="T149" s="5"/>
      <c r="U149" s="5"/>
      <c r="V149" s="5"/>
      <c r="W149" s="5"/>
      <c r="X149" s="5"/>
      <c r="Y149" s="5"/>
      <c r="Z149" s="5"/>
    </row>
    <row r="150" hidden="1">
      <c r="A150" s="5"/>
      <c r="B150" s="2"/>
      <c r="C150" s="26">
        <v>45741.0</v>
      </c>
      <c r="D150" s="13" t="s">
        <v>444</v>
      </c>
      <c r="E150" s="1" t="s">
        <v>445</v>
      </c>
      <c r="F150" s="1"/>
      <c r="G150" s="11" t="s">
        <v>28</v>
      </c>
      <c r="H150" s="43"/>
      <c r="I150" s="16" t="s">
        <v>446</v>
      </c>
      <c r="J150" s="11" t="s">
        <v>25</v>
      </c>
      <c r="K150" s="1" t="b">
        <v>1</v>
      </c>
      <c r="L150" s="1" t="b">
        <v>0</v>
      </c>
      <c r="M150" s="5" t="b">
        <v>0</v>
      </c>
      <c r="N150" s="5" t="b">
        <v>0</v>
      </c>
      <c r="O150" s="5" t="b">
        <v>0</v>
      </c>
      <c r="P150" s="1" t="b">
        <v>0</v>
      </c>
      <c r="Q150" s="1" t="s">
        <v>447</v>
      </c>
      <c r="R150" s="5"/>
      <c r="S150" s="5"/>
      <c r="T150" s="5"/>
      <c r="U150" s="5"/>
      <c r="V150" s="5"/>
      <c r="W150" s="5"/>
      <c r="X150" s="5"/>
      <c r="Y150" s="5"/>
      <c r="Z150" s="5"/>
    </row>
    <row r="151" hidden="1">
      <c r="A151" s="5"/>
      <c r="B151" s="2"/>
      <c r="C151" s="26">
        <v>45742.0</v>
      </c>
      <c r="D151" s="13" t="s">
        <v>448</v>
      </c>
      <c r="E151" s="1" t="s">
        <v>449</v>
      </c>
      <c r="F151" s="1"/>
      <c r="G151" s="11" t="s">
        <v>28</v>
      </c>
      <c r="H151" s="26">
        <v>45751.0</v>
      </c>
      <c r="I151" s="16" t="s">
        <v>450</v>
      </c>
      <c r="J151" s="11" t="s">
        <v>25</v>
      </c>
      <c r="K151" s="1" t="b">
        <v>0</v>
      </c>
      <c r="L151" s="1" t="b">
        <v>0</v>
      </c>
      <c r="M151" s="5" t="b">
        <v>0</v>
      </c>
      <c r="N151" s="5" t="b">
        <v>0</v>
      </c>
      <c r="O151" s="5" t="b">
        <v>0</v>
      </c>
      <c r="P151" s="1" t="b">
        <v>0</v>
      </c>
      <c r="Q151" s="1" t="s">
        <v>451</v>
      </c>
      <c r="R151" s="5"/>
      <c r="S151" s="5"/>
      <c r="T151" s="5"/>
      <c r="U151" s="5"/>
      <c r="V151" s="5"/>
      <c r="W151" s="5"/>
      <c r="X151" s="5"/>
      <c r="Y151" s="5"/>
      <c r="Z151" s="5"/>
    </row>
    <row r="152" hidden="1">
      <c r="A152" s="5"/>
      <c r="B152" s="2"/>
      <c r="C152" s="26">
        <v>45743.0</v>
      </c>
      <c r="D152" s="13" t="s">
        <v>452</v>
      </c>
      <c r="E152" s="1" t="s">
        <v>453</v>
      </c>
      <c r="F152" s="1"/>
      <c r="G152" s="11" t="s">
        <v>28</v>
      </c>
      <c r="H152" s="26">
        <v>45751.0</v>
      </c>
      <c r="I152" s="16" t="s">
        <v>454</v>
      </c>
      <c r="J152" s="11" t="s">
        <v>25</v>
      </c>
      <c r="K152" s="1" t="b">
        <v>1</v>
      </c>
      <c r="L152" s="1" t="b">
        <v>0</v>
      </c>
      <c r="M152" s="5"/>
      <c r="N152" s="5" t="b">
        <v>0</v>
      </c>
      <c r="O152" s="5" t="b">
        <v>0</v>
      </c>
      <c r="P152" s="1" t="b">
        <v>0</v>
      </c>
      <c r="Q152" s="1" t="s">
        <v>451</v>
      </c>
      <c r="R152" s="5"/>
      <c r="S152" s="5"/>
      <c r="T152" s="5"/>
      <c r="U152" s="5"/>
      <c r="V152" s="5"/>
      <c r="W152" s="5"/>
      <c r="X152" s="5"/>
      <c r="Y152" s="5"/>
      <c r="Z152" s="5"/>
    </row>
    <row r="153" hidden="1">
      <c r="A153" s="5"/>
      <c r="B153" s="2"/>
      <c r="C153" s="26">
        <v>45743.0</v>
      </c>
      <c r="D153" s="13" t="s">
        <v>455</v>
      </c>
      <c r="E153" s="1" t="s">
        <v>54</v>
      </c>
      <c r="F153" s="1"/>
      <c r="G153" s="11" t="s">
        <v>23</v>
      </c>
      <c r="H153" s="43"/>
      <c r="I153" s="16" t="s">
        <v>456</v>
      </c>
      <c r="J153" s="11" t="s">
        <v>233</v>
      </c>
      <c r="K153" s="1" t="b">
        <v>0</v>
      </c>
      <c r="L153" s="1" t="b">
        <v>0</v>
      </c>
      <c r="M153" s="5" t="b">
        <v>0</v>
      </c>
      <c r="N153" s="5" t="b">
        <v>0</v>
      </c>
      <c r="O153" s="5" t="b">
        <v>0</v>
      </c>
      <c r="P153" s="1" t="b">
        <v>0</v>
      </c>
      <c r="Q153" s="1" t="s">
        <v>381</v>
      </c>
      <c r="R153" s="5"/>
      <c r="S153" s="5"/>
      <c r="T153" s="5"/>
      <c r="U153" s="5"/>
      <c r="V153" s="5"/>
      <c r="W153" s="5"/>
      <c r="X153" s="5"/>
      <c r="Y153" s="5"/>
      <c r="Z153" s="5"/>
    </row>
    <row r="154" hidden="1">
      <c r="A154" s="5"/>
      <c r="B154" s="2"/>
      <c r="C154" s="26">
        <v>45743.0</v>
      </c>
      <c r="D154" s="13" t="s">
        <v>457</v>
      </c>
      <c r="E154" s="1" t="s">
        <v>458</v>
      </c>
      <c r="F154" s="1"/>
      <c r="G154" s="11" t="s">
        <v>45</v>
      </c>
      <c r="H154" s="43"/>
      <c r="I154" s="16" t="s">
        <v>459</v>
      </c>
      <c r="J154" s="11" t="s">
        <v>173</v>
      </c>
      <c r="K154" s="1" t="b">
        <v>0</v>
      </c>
      <c r="L154" s="1" t="b">
        <v>0</v>
      </c>
      <c r="M154" s="5" t="b">
        <v>0</v>
      </c>
      <c r="N154" s="5" t="b">
        <v>0</v>
      </c>
      <c r="O154" s="5" t="b">
        <v>0</v>
      </c>
      <c r="P154" s="1" t="b"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idden="1">
      <c r="A155" s="5"/>
      <c r="B155" s="2"/>
      <c r="C155" s="26">
        <v>45743.0</v>
      </c>
      <c r="D155" s="13" t="s">
        <v>460</v>
      </c>
      <c r="E155" s="5"/>
      <c r="F155" s="5"/>
      <c r="G155" s="11" t="s">
        <v>28</v>
      </c>
      <c r="H155" s="43"/>
      <c r="I155" s="7"/>
      <c r="J155" s="11" t="s">
        <v>173</v>
      </c>
      <c r="K155" s="1" t="b">
        <v>0</v>
      </c>
      <c r="L155" s="1" t="b">
        <v>0</v>
      </c>
      <c r="M155" s="5" t="b">
        <v>0</v>
      </c>
      <c r="N155" s="5" t="b">
        <v>0</v>
      </c>
      <c r="O155" s="5" t="b">
        <v>0</v>
      </c>
      <c r="P155" s="1" t="b">
        <v>0</v>
      </c>
      <c r="Q155" s="1" t="s">
        <v>461</v>
      </c>
      <c r="R155" s="5"/>
      <c r="S155" s="5"/>
      <c r="T155" s="5"/>
      <c r="U155" s="5"/>
      <c r="V155" s="5"/>
      <c r="W155" s="5"/>
      <c r="X155" s="5"/>
      <c r="Y155" s="5"/>
      <c r="Z155" s="5"/>
    </row>
    <row r="156" hidden="1">
      <c r="A156" s="5"/>
      <c r="B156" s="2"/>
      <c r="C156" s="26">
        <v>45747.0</v>
      </c>
      <c r="D156" s="13" t="s">
        <v>462</v>
      </c>
      <c r="E156" s="1" t="s">
        <v>463</v>
      </c>
      <c r="F156" s="1"/>
      <c r="G156" s="11" t="s">
        <v>28</v>
      </c>
      <c r="H156" s="43"/>
      <c r="I156" s="16" t="s">
        <v>464</v>
      </c>
      <c r="J156" s="11" t="s">
        <v>25</v>
      </c>
      <c r="K156" s="1" t="b">
        <v>0</v>
      </c>
      <c r="L156" s="1" t="b">
        <v>0</v>
      </c>
      <c r="M156" s="5" t="b">
        <v>0</v>
      </c>
      <c r="N156" s="5" t="b">
        <v>0</v>
      </c>
      <c r="O156" s="5" t="b">
        <v>0</v>
      </c>
      <c r="P156" s="1" t="b">
        <v>0</v>
      </c>
      <c r="Q156" s="1" t="s">
        <v>451</v>
      </c>
      <c r="R156" s="5"/>
      <c r="S156" s="5"/>
      <c r="T156" s="5"/>
      <c r="U156" s="5"/>
      <c r="V156" s="5"/>
      <c r="W156" s="5"/>
      <c r="X156" s="5"/>
      <c r="Y156" s="5"/>
      <c r="Z156" s="5"/>
    </row>
    <row r="157" hidden="1">
      <c r="A157" s="5"/>
      <c r="B157" s="2"/>
      <c r="C157" s="26">
        <v>45748.0</v>
      </c>
      <c r="D157" s="13" t="s">
        <v>465</v>
      </c>
      <c r="E157" s="1" t="s">
        <v>466</v>
      </c>
      <c r="F157" s="1"/>
      <c r="G157" s="11" t="s">
        <v>23</v>
      </c>
      <c r="H157" s="43"/>
      <c r="I157" s="16" t="s">
        <v>467</v>
      </c>
      <c r="J157" s="11" t="s">
        <v>233</v>
      </c>
      <c r="K157" s="1" t="b">
        <v>1</v>
      </c>
      <c r="L157" s="1" t="b">
        <v>0</v>
      </c>
      <c r="M157" s="5" t="b">
        <v>0</v>
      </c>
      <c r="N157" s="5" t="b">
        <v>0</v>
      </c>
      <c r="O157" s="5" t="b">
        <v>0</v>
      </c>
      <c r="P157" s="1" t="b">
        <v>0</v>
      </c>
      <c r="Q157" s="1" t="s">
        <v>468</v>
      </c>
      <c r="R157" s="5"/>
      <c r="S157" s="5"/>
      <c r="T157" s="5"/>
      <c r="U157" s="5"/>
      <c r="V157" s="5"/>
      <c r="W157" s="5"/>
      <c r="X157" s="5"/>
      <c r="Y157" s="5"/>
      <c r="Z157" s="5"/>
    </row>
    <row r="158" hidden="1">
      <c r="A158" s="5"/>
      <c r="B158" s="11">
        <v>2.0</v>
      </c>
      <c r="C158" s="26">
        <v>45748.0</v>
      </c>
      <c r="D158" s="13" t="s">
        <v>469</v>
      </c>
      <c r="E158" s="1" t="s">
        <v>470</v>
      </c>
      <c r="F158" s="1">
        <v>7.76151612E8</v>
      </c>
      <c r="G158" s="11" t="s">
        <v>45</v>
      </c>
      <c r="H158" s="43"/>
      <c r="I158" s="16" t="s">
        <v>471</v>
      </c>
      <c r="J158" s="11" t="s">
        <v>25</v>
      </c>
      <c r="K158" s="1" t="b">
        <v>1</v>
      </c>
      <c r="L158" s="1" t="b">
        <v>0</v>
      </c>
      <c r="M158" s="5" t="b">
        <v>0</v>
      </c>
      <c r="N158" s="5" t="b">
        <v>0</v>
      </c>
      <c r="O158" s="5" t="b">
        <v>0</v>
      </c>
      <c r="P158" s="1" t="b">
        <v>1</v>
      </c>
      <c r="Q158" s="1" t="s">
        <v>472</v>
      </c>
      <c r="R158" s="5"/>
      <c r="S158" s="5"/>
      <c r="T158" s="5"/>
      <c r="U158" s="5"/>
      <c r="V158" s="5"/>
      <c r="W158" s="5"/>
      <c r="X158" s="5"/>
      <c r="Y158" s="5"/>
      <c r="Z158" s="5"/>
    </row>
    <row r="159" hidden="1">
      <c r="A159" s="5"/>
      <c r="B159" s="2"/>
      <c r="C159" s="26">
        <v>45748.0</v>
      </c>
      <c r="D159" s="13" t="s">
        <v>473</v>
      </c>
      <c r="E159" s="5"/>
      <c r="F159" s="5"/>
      <c r="G159" s="11"/>
      <c r="H159" s="43"/>
      <c r="I159" s="16" t="s">
        <v>474</v>
      </c>
      <c r="J159" s="11" t="s">
        <v>25</v>
      </c>
      <c r="K159" s="1" t="b">
        <v>0</v>
      </c>
      <c r="L159" s="1" t="b">
        <v>0</v>
      </c>
      <c r="M159" s="5" t="b">
        <v>0</v>
      </c>
      <c r="N159" s="5" t="b">
        <v>0</v>
      </c>
      <c r="O159" s="5" t="b">
        <v>0</v>
      </c>
      <c r="P159" s="1" t="b">
        <v>0</v>
      </c>
      <c r="Q159" s="1" t="s">
        <v>475</v>
      </c>
      <c r="R159" s="5"/>
      <c r="S159" s="5"/>
      <c r="T159" s="5"/>
      <c r="U159" s="5"/>
      <c r="V159" s="5"/>
      <c r="W159" s="5"/>
      <c r="X159" s="5"/>
      <c r="Y159" s="5"/>
      <c r="Z159" s="5"/>
    </row>
    <row r="160" hidden="1">
      <c r="A160" s="5"/>
      <c r="B160" s="2"/>
      <c r="C160" s="26">
        <v>45748.0</v>
      </c>
      <c r="D160" s="13" t="s">
        <v>299</v>
      </c>
      <c r="E160" s="5"/>
      <c r="F160" s="5"/>
      <c r="G160" s="11" t="s">
        <v>28</v>
      </c>
      <c r="H160" s="43"/>
      <c r="I160" s="16" t="s">
        <v>476</v>
      </c>
      <c r="J160" s="11" t="s">
        <v>25</v>
      </c>
      <c r="K160" s="1" t="b">
        <v>1</v>
      </c>
      <c r="L160" s="1" t="b">
        <v>0</v>
      </c>
      <c r="M160" s="5" t="b">
        <v>0</v>
      </c>
      <c r="N160" s="5" t="b">
        <v>0</v>
      </c>
      <c r="O160" s="5" t="b">
        <v>0</v>
      </c>
      <c r="P160" s="1" t="b">
        <v>1</v>
      </c>
      <c r="Q160" s="1" t="s">
        <v>477</v>
      </c>
      <c r="R160" s="5"/>
      <c r="S160" s="5"/>
      <c r="T160" s="5"/>
      <c r="U160" s="5"/>
      <c r="V160" s="5"/>
      <c r="W160" s="5"/>
      <c r="X160" s="5"/>
      <c r="Y160" s="5"/>
      <c r="Z160" s="5"/>
    </row>
    <row r="161" hidden="1">
      <c r="A161" s="5"/>
      <c r="B161" s="2"/>
      <c r="C161" s="26">
        <v>45748.0</v>
      </c>
      <c r="D161" s="13" t="s">
        <v>478</v>
      </c>
      <c r="E161" s="5"/>
      <c r="F161" s="5"/>
      <c r="G161" s="11" t="s">
        <v>28</v>
      </c>
      <c r="H161" s="43"/>
      <c r="I161" s="16" t="s">
        <v>476</v>
      </c>
      <c r="J161" s="11" t="s">
        <v>25</v>
      </c>
      <c r="K161" s="1" t="b">
        <v>1</v>
      </c>
      <c r="L161" s="1" t="b">
        <v>0</v>
      </c>
      <c r="M161" s="5" t="b">
        <v>0</v>
      </c>
      <c r="N161" s="5" t="b">
        <v>0</v>
      </c>
      <c r="O161" s="5" t="b">
        <v>0</v>
      </c>
      <c r="P161" s="1" t="b">
        <v>1</v>
      </c>
      <c r="Q161" s="1" t="s">
        <v>479</v>
      </c>
      <c r="R161" s="5"/>
      <c r="S161" s="5"/>
      <c r="T161" s="5"/>
      <c r="U161" s="5"/>
      <c r="V161" s="5"/>
      <c r="W161" s="5"/>
      <c r="X161" s="5"/>
      <c r="Y161" s="5"/>
      <c r="Z161" s="5"/>
    </row>
    <row r="162" hidden="1">
      <c r="A162" s="5"/>
      <c r="B162" s="2"/>
      <c r="C162" s="26">
        <v>45748.0</v>
      </c>
      <c r="D162" s="58" t="s">
        <v>68</v>
      </c>
      <c r="E162" s="5"/>
      <c r="F162" s="5"/>
      <c r="G162" s="11" t="s">
        <v>28</v>
      </c>
      <c r="H162" s="43"/>
      <c r="I162" s="16" t="s">
        <v>480</v>
      </c>
      <c r="J162" s="11" t="s">
        <v>25</v>
      </c>
      <c r="K162" s="1" t="b">
        <v>1</v>
      </c>
      <c r="L162" s="1" t="b">
        <v>0</v>
      </c>
      <c r="M162" s="5" t="b">
        <v>0</v>
      </c>
      <c r="N162" s="5" t="b">
        <v>0</v>
      </c>
      <c r="O162" s="5" t="b">
        <v>0</v>
      </c>
      <c r="P162" s="1" t="b">
        <v>0</v>
      </c>
      <c r="Q162" s="1" t="s">
        <v>481</v>
      </c>
      <c r="R162" s="5"/>
      <c r="S162" s="5"/>
      <c r="T162" s="5"/>
      <c r="U162" s="5"/>
      <c r="V162" s="5"/>
      <c r="W162" s="5"/>
      <c r="X162" s="5"/>
      <c r="Y162" s="5"/>
      <c r="Z162" s="5"/>
    </row>
    <row r="163" hidden="1">
      <c r="A163" s="5"/>
      <c r="B163" s="2"/>
      <c r="C163" s="26">
        <v>45748.0</v>
      </c>
      <c r="D163" s="13" t="s">
        <v>482</v>
      </c>
      <c r="E163" s="1" t="s">
        <v>483</v>
      </c>
      <c r="F163" s="1"/>
      <c r="G163" s="11" t="s">
        <v>23</v>
      </c>
      <c r="H163" s="43"/>
      <c r="I163" s="16" t="s">
        <v>484</v>
      </c>
      <c r="J163" s="11" t="s">
        <v>173</v>
      </c>
      <c r="K163" s="1" t="b">
        <v>1</v>
      </c>
      <c r="L163" s="1" t="b">
        <v>0</v>
      </c>
      <c r="M163" s="5" t="b">
        <v>0</v>
      </c>
      <c r="N163" s="5" t="b">
        <v>0</v>
      </c>
      <c r="O163" s="5" t="b">
        <v>0</v>
      </c>
      <c r="P163" s="1" t="b"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idden="1">
      <c r="A164" s="5"/>
      <c r="B164" s="2"/>
      <c r="C164" s="26">
        <v>45748.0</v>
      </c>
      <c r="D164" s="13" t="s">
        <v>485</v>
      </c>
      <c r="E164" s="1" t="s">
        <v>486</v>
      </c>
      <c r="F164" s="1"/>
      <c r="G164" s="11" t="s">
        <v>28</v>
      </c>
      <c r="H164" s="43"/>
      <c r="I164" s="16" t="s">
        <v>487</v>
      </c>
      <c r="J164" s="11" t="s">
        <v>25</v>
      </c>
      <c r="K164" s="1" t="b">
        <v>1</v>
      </c>
      <c r="L164" s="1" t="b">
        <v>0</v>
      </c>
      <c r="M164" s="5" t="b">
        <v>0</v>
      </c>
      <c r="N164" s="5" t="b">
        <v>0</v>
      </c>
      <c r="O164" s="5" t="b">
        <v>0</v>
      </c>
      <c r="P164" s="1" t="b">
        <v>1</v>
      </c>
      <c r="Q164" s="1" t="s">
        <v>108</v>
      </c>
      <c r="R164" s="5"/>
      <c r="S164" s="5"/>
      <c r="T164" s="5"/>
      <c r="U164" s="5"/>
      <c r="V164" s="5"/>
      <c r="W164" s="5"/>
      <c r="X164" s="5"/>
      <c r="Y164" s="5"/>
      <c r="Z164" s="5"/>
    </row>
    <row r="165" hidden="1">
      <c r="A165" s="5"/>
      <c r="B165" s="2"/>
      <c r="C165" s="26">
        <v>45748.0</v>
      </c>
      <c r="D165" s="13" t="s">
        <v>488</v>
      </c>
      <c r="E165" s="1" t="s">
        <v>489</v>
      </c>
      <c r="F165" s="1"/>
      <c r="G165" s="11" t="s">
        <v>28</v>
      </c>
      <c r="H165" s="43"/>
      <c r="I165" s="16" t="s">
        <v>490</v>
      </c>
      <c r="J165" s="11" t="s">
        <v>25</v>
      </c>
      <c r="K165" s="1" t="b">
        <v>1</v>
      </c>
      <c r="L165" s="1" t="b">
        <v>0</v>
      </c>
      <c r="M165" s="5" t="b">
        <v>0</v>
      </c>
      <c r="N165" s="5" t="b">
        <v>0</v>
      </c>
      <c r="O165" s="5" t="b">
        <v>0</v>
      </c>
      <c r="P165" s="1" t="b">
        <v>1</v>
      </c>
      <c r="Q165" s="1" t="s">
        <v>491</v>
      </c>
      <c r="R165" s="5"/>
      <c r="S165" s="5"/>
      <c r="T165" s="5"/>
      <c r="U165" s="5"/>
      <c r="V165" s="5"/>
      <c r="W165" s="5"/>
      <c r="X165" s="5"/>
      <c r="Y165" s="5"/>
      <c r="Z165" s="5"/>
    </row>
    <row r="166" hidden="1">
      <c r="A166" s="5"/>
      <c r="B166" s="2"/>
      <c r="C166" s="26">
        <v>45748.0</v>
      </c>
      <c r="D166" s="13" t="s">
        <v>492</v>
      </c>
      <c r="E166" s="1" t="s">
        <v>493</v>
      </c>
      <c r="F166" s="1"/>
      <c r="G166" s="11" t="s">
        <v>28</v>
      </c>
      <c r="H166" s="43"/>
      <c r="I166" s="16" t="s">
        <v>494</v>
      </c>
      <c r="J166" s="11" t="s">
        <v>25</v>
      </c>
      <c r="K166" s="1" t="b">
        <v>1</v>
      </c>
      <c r="L166" s="1" t="b">
        <v>0</v>
      </c>
      <c r="M166" s="5" t="b">
        <v>0</v>
      </c>
      <c r="N166" s="5" t="b">
        <v>0</v>
      </c>
      <c r="O166" s="5" t="b">
        <v>0</v>
      </c>
      <c r="P166" s="1" t="b">
        <v>0</v>
      </c>
      <c r="Q166" s="1" t="s">
        <v>495</v>
      </c>
      <c r="R166" s="5"/>
      <c r="S166" s="5"/>
      <c r="T166" s="5"/>
      <c r="U166" s="5"/>
      <c r="V166" s="5"/>
      <c r="W166" s="5"/>
      <c r="X166" s="5"/>
      <c r="Y166" s="5"/>
      <c r="Z166" s="5"/>
    </row>
    <row r="167" hidden="1">
      <c r="A167" s="5"/>
      <c r="B167" s="2"/>
      <c r="C167" s="26">
        <v>45755.0</v>
      </c>
      <c r="D167" s="13" t="s">
        <v>414</v>
      </c>
      <c r="E167" s="1" t="s">
        <v>496</v>
      </c>
      <c r="F167" s="1"/>
      <c r="G167" s="11" t="s">
        <v>28</v>
      </c>
      <c r="H167" s="43"/>
      <c r="I167" s="16" t="s">
        <v>497</v>
      </c>
      <c r="J167" s="11" t="s">
        <v>25</v>
      </c>
      <c r="K167" s="1" t="b">
        <v>1</v>
      </c>
      <c r="L167" s="1" t="b">
        <v>1</v>
      </c>
      <c r="M167" s="1" t="b">
        <v>1</v>
      </c>
      <c r="N167" s="5" t="b">
        <v>0</v>
      </c>
      <c r="O167" s="1" t="b">
        <v>1</v>
      </c>
      <c r="P167" s="1" t="b">
        <v>1</v>
      </c>
      <c r="Q167" s="1"/>
      <c r="R167" s="5"/>
      <c r="S167" s="5"/>
      <c r="T167" s="5"/>
      <c r="U167" s="5"/>
      <c r="V167" s="5"/>
      <c r="W167" s="5"/>
      <c r="X167" s="5"/>
      <c r="Y167" s="5"/>
      <c r="Z167" s="5"/>
    </row>
    <row r="168" hidden="1">
      <c r="A168" s="5"/>
      <c r="B168" s="2"/>
      <c r="C168" s="26">
        <v>45755.0</v>
      </c>
      <c r="D168" s="13" t="s">
        <v>498</v>
      </c>
      <c r="E168" s="1"/>
      <c r="F168" s="1"/>
      <c r="G168" s="11" t="s">
        <v>23</v>
      </c>
      <c r="H168" s="43"/>
      <c r="I168" s="16" t="s">
        <v>499</v>
      </c>
      <c r="J168" s="11" t="s">
        <v>173</v>
      </c>
      <c r="K168" s="1" t="b">
        <v>1</v>
      </c>
      <c r="L168" s="1" t="b">
        <v>0</v>
      </c>
      <c r="M168" s="5" t="b">
        <v>0</v>
      </c>
      <c r="N168" s="5" t="b">
        <v>0</v>
      </c>
      <c r="O168" s="5" t="b">
        <v>0</v>
      </c>
      <c r="P168" s="1" t="b"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idden="1">
      <c r="A169" s="5"/>
      <c r="B169" s="2"/>
      <c r="C169" s="26">
        <v>45756.0</v>
      </c>
      <c r="D169" s="13" t="s">
        <v>500</v>
      </c>
      <c r="E169" s="1" t="s">
        <v>501</v>
      </c>
      <c r="F169" s="1"/>
      <c r="G169" s="11" t="s">
        <v>23</v>
      </c>
      <c r="H169" s="43"/>
      <c r="I169" s="16" t="s">
        <v>502</v>
      </c>
      <c r="J169" s="11" t="s">
        <v>173</v>
      </c>
      <c r="K169" s="1" t="b">
        <v>1</v>
      </c>
      <c r="L169" s="1" t="b">
        <v>0</v>
      </c>
      <c r="M169" s="5" t="b">
        <v>0</v>
      </c>
      <c r="N169" s="5" t="b">
        <v>0</v>
      </c>
      <c r="O169" s="5" t="b">
        <v>0</v>
      </c>
      <c r="P169" s="1" t="b">
        <v>0</v>
      </c>
      <c r="Q169" s="1" t="s">
        <v>468</v>
      </c>
      <c r="R169" s="5"/>
      <c r="S169" s="5"/>
      <c r="T169" s="5"/>
      <c r="U169" s="5"/>
      <c r="V169" s="5"/>
      <c r="W169" s="5"/>
      <c r="X169" s="5"/>
      <c r="Y169" s="5"/>
      <c r="Z169" s="5"/>
    </row>
    <row r="170" hidden="1">
      <c r="A170" s="5"/>
      <c r="B170" s="2"/>
      <c r="C170" s="26">
        <v>45748.0</v>
      </c>
      <c r="D170" s="13" t="s">
        <v>503</v>
      </c>
      <c r="E170" s="1" t="s">
        <v>504</v>
      </c>
      <c r="F170" s="1"/>
      <c r="G170" s="11" t="s">
        <v>23</v>
      </c>
      <c r="H170" s="43"/>
      <c r="I170" s="16" t="s">
        <v>505</v>
      </c>
      <c r="J170" s="11" t="s">
        <v>173</v>
      </c>
      <c r="K170" s="1" t="b">
        <v>1</v>
      </c>
      <c r="L170" s="1" t="b">
        <v>0</v>
      </c>
      <c r="M170" s="5" t="b">
        <v>0</v>
      </c>
      <c r="N170" s="5" t="b">
        <v>0</v>
      </c>
      <c r="O170" s="5" t="b">
        <v>0</v>
      </c>
      <c r="P170" s="1" t="b">
        <v>0</v>
      </c>
      <c r="Q170" s="1"/>
      <c r="R170" s="5"/>
      <c r="S170" s="5"/>
      <c r="T170" s="5"/>
      <c r="U170" s="5"/>
      <c r="V170" s="5"/>
      <c r="W170" s="5"/>
      <c r="X170" s="5"/>
      <c r="Y170" s="5"/>
      <c r="Z170" s="5"/>
    </row>
    <row r="171" hidden="1">
      <c r="A171" s="5"/>
      <c r="B171" s="2"/>
      <c r="C171" s="26">
        <v>45755.0</v>
      </c>
      <c r="D171" s="58" t="s">
        <v>506</v>
      </c>
      <c r="E171" s="1" t="s">
        <v>141</v>
      </c>
      <c r="F171" s="1"/>
      <c r="G171" s="11" t="s">
        <v>23</v>
      </c>
      <c r="H171" s="11"/>
      <c r="I171" s="16" t="s">
        <v>507</v>
      </c>
      <c r="J171" s="11" t="s">
        <v>25</v>
      </c>
      <c r="K171" s="1" t="b">
        <v>1</v>
      </c>
      <c r="L171" s="1" t="b">
        <v>1</v>
      </c>
      <c r="M171" s="5" t="b">
        <v>0</v>
      </c>
      <c r="N171" s="5" t="b">
        <v>0</v>
      </c>
      <c r="O171" s="5" t="b">
        <v>0</v>
      </c>
      <c r="P171" s="1" t="b">
        <v>0</v>
      </c>
      <c r="Q171" s="1" t="s">
        <v>508</v>
      </c>
      <c r="R171" s="5"/>
      <c r="S171" s="5"/>
      <c r="T171" s="5"/>
      <c r="U171" s="5"/>
      <c r="V171" s="5"/>
      <c r="W171" s="5"/>
      <c r="X171" s="5"/>
      <c r="Y171" s="5"/>
      <c r="Z171" s="5"/>
    </row>
    <row r="172" hidden="1">
      <c r="A172" s="5"/>
      <c r="B172" s="2"/>
      <c r="C172" s="26">
        <v>45755.0</v>
      </c>
      <c r="D172" s="58" t="s">
        <v>64</v>
      </c>
      <c r="E172" s="1" t="s">
        <v>65</v>
      </c>
      <c r="F172" s="1"/>
      <c r="G172" s="11" t="s">
        <v>23</v>
      </c>
      <c r="H172" s="11" t="s">
        <v>248</v>
      </c>
      <c r="I172" s="16" t="s">
        <v>509</v>
      </c>
      <c r="J172" s="11" t="s">
        <v>25</v>
      </c>
      <c r="K172" s="1" t="b">
        <v>1</v>
      </c>
      <c r="L172" s="1" t="b">
        <v>1</v>
      </c>
      <c r="M172" s="5" t="b">
        <v>0</v>
      </c>
      <c r="N172" s="5" t="b">
        <v>0</v>
      </c>
      <c r="O172" s="5" t="b">
        <v>0</v>
      </c>
      <c r="P172" s="1" t="b">
        <v>0</v>
      </c>
      <c r="Q172" s="1" t="s">
        <v>510</v>
      </c>
      <c r="R172" s="5"/>
      <c r="S172" s="5"/>
      <c r="T172" s="5"/>
      <c r="U172" s="5"/>
      <c r="V172" s="5"/>
      <c r="W172" s="5"/>
      <c r="X172" s="5"/>
      <c r="Y172" s="5"/>
      <c r="Z172" s="5"/>
    </row>
    <row r="173" hidden="1">
      <c r="A173" s="5"/>
      <c r="B173" s="2"/>
      <c r="C173" s="26"/>
      <c r="D173" s="13" t="s">
        <v>511</v>
      </c>
      <c r="E173" s="1" t="s">
        <v>512</v>
      </c>
      <c r="F173" s="1"/>
      <c r="G173" s="11" t="s">
        <v>23</v>
      </c>
      <c r="H173" s="43"/>
      <c r="I173" s="16" t="s">
        <v>513</v>
      </c>
      <c r="J173" s="11" t="s">
        <v>25</v>
      </c>
      <c r="K173" s="1" t="b">
        <v>0</v>
      </c>
      <c r="L173" s="1" t="b">
        <v>0</v>
      </c>
      <c r="M173" s="5" t="b">
        <v>0</v>
      </c>
      <c r="N173" s="5" t="b">
        <v>0</v>
      </c>
      <c r="O173" s="5" t="b">
        <v>0</v>
      </c>
      <c r="P173" s="1" t="b"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31.5" hidden="1" customHeight="1">
      <c r="A174" s="5"/>
      <c r="B174" s="11">
        <v>3.0</v>
      </c>
      <c r="C174" s="26">
        <v>45756.0</v>
      </c>
      <c r="D174" s="13" t="s">
        <v>514</v>
      </c>
      <c r="E174" s="1" t="s">
        <v>515</v>
      </c>
      <c r="F174" s="1">
        <v>7.80661516E8</v>
      </c>
      <c r="G174" s="11" t="s">
        <v>28</v>
      </c>
      <c r="H174" s="43"/>
      <c r="I174" s="16" t="s">
        <v>1031</v>
      </c>
      <c r="J174" s="11" t="s">
        <v>739</v>
      </c>
      <c r="K174" s="1" t="b">
        <v>0</v>
      </c>
      <c r="L174" s="1" t="b">
        <v>1</v>
      </c>
      <c r="M174" s="1" t="b">
        <v>1</v>
      </c>
      <c r="N174" s="5" t="b">
        <v>0</v>
      </c>
      <c r="O174" s="5" t="b">
        <v>0</v>
      </c>
      <c r="P174" s="1" t="b">
        <v>0</v>
      </c>
      <c r="Q174" s="1" t="s">
        <v>517</v>
      </c>
      <c r="R174" s="5"/>
      <c r="S174" s="5"/>
      <c r="T174" s="5"/>
      <c r="U174" s="5"/>
      <c r="V174" s="5"/>
      <c r="W174" s="5"/>
      <c r="X174" s="5"/>
      <c r="Y174" s="5"/>
      <c r="Z174" s="5"/>
    </row>
    <row r="175" ht="22.5" hidden="1" customHeight="1">
      <c r="A175" s="5"/>
      <c r="B175" s="2"/>
      <c r="C175" s="26">
        <v>45806.0</v>
      </c>
      <c r="D175" s="13" t="s">
        <v>518</v>
      </c>
      <c r="E175" s="1"/>
      <c r="F175" s="1"/>
      <c r="G175" s="11" t="s">
        <v>23</v>
      </c>
      <c r="H175" s="43"/>
      <c r="I175" s="16" t="s">
        <v>519</v>
      </c>
      <c r="J175" s="11" t="s">
        <v>25</v>
      </c>
      <c r="K175" s="1" t="b">
        <v>1</v>
      </c>
      <c r="L175" s="1" t="b">
        <v>0</v>
      </c>
      <c r="M175" s="5" t="b">
        <v>0</v>
      </c>
      <c r="N175" s="5" t="b">
        <v>0</v>
      </c>
      <c r="O175" s="1" t="b">
        <v>1</v>
      </c>
      <c r="P175" s="1" t="b">
        <v>1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7.75" hidden="1" customHeight="1">
      <c r="A176" s="5"/>
      <c r="B176" s="2"/>
      <c r="C176" s="26">
        <v>45806.0</v>
      </c>
      <c r="D176" s="13" t="s">
        <v>520</v>
      </c>
      <c r="E176" s="1"/>
      <c r="F176" s="1"/>
      <c r="G176" s="11" t="s">
        <v>28</v>
      </c>
      <c r="H176" s="43"/>
      <c r="I176" s="16" t="s">
        <v>521</v>
      </c>
      <c r="J176" s="11" t="s">
        <v>25</v>
      </c>
      <c r="K176" s="1" t="b">
        <v>0</v>
      </c>
      <c r="L176" s="1" t="b">
        <v>0</v>
      </c>
      <c r="M176" s="5" t="b">
        <v>0</v>
      </c>
      <c r="N176" s="5" t="b">
        <v>0</v>
      </c>
      <c r="O176" s="5" t="b">
        <v>0</v>
      </c>
      <c r="P176" s="1" t="b"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9.5" hidden="1" customHeight="1">
      <c r="A177" s="5"/>
      <c r="B177" s="2"/>
      <c r="C177" s="26">
        <v>45824.0</v>
      </c>
      <c r="D177" s="13" t="s">
        <v>246</v>
      </c>
      <c r="E177" s="1"/>
      <c r="F177" s="1"/>
      <c r="G177" s="11" t="s">
        <v>28</v>
      </c>
      <c r="H177" s="11"/>
      <c r="I177" s="16" t="s">
        <v>522</v>
      </c>
      <c r="J177" s="11" t="s">
        <v>25</v>
      </c>
      <c r="K177" s="1" t="b">
        <v>1</v>
      </c>
      <c r="L177" s="1" t="b">
        <v>0</v>
      </c>
      <c r="M177" s="5" t="b">
        <v>0</v>
      </c>
      <c r="N177" s="5" t="b">
        <v>0</v>
      </c>
      <c r="O177" s="5" t="b">
        <v>0</v>
      </c>
      <c r="P177" s="1" t="b"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9.5" hidden="1" customHeight="1">
      <c r="A178" s="5"/>
      <c r="B178" s="2"/>
      <c r="C178" s="26">
        <v>45824.0</v>
      </c>
      <c r="D178" s="13" t="s">
        <v>523</v>
      </c>
      <c r="E178" s="1"/>
      <c r="F178" s="1"/>
      <c r="G178" s="11" t="s">
        <v>28</v>
      </c>
      <c r="H178" s="11"/>
      <c r="I178" s="16" t="s">
        <v>524</v>
      </c>
      <c r="J178" s="11" t="s">
        <v>25</v>
      </c>
      <c r="K178" s="1" t="b">
        <v>1</v>
      </c>
      <c r="L178" s="1" t="b">
        <v>0</v>
      </c>
      <c r="M178" s="5" t="b">
        <v>0</v>
      </c>
      <c r="N178" s="5" t="b">
        <v>0</v>
      </c>
      <c r="O178" s="5" t="b">
        <v>0</v>
      </c>
      <c r="P178" s="1" t="b"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7.75" hidden="1" customHeight="1">
      <c r="A179" s="5"/>
      <c r="B179" s="11">
        <v>4.0</v>
      </c>
      <c r="C179" s="26">
        <v>45824.0</v>
      </c>
      <c r="D179" s="13" t="s">
        <v>525</v>
      </c>
      <c r="E179" s="1"/>
      <c r="F179" s="1"/>
      <c r="G179" s="11" t="s">
        <v>28</v>
      </c>
      <c r="H179" s="11"/>
      <c r="I179" s="16" t="s">
        <v>526</v>
      </c>
      <c r="J179" s="11" t="s">
        <v>25</v>
      </c>
      <c r="K179" s="1" t="b">
        <v>1</v>
      </c>
      <c r="L179" s="1" t="b">
        <v>0</v>
      </c>
      <c r="M179" s="5" t="b">
        <v>0</v>
      </c>
      <c r="N179" s="5" t="b">
        <v>0</v>
      </c>
      <c r="O179" s="5" t="b">
        <v>0</v>
      </c>
      <c r="P179" s="1" t="b">
        <v>1</v>
      </c>
      <c r="Q179" s="1" t="s">
        <v>527</v>
      </c>
      <c r="R179" s="5"/>
      <c r="S179" s="5"/>
      <c r="T179" s="5"/>
      <c r="U179" s="5"/>
      <c r="V179" s="5"/>
      <c r="W179" s="5"/>
      <c r="X179" s="5"/>
      <c r="Y179" s="5"/>
      <c r="Z179" s="5"/>
    </row>
    <row r="180" ht="19.5" hidden="1" customHeight="1">
      <c r="A180" s="5"/>
      <c r="B180" s="2"/>
      <c r="C180" s="26">
        <v>45824.0</v>
      </c>
      <c r="D180" s="13" t="s">
        <v>528</v>
      </c>
      <c r="E180" s="1" t="s">
        <v>529</v>
      </c>
      <c r="F180" s="1"/>
      <c r="G180" s="11" t="s">
        <v>28</v>
      </c>
      <c r="H180" s="11" t="s">
        <v>530</v>
      </c>
      <c r="I180" s="16" t="s">
        <v>531</v>
      </c>
      <c r="J180" s="11" t="s">
        <v>25</v>
      </c>
      <c r="K180" s="1" t="b">
        <v>1</v>
      </c>
      <c r="L180" s="1" t="b">
        <v>0</v>
      </c>
      <c r="M180" s="5" t="b">
        <v>0</v>
      </c>
      <c r="N180" s="5" t="b">
        <v>0</v>
      </c>
      <c r="O180" s="5" t="b">
        <v>0</v>
      </c>
      <c r="P180" s="1" t="b">
        <v>0</v>
      </c>
      <c r="Q180" s="1" t="s">
        <v>532</v>
      </c>
      <c r="R180" s="5"/>
      <c r="S180" s="5"/>
      <c r="T180" s="5"/>
      <c r="U180" s="5"/>
      <c r="V180" s="5"/>
      <c r="W180" s="5"/>
      <c r="X180" s="5"/>
      <c r="Y180" s="5"/>
      <c r="Z180" s="5"/>
    </row>
    <row r="181" ht="19.5" hidden="1" customHeight="1">
      <c r="A181" s="5"/>
      <c r="B181" s="2"/>
      <c r="C181" s="26">
        <v>45824.0</v>
      </c>
      <c r="D181" s="13" t="s">
        <v>533</v>
      </c>
      <c r="E181" s="1" t="s">
        <v>534</v>
      </c>
      <c r="F181" s="1"/>
      <c r="G181" s="11" t="s">
        <v>45</v>
      </c>
      <c r="H181" s="11"/>
      <c r="I181" s="16" t="s">
        <v>535</v>
      </c>
      <c r="J181" s="11" t="s">
        <v>25</v>
      </c>
      <c r="K181" s="1" t="b">
        <v>1</v>
      </c>
      <c r="L181" s="1" t="b">
        <v>0</v>
      </c>
      <c r="M181" s="5" t="b">
        <v>0</v>
      </c>
      <c r="N181" s="5" t="b">
        <v>0</v>
      </c>
      <c r="O181" s="5" t="b">
        <v>0</v>
      </c>
      <c r="P181" s="1" t="b">
        <v>1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9.5" hidden="1" customHeight="1">
      <c r="A182" s="5"/>
      <c r="B182" s="2"/>
      <c r="C182" s="26">
        <v>45824.0</v>
      </c>
      <c r="D182" s="13" t="s">
        <v>536</v>
      </c>
      <c r="E182" s="1" t="s">
        <v>537</v>
      </c>
      <c r="F182" s="1"/>
      <c r="G182" s="11" t="s">
        <v>45</v>
      </c>
      <c r="H182" s="45">
        <v>45843.0</v>
      </c>
      <c r="I182" s="16" t="s">
        <v>538</v>
      </c>
      <c r="J182" s="11" t="s">
        <v>173</v>
      </c>
      <c r="K182" s="1" t="b">
        <v>1</v>
      </c>
      <c r="L182" s="1" t="b">
        <v>0</v>
      </c>
      <c r="M182" s="5" t="b">
        <v>0</v>
      </c>
      <c r="N182" s="5" t="b">
        <v>0</v>
      </c>
      <c r="O182" s="5" t="b">
        <v>0</v>
      </c>
      <c r="P182" s="1" t="b">
        <v>0</v>
      </c>
      <c r="Q182" s="1" t="s">
        <v>539</v>
      </c>
      <c r="R182" s="5"/>
      <c r="S182" s="5"/>
      <c r="T182" s="5"/>
      <c r="U182" s="5"/>
      <c r="V182" s="5"/>
      <c r="W182" s="5"/>
      <c r="X182" s="5"/>
      <c r="Y182" s="5"/>
      <c r="Z182" s="5"/>
    </row>
    <row r="183" ht="19.5" hidden="1" customHeight="1">
      <c r="A183" s="5"/>
      <c r="B183" s="2"/>
      <c r="C183" s="26">
        <v>45840.0</v>
      </c>
      <c r="D183" s="13" t="s">
        <v>540</v>
      </c>
      <c r="E183" s="1" t="s">
        <v>541</v>
      </c>
      <c r="F183" s="1"/>
      <c r="G183" s="11" t="s">
        <v>28</v>
      </c>
      <c r="H183" s="45"/>
      <c r="I183" s="16" t="s">
        <v>542</v>
      </c>
      <c r="J183" s="11" t="s">
        <v>233</v>
      </c>
      <c r="K183" s="1" t="b">
        <v>1</v>
      </c>
      <c r="L183" s="1" t="b">
        <v>0</v>
      </c>
      <c r="M183" s="5" t="b">
        <v>0</v>
      </c>
      <c r="N183" s="5" t="b">
        <v>0</v>
      </c>
      <c r="O183" s="5" t="b">
        <v>0</v>
      </c>
      <c r="P183" s="1" t="b">
        <v>0</v>
      </c>
      <c r="Q183" s="1" t="s">
        <v>543</v>
      </c>
      <c r="R183" s="5"/>
      <c r="S183" s="5"/>
      <c r="T183" s="5"/>
      <c r="U183" s="5"/>
      <c r="V183" s="5"/>
      <c r="W183" s="5"/>
      <c r="X183" s="5"/>
      <c r="Y183" s="5"/>
      <c r="Z183" s="5"/>
    </row>
    <row r="184" ht="19.5" hidden="1" customHeight="1">
      <c r="A184" s="5"/>
      <c r="B184" s="11">
        <v>5.0</v>
      </c>
      <c r="C184" s="26">
        <v>45845.0</v>
      </c>
      <c r="D184" s="13" t="s">
        <v>72</v>
      </c>
      <c r="E184" s="1"/>
      <c r="F184" s="1"/>
      <c r="G184" s="11" t="s">
        <v>28</v>
      </c>
      <c r="H184" s="45"/>
      <c r="I184" s="16" t="s">
        <v>544</v>
      </c>
      <c r="J184" s="11" t="s">
        <v>25</v>
      </c>
      <c r="K184" s="1" t="b">
        <v>1</v>
      </c>
      <c r="L184" s="1" t="b">
        <v>0</v>
      </c>
      <c r="M184" s="5" t="b">
        <v>0</v>
      </c>
      <c r="N184" s="5" t="b">
        <v>0</v>
      </c>
      <c r="O184" s="5" t="b">
        <v>0</v>
      </c>
      <c r="P184" s="1" t="b">
        <v>1</v>
      </c>
      <c r="Q184" s="1" t="s">
        <v>545</v>
      </c>
      <c r="R184" s="5"/>
      <c r="S184" s="5"/>
      <c r="T184" s="5"/>
      <c r="U184" s="5"/>
      <c r="V184" s="5"/>
      <c r="W184" s="5"/>
      <c r="X184" s="5"/>
      <c r="Y184" s="5"/>
      <c r="Z184" s="5"/>
    </row>
    <row r="185" ht="19.5" hidden="1" customHeight="1">
      <c r="A185" s="5"/>
      <c r="B185" s="11">
        <v>6.0</v>
      </c>
      <c r="C185" s="26">
        <v>45846.0</v>
      </c>
      <c r="D185" s="13" t="s">
        <v>546</v>
      </c>
      <c r="E185" s="1" t="s">
        <v>547</v>
      </c>
      <c r="F185" s="1"/>
      <c r="G185" s="11" t="s">
        <v>28</v>
      </c>
      <c r="H185" s="45"/>
      <c r="I185" s="16" t="s">
        <v>548</v>
      </c>
      <c r="J185" s="11" t="s">
        <v>25</v>
      </c>
      <c r="K185" s="1" t="b">
        <v>0</v>
      </c>
      <c r="L185" s="1" t="b">
        <v>0</v>
      </c>
      <c r="M185" s="5" t="b">
        <v>0</v>
      </c>
      <c r="N185" s="5" t="b">
        <v>0</v>
      </c>
      <c r="O185" s="5" t="b">
        <v>0</v>
      </c>
      <c r="P185" s="1" t="b">
        <v>0</v>
      </c>
      <c r="Q185" s="1" t="s">
        <v>549</v>
      </c>
      <c r="R185" s="5"/>
      <c r="S185" s="5"/>
      <c r="T185" s="5"/>
      <c r="U185" s="5"/>
      <c r="V185" s="5"/>
      <c r="W185" s="5"/>
      <c r="X185" s="5"/>
      <c r="Y185" s="5"/>
      <c r="Z185" s="5"/>
    </row>
    <row r="186" ht="19.5" hidden="1" customHeight="1">
      <c r="A186" s="5"/>
      <c r="B186" s="11">
        <v>7.0</v>
      </c>
      <c r="C186" s="26">
        <v>45846.0</v>
      </c>
      <c r="D186" s="13" t="s">
        <v>227</v>
      </c>
      <c r="E186" s="1" t="s">
        <v>550</v>
      </c>
      <c r="F186" s="1"/>
      <c r="G186" s="11" t="s">
        <v>28</v>
      </c>
      <c r="H186" s="45"/>
      <c r="I186" s="16" t="s">
        <v>551</v>
      </c>
      <c r="J186" s="11" t="s">
        <v>25</v>
      </c>
      <c r="K186" s="1" t="b">
        <v>1</v>
      </c>
      <c r="L186" s="1" t="b">
        <v>0</v>
      </c>
      <c r="M186" s="5" t="b">
        <v>0</v>
      </c>
      <c r="N186" s="5" t="b">
        <v>0</v>
      </c>
      <c r="O186" s="1" t="b">
        <v>1</v>
      </c>
      <c r="P186" s="1" t="b">
        <v>1</v>
      </c>
      <c r="Q186" s="1" t="s">
        <v>552</v>
      </c>
      <c r="R186" s="5"/>
      <c r="S186" s="5"/>
      <c r="T186" s="5"/>
      <c r="U186" s="5"/>
      <c r="V186" s="5"/>
      <c r="W186" s="5"/>
      <c r="X186" s="5"/>
      <c r="Y186" s="5"/>
      <c r="Z186" s="5"/>
    </row>
    <row r="187" ht="19.5" hidden="1" customHeight="1">
      <c r="A187" s="5"/>
      <c r="B187" s="11">
        <v>8.0</v>
      </c>
      <c r="C187" s="26">
        <v>45846.0</v>
      </c>
      <c r="D187" s="13" t="s">
        <v>553</v>
      </c>
      <c r="E187" s="1" t="s">
        <v>166</v>
      </c>
      <c r="F187" s="1"/>
      <c r="G187" s="11" t="s">
        <v>28</v>
      </c>
      <c r="H187" s="45"/>
      <c r="I187" s="16" t="s">
        <v>554</v>
      </c>
      <c r="J187" s="11" t="s">
        <v>25</v>
      </c>
      <c r="K187" s="1" t="b">
        <v>1</v>
      </c>
      <c r="L187" s="1" t="b">
        <v>1</v>
      </c>
      <c r="M187" s="1" t="b">
        <v>1</v>
      </c>
      <c r="N187" s="5" t="b">
        <v>0</v>
      </c>
      <c r="O187" s="1" t="b">
        <v>1</v>
      </c>
      <c r="P187" s="1" t="b">
        <v>1</v>
      </c>
      <c r="Q187" s="1" t="s">
        <v>555</v>
      </c>
      <c r="R187" s="5"/>
      <c r="S187" s="5"/>
      <c r="T187" s="5"/>
      <c r="U187" s="5"/>
      <c r="V187" s="5"/>
      <c r="W187" s="5"/>
      <c r="X187" s="5"/>
      <c r="Y187" s="5"/>
      <c r="Z187" s="5"/>
    </row>
    <row r="188" ht="19.5" hidden="1" customHeight="1">
      <c r="A188" s="5"/>
      <c r="B188" s="11">
        <v>9.0</v>
      </c>
      <c r="C188" s="26">
        <v>45845.0</v>
      </c>
      <c r="D188" s="13" t="s">
        <v>556</v>
      </c>
      <c r="E188" s="1" t="s">
        <v>557</v>
      </c>
      <c r="F188" s="1">
        <v>7.7336614E8</v>
      </c>
      <c r="G188" s="11" t="s">
        <v>28</v>
      </c>
      <c r="H188" s="11" t="s">
        <v>558</v>
      </c>
      <c r="I188" s="16" t="s">
        <v>559</v>
      </c>
      <c r="J188" s="11" t="s">
        <v>25</v>
      </c>
      <c r="K188" s="1" t="b">
        <v>1</v>
      </c>
      <c r="L188" s="1" t="b">
        <v>0</v>
      </c>
      <c r="M188" s="5" t="b">
        <v>0</v>
      </c>
      <c r="N188" s="5" t="b">
        <v>0</v>
      </c>
      <c r="O188" s="5" t="b">
        <v>0</v>
      </c>
      <c r="P188" s="1" t="b">
        <v>1</v>
      </c>
      <c r="Q188" s="1"/>
      <c r="R188" s="5"/>
      <c r="S188" s="5"/>
      <c r="T188" s="5"/>
      <c r="U188" s="5"/>
      <c r="V188" s="5"/>
      <c r="W188" s="5"/>
      <c r="X188" s="5"/>
      <c r="Y188" s="5"/>
      <c r="Z188" s="5"/>
    </row>
    <row r="189" ht="19.5" hidden="1" customHeight="1">
      <c r="A189" s="5"/>
      <c r="B189" s="2"/>
      <c r="C189" s="26">
        <v>45847.0</v>
      </c>
      <c r="D189" s="13" t="s">
        <v>560</v>
      </c>
      <c r="E189" s="1"/>
      <c r="F189" s="1"/>
      <c r="G189" s="11" t="s">
        <v>28</v>
      </c>
      <c r="H189" s="45"/>
      <c r="I189" s="16" t="s">
        <v>561</v>
      </c>
      <c r="J189" s="11" t="s">
        <v>25</v>
      </c>
      <c r="K189" s="1" t="b">
        <v>1</v>
      </c>
      <c r="L189" s="1" t="b">
        <v>0</v>
      </c>
      <c r="M189" s="5" t="b">
        <v>0</v>
      </c>
      <c r="N189" s="1" t="b">
        <v>1</v>
      </c>
      <c r="O189" s="1" t="b">
        <v>1</v>
      </c>
      <c r="P189" s="1" t="b">
        <v>1</v>
      </c>
      <c r="Q189" s="1" t="s">
        <v>562</v>
      </c>
      <c r="R189" s="5"/>
      <c r="S189" s="5"/>
      <c r="T189" s="5"/>
      <c r="U189" s="5"/>
      <c r="V189" s="5"/>
      <c r="W189" s="5"/>
      <c r="X189" s="5"/>
      <c r="Y189" s="5"/>
      <c r="Z189" s="5"/>
    </row>
    <row r="190" ht="19.5" hidden="1" customHeight="1">
      <c r="A190" s="5"/>
      <c r="B190" s="11">
        <v>10.0</v>
      </c>
      <c r="C190" s="26">
        <v>45847.0</v>
      </c>
      <c r="D190" s="13" t="s">
        <v>563</v>
      </c>
      <c r="E190" s="1"/>
      <c r="F190" s="1"/>
      <c r="G190" s="11" t="s">
        <v>411</v>
      </c>
      <c r="H190" s="45"/>
      <c r="I190" s="16"/>
      <c r="J190" s="11" t="s">
        <v>173</v>
      </c>
      <c r="K190" s="1" t="b">
        <v>1</v>
      </c>
      <c r="L190" s="1" t="b">
        <v>0</v>
      </c>
      <c r="M190" s="5" t="b">
        <v>0</v>
      </c>
      <c r="N190" s="5" t="b">
        <v>0</v>
      </c>
      <c r="O190" s="5" t="b">
        <v>0</v>
      </c>
      <c r="P190" s="1" t="b">
        <v>0</v>
      </c>
      <c r="Q190" s="1" t="s">
        <v>564</v>
      </c>
      <c r="R190" s="5"/>
      <c r="S190" s="5"/>
      <c r="T190" s="5"/>
      <c r="U190" s="5"/>
      <c r="V190" s="5"/>
      <c r="W190" s="5"/>
      <c r="X190" s="5"/>
      <c r="Y190" s="5"/>
      <c r="Z190" s="5"/>
    </row>
    <row r="191" ht="19.5" hidden="1" customHeight="1">
      <c r="A191" s="5"/>
      <c r="B191" s="11">
        <v>11.0</v>
      </c>
      <c r="C191" s="26">
        <v>45847.0</v>
      </c>
      <c r="D191" s="13" t="s">
        <v>565</v>
      </c>
      <c r="E191" s="1" t="s">
        <v>566</v>
      </c>
      <c r="F191" s="1"/>
      <c r="G191" s="11" t="s">
        <v>28</v>
      </c>
      <c r="H191" s="45"/>
      <c r="I191" s="11" t="s">
        <v>567</v>
      </c>
      <c r="J191" s="11" t="s">
        <v>25</v>
      </c>
      <c r="K191" s="1" t="b">
        <v>1</v>
      </c>
      <c r="L191" s="1" t="b">
        <v>0</v>
      </c>
      <c r="M191" s="5" t="b">
        <v>0</v>
      </c>
      <c r="N191" s="5" t="b">
        <v>0</v>
      </c>
      <c r="O191" s="5" t="b">
        <v>0</v>
      </c>
      <c r="P191" s="1" t="b">
        <v>0</v>
      </c>
      <c r="Q191" s="1" t="s">
        <v>568</v>
      </c>
      <c r="R191" s="5"/>
      <c r="S191" s="5"/>
      <c r="T191" s="5"/>
      <c r="U191" s="5"/>
      <c r="V191" s="5"/>
      <c r="W191" s="5"/>
      <c r="X191" s="5"/>
      <c r="Y191" s="5"/>
      <c r="Z191" s="5"/>
    </row>
    <row r="192" ht="19.5" hidden="1" customHeight="1">
      <c r="A192" s="5"/>
      <c r="B192" s="11">
        <v>12.0</v>
      </c>
      <c r="C192" s="26">
        <v>45848.0</v>
      </c>
      <c r="D192" s="13" t="s">
        <v>569</v>
      </c>
      <c r="E192" s="1" t="s">
        <v>570</v>
      </c>
      <c r="F192" s="1">
        <v>7.10437001E8</v>
      </c>
      <c r="G192" s="11" t="s">
        <v>28</v>
      </c>
      <c r="H192" s="45"/>
      <c r="I192" s="11" t="s">
        <v>571</v>
      </c>
      <c r="J192" s="11" t="s">
        <v>25</v>
      </c>
      <c r="K192" s="1" t="b">
        <v>1</v>
      </c>
      <c r="L192" s="1" t="b">
        <v>0</v>
      </c>
      <c r="M192" s="5" t="b">
        <v>0</v>
      </c>
      <c r="N192" s="5" t="b">
        <v>0</v>
      </c>
      <c r="O192" s="5" t="b">
        <v>0</v>
      </c>
      <c r="P192" s="1" t="b">
        <v>0</v>
      </c>
      <c r="Q192" s="1" t="s">
        <v>572</v>
      </c>
      <c r="R192" s="5"/>
      <c r="S192" s="5"/>
      <c r="T192" s="5"/>
      <c r="U192" s="5"/>
      <c r="V192" s="5"/>
      <c r="W192" s="5"/>
      <c r="X192" s="5"/>
      <c r="Y192" s="5"/>
      <c r="Z192" s="5"/>
    </row>
    <row r="193" ht="19.5" hidden="1" customHeight="1">
      <c r="A193" s="5"/>
      <c r="B193" s="2"/>
      <c r="C193" s="26">
        <v>45852.0</v>
      </c>
      <c r="D193" s="13" t="s">
        <v>573</v>
      </c>
      <c r="E193" s="1"/>
      <c r="F193" s="1"/>
      <c r="G193" s="11" t="s">
        <v>411</v>
      </c>
      <c r="H193" s="45"/>
      <c r="I193" s="11" t="s">
        <v>574</v>
      </c>
      <c r="J193" s="11" t="s">
        <v>575</v>
      </c>
      <c r="K193" s="1" t="b">
        <v>1</v>
      </c>
      <c r="L193" s="1" t="b">
        <v>0</v>
      </c>
      <c r="M193" s="5" t="b">
        <v>0</v>
      </c>
      <c r="N193" s="5" t="b">
        <v>0</v>
      </c>
      <c r="O193" s="5" t="b">
        <v>0</v>
      </c>
      <c r="P193" s="1" t="b">
        <v>0</v>
      </c>
      <c r="Q193" s="1" t="s">
        <v>576</v>
      </c>
      <c r="R193" s="5"/>
      <c r="S193" s="5"/>
      <c r="T193" s="5"/>
      <c r="U193" s="5"/>
      <c r="V193" s="5"/>
      <c r="W193" s="5"/>
      <c r="X193" s="5"/>
      <c r="Y193" s="5"/>
      <c r="Z193" s="5"/>
    </row>
    <row r="194" ht="19.5" hidden="1" customHeight="1">
      <c r="A194" s="5"/>
      <c r="B194" s="2"/>
      <c r="C194" s="26">
        <v>45852.0</v>
      </c>
      <c r="D194" s="13" t="s">
        <v>577</v>
      </c>
      <c r="E194" s="1"/>
      <c r="F194" s="1"/>
      <c r="G194" s="11" t="s">
        <v>411</v>
      </c>
      <c r="H194" s="45"/>
      <c r="I194" s="11" t="s">
        <v>578</v>
      </c>
      <c r="J194" s="11" t="s">
        <v>173</v>
      </c>
      <c r="K194" s="1" t="b">
        <v>1</v>
      </c>
      <c r="L194" s="1" t="b">
        <v>1</v>
      </c>
      <c r="M194" s="5" t="b">
        <v>0</v>
      </c>
      <c r="N194" s="5" t="b">
        <v>0</v>
      </c>
      <c r="O194" s="5" t="b">
        <v>0</v>
      </c>
      <c r="P194" s="1" t="b">
        <v>0</v>
      </c>
      <c r="Q194" s="1" t="s">
        <v>579</v>
      </c>
      <c r="R194" s="5"/>
      <c r="S194" s="5"/>
      <c r="T194" s="5"/>
      <c r="U194" s="5"/>
      <c r="V194" s="5"/>
      <c r="W194" s="5"/>
      <c r="X194" s="5"/>
      <c r="Y194" s="5"/>
      <c r="Z194" s="5"/>
    </row>
    <row r="195" ht="19.5" hidden="1" customHeight="1">
      <c r="A195" s="5"/>
      <c r="B195" s="11">
        <v>13.0</v>
      </c>
      <c r="C195" s="26">
        <v>45853.0</v>
      </c>
      <c r="D195" s="13" t="s">
        <v>580</v>
      </c>
      <c r="E195" s="1" t="s">
        <v>581</v>
      </c>
      <c r="F195" s="1"/>
      <c r="G195" s="11" t="s">
        <v>411</v>
      </c>
      <c r="H195" s="45"/>
      <c r="I195" s="11" t="s">
        <v>582</v>
      </c>
      <c r="J195" s="11" t="s">
        <v>25</v>
      </c>
      <c r="K195" s="1" t="b">
        <v>1</v>
      </c>
      <c r="L195" s="1" t="b">
        <v>0</v>
      </c>
      <c r="M195" s="5" t="b">
        <v>0</v>
      </c>
      <c r="N195" s="5" t="b">
        <v>0</v>
      </c>
      <c r="O195" s="5" t="b">
        <v>0</v>
      </c>
      <c r="P195" s="1" t="b">
        <v>1</v>
      </c>
      <c r="Q195" s="1" t="s">
        <v>583</v>
      </c>
      <c r="R195" s="5"/>
      <c r="S195" s="5"/>
      <c r="T195" s="5"/>
      <c r="U195" s="5"/>
      <c r="V195" s="5"/>
      <c r="W195" s="5"/>
      <c r="X195" s="5"/>
      <c r="Y195" s="5"/>
      <c r="Z195" s="5"/>
    </row>
    <row r="196" ht="19.5" hidden="1" customHeight="1">
      <c r="A196" s="5"/>
      <c r="B196" s="2"/>
      <c r="C196" s="26">
        <v>45832.0</v>
      </c>
      <c r="D196" s="13" t="s">
        <v>584</v>
      </c>
      <c r="E196" s="1"/>
      <c r="F196" s="1"/>
      <c r="G196" s="11" t="s">
        <v>28</v>
      </c>
      <c r="H196" s="45"/>
      <c r="I196" s="16" t="s">
        <v>585</v>
      </c>
      <c r="J196" s="11" t="s">
        <v>25</v>
      </c>
      <c r="K196" s="1" t="b">
        <v>1</v>
      </c>
      <c r="L196" s="1" t="b">
        <v>0</v>
      </c>
      <c r="M196" s="5" t="b">
        <v>0</v>
      </c>
      <c r="N196" s="5" t="b">
        <v>0</v>
      </c>
      <c r="O196" s="5" t="b">
        <v>0</v>
      </c>
      <c r="P196" s="1" t="b">
        <v>1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9.5" hidden="1" customHeight="1">
      <c r="A197" s="5"/>
      <c r="B197" s="2"/>
      <c r="C197" s="26">
        <v>45832.0</v>
      </c>
      <c r="D197" s="13" t="s">
        <v>72</v>
      </c>
      <c r="E197" s="1"/>
      <c r="F197" s="1"/>
      <c r="G197" s="11" t="s">
        <v>28</v>
      </c>
      <c r="H197" s="45"/>
      <c r="I197" s="16" t="s">
        <v>586</v>
      </c>
      <c r="J197" s="11" t="s">
        <v>25</v>
      </c>
      <c r="K197" s="1" t="b">
        <v>0</v>
      </c>
      <c r="L197" s="1" t="b">
        <v>0</v>
      </c>
      <c r="M197" s="5" t="b">
        <v>0</v>
      </c>
      <c r="N197" s="5" t="b">
        <v>0</v>
      </c>
      <c r="O197" s="5" t="b">
        <v>0</v>
      </c>
      <c r="P197" s="1" t="b"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9.5" hidden="1" customHeight="1">
      <c r="A198" s="5"/>
      <c r="B198" s="2"/>
      <c r="C198" s="26">
        <v>45824.0</v>
      </c>
      <c r="D198" s="13" t="s">
        <v>76</v>
      </c>
      <c r="E198" s="1" t="s">
        <v>77</v>
      </c>
      <c r="F198" s="1"/>
      <c r="G198" s="11" t="s">
        <v>45</v>
      </c>
      <c r="H198" s="45">
        <v>45832.0</v>
      </c>
      <c r="I198" s="16" t="s">
        <v>587</v>
      </c>
      <c r="J198" s="11" t="s">
        <v>25</v>
      </c>
      <c r="K198" s="1" t="b">
        <v>1</v>
      </c>
      <c r="L198" s="1" t="b">
        <v>0</v>
      </c>
      <c r="M198" s="5" t="b">
        <v>0</v>
      </c>
      <c r="N198" s="5" t="b">
        <v>0</v>
      </c>
      <c r="O198" s="5" t="b">
        <v>0</v>
      </c>
      <c r="P198" s="1" t="b"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9.5" hidden="1" customHeight="1">
      <c r="A199" s="5"/>
      <c r="B199" s="2"/>
      <c r="C199" s="26">
        <v>45824.0</v>
      </c>
      <c r="D199" s="13" t="s">
        <v>588</v>
      </c>
      <c r="E199" s="1" t="s">
        <v>589</v>
      </c>
      <c r="F199" s="1"/>
      <c r="G199" s="11"/>
      <c r="H199" s="11"/>
      <c r="I199" s="16" t="s">
        <v>590</v>
      </c>
      <c r="J199" s="11" t="s">
        <v>25</v>
      </c>
      <c r="K199" s="1" t="b">
        <v>1</v>
      </c>
      <c r="L199" s="1" t="b">
        <v>0</v>
      </c>
      <c r="M199" s="5" t="b">
        <v>0</v>
      </c>
      <c r="N199" s="5" t="b">
        <v>0</v>
      </c>
      <c r="O199" s="5" t="b">
        <v>0</v>
      </c>
      <c r="P199" s="1" t="b"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9.5" hidden="1" customHeight="1">
      <c r="A200" s="5"/>
      <c r="B200" s="2"/>
      <c r="C200" s="26">
        <v>45824.0</v>
      </c>
      <c r="D200" s="13" t="s">
        <v>191</v>
      </c>
      <c r="E200" s="1" t="s">
        <v>591</v>
      </c>
      <c r="F200" s="1"/>
      <c r="G200" s="11"/>
      <c r="H200" s="11"/>
      <c r="I200" s="16" t="s">
        <v>592</v>
      </c>
      <c r="J200" s="11" t="s">
        <v>25</v>
      </c>
      <c r="K200" s="1" t="b">
        <v>1</v>
      </c>
      <c r="L200" s="1" t="b">
        <v>0</v>
      </c>
      <c r="M200" s="5" t="b">
        <v>0</v>
      </c>
      <c r="N200" s="5" t="b">
        <v>0</v>
      </c>
      <c r="O200" s="1" t="b">
        <v>0</v>
      </c>
      <c r="P200" s="1" t="b">
        <v>0</v>
      </c>
      <c r="Q200" s="1"/>
      <c r="R200" s="5"/>
      <c r="S200" s="5"/>
      <c r="T200" s="5"/>
      <c r="U200" s="5"/>
      <c r="V200" s="5"/>
      <c r="W200" s="5"/>
      <c r="X200" s="5"/>
      <c r="Y200" s="5"/>
      <c r="Z200" s="5"/>
    </row>
    <row r="201" ht="19.5" hidden="1" customHeight="1">
      <c r="A201" s="5"/>
      <c r="B201" s="2"/>
      <c r="C201" s="26">
        <v>45824.0</v>
      </c>
      <c r="D201" s="13" t="s">
        <v>593</v>
      </c>
      <c r="E201" s="1"/>
      <c r="F201" s="1"/>
      <c r="G201" s="11" t="s">
        <v>23</v>
      </c>
      <c r="H201" s="11" t="s">
        <v>594</v>
      </c>
      <c r="I201" s="16" t="s">
        <v>595</v>
      </c>
      <c r="J201" s="11" t="s">
        <v>25</v>
      </c>
      <c r="K201" s="1" t="b">
        <v>1</v>
      </c>
      <c r="L201" s="1" t="b">
        <v>0</v>
      </c>
      <c r="M201" s="5" t="b">
        <v>0</v>
      </c>
      <c r="N201" s="5" t="b">
        <v>0</v>
      </c>
      <c r="O201" s="1" t="b">
        <v>1</v>
      </c>
      <c r="P201" s="1" t="b">
        <v>0</v>
      </c>
      <c r="Q201" s="1" t="s">
        <v>596</v>
      </c>
      <c r="R201" s="5"/>
      <c r="S201" s="5"/>
      <c r="T201" s="5"/>
      <c r="U201" s="5"/>
      <c r="V201" s="5"/>
      <c r="W201" s="5"/>
      <c r="X201" s="5"/>
      <c r="Y201" s="5"/>
      <c r="Z201" s="5"/>
    </row>
    <row r="202" ht="31.5" hidden="1" customHeight="1">
      <c r="A202" s="5"/>
      <c r="B202" s="2"/>
      <c r="C202" s="26">
        <v>45807.0</v>
      </c>
      <c r="D202" s="13" t="s">
        <v>597</v>
      </c>
      <c r="E202" s="1" t="s">
        <v>598</v>
      </c>
      <c r="F202" s="1"/>
      <c r="G202" s="11"/>
      <c r="H202" s="43"/>
      <c r="I202" s="16" t="s">
        <v>599</v>
      </c>
      <c r="J202" s="11" t="s">
        <v>25</v>
      </c>
      <c r="K202" s="1" t="b">
        <v>0</v>
      </c>
      <c r="L202" s="1" t="b">
        <v>0</v>
      </c>
      <c r="M202" s="5" t="b">
        <v>0</v>
      </c>
      <c r="N202" s="5" t="b">
        <v>0</v>
      </c>
      <c r="O202" s="5" t="b">
        <v>0</v>
      </c>
      <c r="P202" s="1" t="b"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75" hidden="1" customHeight="1">
      <c r="A203" s="5"/>
      <c r="B203" s="2"/>
      <c r="C203" s="26">
        <v>45665.0</v>
      </c>
      <c r="D203" s="13" t="s">
        <v>600</v>
      </c>
      <c r="E203" s="1"/>
      <c r="F203" s="1"/>
      <c r="G203" s="11" t="s">
        <v>23</v>
      </c>
      <c r="H203" s="46">
        <v>45687.0</v>
      </c>
      <c r="I203" s="16" t="s">
        <v>601</v>
      </c>
      <c r="J203" s="11" t="s">
        <v>25</v>
      </c>
      <c r="K203" s="1" t="b">
        <v>1</v>
      </c>
      <c r="L203" s="1" t="b">
        <v>1</v>
      </c>
      <c r="M203" s="5" t="b">
        <v>0</v>
      </c>
      <c r="N203" s="5" t="b">
        <v>0</v>
      </c>
      <c r="O203" s="5" t="b">
        <v>0</v>
      </c>
      <c r="P203" s="1" t="b">
        <v>1</v>
      </c>
      <c r="Q203" s="1" t="s">
        <v>602</v>
      </c>
      <c r="R203" s="5"/>
      <c r="S203" s="5"/>
      <c r="T203" s="5"/>
      <c r="U203" s="5"/>
      <c r="V203" s="5"/>
      <c r="W203" s="5"/>
      <c r="X203" s="5"/>
      <c r="Y203" s="5"/>
      <c r="Z203" s="5"/>
    </row>
    <row r="204" ht="20.25" hidden="1" customHeight="1">
      <c r="A204" s="5"/>
      <c r="B204" s="11">
        <v>15.0</v>
      </c>
      <c r="C204" s="26">
        <v>45853.0</v>
      </c>
      <c r="D204" s="59" t="s">
        <v>603</v>
      </c>
      <c r="E204" s="1" t="s">
        <v>604</v>
      </c>
      <c r="F204" s="1">
        <v>7.8265396E8</v>
      </c>
      <c r="G204" s="11" t="s">
        <v>411</v>
      </c>
      <c r="H204" s="26">
        <v>45906.0</v>
      </c>
      <c r="I204" s="16" t="s">
        <v>605</v>
      </c>
      <c r="J204" s="11" t="s">
        <v>25</v>
      </c>
      <c r="K204" s="1" t="b">
        <v>1</v>
      </c>
      <c r="L204" s="1" t="b">
        <v>0</v>
      </c>
      <c r="M204" s="5" t="b">
        <v>0</v>
      </c>
      <c r="N204" s="5" t="b">
        <v>0</v>
      </c>
      <c r="O204" s="1" t="b">
        <v>1</v>
      </c>
      <c r="P204" s="1" t="b">
        <v>1</v>
      </c>
      <c r="Q204" s="1" t="s">
        <v>606</v>
      </c>
      <c r="R204" s="5"/>
      <c r="S204" s="5"/>
      <c r="T204" s="5"/>
      <c r="U204" s="5"/>
      <c r="V204" s="5"/>
      <c r="W204" s="5"/>
      <c r="X204" s="5"/>
      <c r="Y204" s="5"/>
      <c r="Z204" s="5"/>
    </row>
    <row r="205" ht="17.25" hidden="1" customHeight="1">
      <c r="A205" s="5"/>
      <c r="B205" s="11">
        <v>16.0</v>
      </c>
      <c r="C205" s="26">
        <v>45854.0</v>
      </c>
      <c r="D205" s="13" t="s">
        <v>607</v>
      </c>
      <c r="E205" s="1" t="s">
        <v>160</v>
      </c>
      <c r="F205" s="1"/>
      <c r="G205" s="11" t="s">
        <v>28</v>
      </c>
      <c r="H205" s="43"/>
      <c r="I205" s="16" t="s">
        <v>608</v>
      </c>
      <c r="J205" s="11" t="s">
        <v>25</v>
      </c>
      <c r="K205" s="1" t="b">
        <v>1</v>
      </c>
      <c r="L205" s="1" t="b">
        <v>1</v>
      </c>
      <c r="M205" s="1" t="b">
        <v>1</v>
      </c>
      <c r="N205" s="1" t="b">
        <v>1</v>
      </c>
      <c r="O205" s="1" t="b">
        <v>1</v>
      </c>
      <c r="P205" s="1" t="b">
        <v>1</v>
      </c>
      <c r="Q205" s="1" t="s">
        <v>609</v>
      </c>
      <c r="R205" s="5"/>
      <c r="S205" s="5"/>
      <c r="T205" s="5"/>
      <c r="U205" s="5"/>
      <c r="V205" s="5"/>
      <c r="W205" s="5"/>
      <c r="X205" s="5"/>
      <c r="Y205" s="5"/>
      <c r="Z205" s="5"/>
    </row>
    <row r="206" hidden="1">
      <c r="A206" s="5"/>
      <c r="B206" s="11">
        <v>14.0</v>
      </c>
      <c r="C206" s="26">
        <v>45853.0</v>
      </c>
      <c r="D206" s="13" t="s">
        <v>610</v>
      </c>
      <c r="E206" s="1" t="s">
        <v>611</v>
      </c>
      <c r="F206" s="1">
        <v>7.72248512E8</v>
      </c>
      <c r="G206" s="11" t="s">
        <v>28</v>
      </c>
      <c r="H206" s="26">
        <v>45889.0</v>
      </c>
      <c r="I206" s="16" t="s">
        <v>612</v>
      </c>
      <c r="J206" s="11" t="s">
        <v>25</v>
      </c>
      <c r="K206" s="1" t="b">
        <v>1</v>
      </c>
      <c r="L206" s="1" t="b">
        <v>1</v>
      </c>
      <c r="M206" s="5" t="b">
        <v>0</v>
      </c>
      <c r="N206" s="5" t="b">
        <v>0</v>
      </c>
      <c r="O206" s="5" t="b">
        <v>0</v>
      </c>
      <c r="P206" s="1" t="b">
        <v>1</v>
      </c>
      <c r="Q206" s="1" t="s">
        <v>613</v>
      </c>
      <c r="R206" s="5"/>
      <c r="S206" s="5"/>
      <c r="T206" s="5"/>
      <c r="U206" s="5"/>
      <c r="V206" s="5"/>
      <c r="W206" s="5"/>
      <c r="X206" s="5"/>
      <c r="Y206" s="5"/>
      <c r="Z206" s="5"/>
    </row>
    <row r="207" ht="18.0" hidden="1" customHeight="1">
      <c r="A207" s="5"/>
      <c r="B207" s="11">
        <v>17.0</v>
      </c>
      <c r="C207" s="26">
        <v>45854.0</v>
      </c>
      <c r="D207" s="13" t="s">
        <v>614</v>
      </c>
      <c r="E207" s="1" t="s">
        <v>615</v>
      </c>
      <c r="F207" s="1"/>
      <c r="G207" s="11" t="s">
        <v>28</v>
      </c>
      <c r="H207" s="43"/>
      <c r="I207" s="16" t="s">
        <v>616</v>
      </c>
      <c r="J207" s="11" t="s">
        <v>173</v>
      </c>
      <c r="K207" s="1" t="b">
        <v>1</v>
      </c>
      <c r="L207" s="1" t="b">
        <v>0</v>
      </c>
      <c r="M207" s="5" t="b">
        <v>0</v>
      </c>
      <c r="N207" s="5" t="b">
        <v>0</v>
      </c>
      <c r="O207" s="5" t="b">
        <v>0</v>
      </c>
      <c r="P207" s="1" t="b">
        <v>0</v>
      </c>
      <c r="Q207" s="1" t="s">
        <v>617</v>
      </c>
      <c r="R207" s="5"/>
      <c r="S207" s="5"/>
      <c r="T207" s="5"/>
      <c r="U207" s="5"/>
      <c r="V207" s="5"/>
      <c r="W207" s="5"/>
      <c r="X207" s="5"/>
      <c r="Y207" s="5"/>
      <c r="Z207" s="5"/>
    </row>
    <row r="208" ht="21.0" hidden="1" customHeight="1">
      <c r="A208" s="5"/>
      <c r="B208" s="11">
        <v>18.0</v>
      </c>
      <c r="C208" s="26">
        <v>45854.0</v>
      </c>
      <c r="D208" s="13" t="s">
        <v>618</v>
      </c>
      <c r="E208" s="1" t="s">
        <v>619</v>
      </c>
      <c r="F208" s="1"/>
      <c r="G208" s="11" t="s">
        <v>28</v>
      </c>
      <c r="H208" s="43"/>
      <c r="I208" s="16" t="s">
        <v>620</v>
      </c>
      <c r="J208" s="11" t="s">
        <v>739</v>
      </c>
      <c r="K208" s="1" t="b">
        <v>1</v>
      </c>
      <c r="L208" s="1" t="b">
        <v>0</v>
      </c>
      <c r="M208" s="5" t="b">
        <v>0</v>
      </c>
      <c r="N208" s="5" t="b">
        <v>0</v>
      </c>
      <c r="O208" s="5" t="b">
        <v>0</v>
      </c>
      <c r="P208" s="1" t="b">
        <v>0</v>
      </c>
      <c r="Q208" s="1" t="s">
        <v>621</v>
      </c>
      <c r="R208" s="5"/>
      <c r="S208" s="5"/>
      <c r="T208" s="5"/>
      <c r="U208" s="5"/>
      <c r="V208" s="5"/>
      <c r="W208" s="5"/>
      <c r="X208" s="5"/>
      <c r="Y208" s="5"/>
      <c r="Z208" s="5"/>
    </row>
    <row r="209" ht="18.75" hidden="1" customHeight="1">
      <c r="A209" s="5"/>
      <c r="B209" s="11">
        <v>19.0</v>
      </c>
      <c r="C209" s="26">
        <v>45854.0</v>
      </c>
      <c r="D209" s="13" t="s">
        <v>622</v>
      </c>
      <c r="E209" s="1" t="s">
        <v>623</v>
      </c>
      <c r="F209" s="1"/>
      <c r="G209" s="11" t="s">
        <v>28</v>
      </c>
      <c r="H209" s="43"/>
      <c r="I209" s="16" t="s">
        <v>624</v>
      </c>
      <c r="J209" s="11" t="s">
        <v>25</v>
      </c>
      <c r="K209" s="1" t="b">
        <v>1</v>
      </c>
      <c r="L209" s="1" t="b">
        <v>1</v>
      </c>
      <c r="M209" s="1" t="b">
        <v>1</v>
      </c>
      <c r="N209" s="1" t="b">
        <v>1</v>
      </c>
      <c r="O209" s="5" t="b">
        <v>0</v>
      </c>
      <c r="P209" s="1" t="b">
        <v>1</v>
      </c>
      <c r="Q209" s="1"/>
      <c r="R209" s="5"/>
      <c r="S209" s="5"/>
      <c r="T209" s="5"/>
      <c r="U209" s="5"/>
      <c r="V209" s="5"/>
      <c r="W209" s="5"/>
      <c r="X209" s="5"/>
      <c r="Y209" s="5"/>
      <c r="Z209" s="5"/>
    </row>
    <row r="210" ht="18.0" hidden="1" customHeight="1">
      <c r="A210" s="5"/>
      <c r="B210" s="11">
        <v>20.0</v>
      </c>
      <c r="C210" s="26">
        <v>45854.0</v>
      </c>
      <c r="D210" s="13" t="s">
        <v>625</v>
      </c>
      <c r="E210" s="1" t="s">
        <v>626</v>
      </c>
      <c r="F210" s="1">
        <v>7.72235565E8</v>
      </c>
      <c r="G210" s="11" t="s">
        <v>28</v>
      </c>
      <c r="H210" s="26">
        <v>45903.0</v>
      </c>
      <c r="I210" s="16" t="s">
        <v>627</v>
      </c>
      <c r="J210" s="11" t="s">
        <v>739</v>
      </c>
      <c r="K210" s="1" t="b">
        <v>0</v>
      </c>
      <c r="L210" s="1" t="b">
        <v>0</v>
      </c>
      <c r="M210" s="5" t="b">
        <v>0</v>
      </c>
      <c r="N210" s="5" t="b">
        <v>0</v>
      </c>
      <c r="O210" s="5" t="b">
        <v>0</v>
      </c>
      <c r="P210" s="1" t="b">
        <v>0</v>
      </c>
      <c r="Q210" s="1" t="s">
        <v>1032</v>
      </c>
      <c r="R210" s="5"/>
      <c r="S210" s="5"/>
      <c r="T210" s="5"/>
      <c r="U210" s="5"/>
      <c r="V210" s="5"/>
      <c r="W210" s="5"/>
      <c r="X210" s="5"/>
      <c r="Y210" s="5"/>
      <c r="Z210" s="5"/>
    </row>
    <row r="211" ht="21.0" hidden="1" customHeight="1">
      <c r="A211" s="5"/>
      <c r="B211" s="2"/>
      <c r="C211" s="26">
        <v>45854.0</v>
      </c>
      <c r="D211" s="13" t="s">
        <v>628</v>
      </c>
      <c r="E211" s="1" t="s">
        <v>629</v>
      </c>
      <c r="F211" s="1"/>
      <c r="G211" s="11" t="s">
        <v>28</v>
      </c>
      <c r="H211" s="43"/>
      <c r="I211" s="16" t="s">
        <v>630</v>
      </c>
      <c r="J211" s="11" t="s">
        <v>25</v>
      </c>
      <c r="K211" s="1" t="b">
        <v>1</v>
      </c>
      <c r="L211" s="1" t="b">
        <v>0</v>
      </c>
      <c r="M211" s="1" t="b">
        <v>0</v>
      </c>
      <c r="N211" s="5" t="b">
        <v>0</v>
      </c>
      <c r="O211" s="5" t="b">
        <v>0</v>
      </c>
      <c r="P211" s="1" t="b">
        <v>0</v>
      </c>
      <c r="Q211" s="1" t="s">
        <v>631</v>
      </c>
      <c r="R211" s="5"/>
      <c r="S211" s="5"/>
      <c r="T211" s="5"/>
      <c r="U211" s="5"/>
      <c r="V211" s="5"/>
      <c r="W211" s="5"/>
      <c r="X211" s="5"/>
      <c r="Y211" s="5"/>
      <c r="Z211" s="5"/>
    </row>
    <row r="212" ht="50.25" customHeight="1">
      <c r="A212" s="5"/>
      <c r="B212" s="11">
        <v>21.0</v>
      </c>
      <c r="C212" s="26">
        <v>45855.0</v>
      </c>
      <c r="D212" s="13" t="s">
        <v>580</v>
      </c>
      <c r="E212" s="1" t="s">
        <v>632</v>
      </c>
      <c r="F212" s="1">
        <v>7.72159175E8</v>
      </c>
      <c r="G212" s="11" t="s">
        <v>411</v>
      </c>
      <c r="H212" s="43"/>
      <c r="I212" s="16" t="s">
        <v>633</v>
      </c>
      <c r="J212" s="11" t="s">
        <v>841</v>
      </c>
      <c r="K212" s="1" t="b">
        <v>0</v>
      </c>
      <c r="L212" s="1" t="b">
        <v>0</v>
      </c>
      <c r="M212" s="5" t="b">
        <v>0</v>
      </c>
      <c r="N212" s="5" t="b">
        <v>0</v>
      </c>
      <c r="O212" s="5" t="b">
        <v>0</v>
      </c>
      <c r="P212" s="1" t="b">
        <v>0</v>
      </c>
      <c r="Q212" s="1" t="s">
        <v>634</v>
      </c>
      <c r="R212" s="5"/>
      <c r="S212" s="5"/>
      <c r="T212" s="5"/>
      <c r="U212" s="5"/>
      <c r="V212" s="5"/>
      <c r="W212" s="5"/>
      <c r="X212" s="5"/>
      <c r="Y212" s="5"/>
      <c r="Z212" s="5"/>
    </row>
    <row r="213" ht="31.5" hidden="1" customHeight="1">
      <c r="A213" s="5"/>
      <c r="B213" s="2"/>
      <c r="C213" s="26">
        <v>45855.0</v>
      </c>
      <c r="D213" s="13" t="s">
        <v>635</v>
      </c>
      <c r="E213" s="1" t="s">
        <v>636</v>
      </c>
      <c r="F213" s="1"/>
      <c r="G213" s="11" t="s">
        <v>411</v>
      </c>
      <c r="H213" s="43"/>
      <c r="I213" s="16" t="s">
        <v>637</v>
      </c>
      <c r="J213" s="11" t="s">
        <v>233</v>
      </c>
      <c r="K213" s="1" t="b">
        <v>0</v>
      </c>
      <c r="L213" s="1" t="b">
        <v>0</v>
      </c>
      <c r="M213" s="5" t="b">
        <v>0</v>
      </c>
      <c r="N213" s="5" t="b">
        <v>0</v>
      </c>
      <c r="O213" s="5" t="b">
        <v>0</v>
      </c>
      <c r="P213" s="1" t="b">
        <v>0</v>
      </c>
      <c r="Q213" s="1" t="s">
        <v>638</v>
      </c>
      <c r="R213" s="5"/>
      <c r="S213" s="5"/>
      <c r="T213" s="5"/>
      <c r="U213" s="5"/>
      <c r="V213" s="5"/>
      <c r="W213" s="5"/>
      <c r="X213" s="5"/>
      <c r="Y213" s="5"/>
      <c r="Z213" s="5"/>
    </row>
    <row r="214" ht="21.0" hidden="1" customHeight="1">
      <c r="A214" s="5"/>
      <c r="B214" s="2"/>
      <c r="C214" s="26">
        <v>45856.0</v>
      </c>
      <c r="D214" s="13" t="s">
        <v>639</v>
      </c>
      <c r="E214" s="1"/>
      <c r="F214" s="1"/>
      <c r="G214" s="11"/>
      <c r="H214" s="26">
        <v>45862.0</v>
      </c>
      <c r="I214" s="16" t="s">
        <v>640</v>
      </c>
      <c r="J214" s="11" t="s">
        <v>25</v>
      </c>
      <c r="K214" s="1" t="b">
        <v>0</v>
      </c>
      <c r="L214" s="1" t="b">
        <v>0</v>
      </c>
      <c r="M214" s="5" t="b">
        <v>0</v>
      </c>
      <c r="N214" s="5" t="b">
        <v>0</v>
      </c>
      <c r="O214" s="5" t="b">
        <v>0</v>
      </c>
      <c r="P214" s="1" t="b">
        <v>0</v>
      </c>
      <c r="Q214" s="1"/>
      <c r="R214" s="5"/>
      <c r="S214" s="5"/>
      <c r="T214" s="5"/>
      <c r="U214" s="5"/>
      <c r="V214" s="5"/>
      <c r="W214" s="5"/>
      <c r="X214" s="5"/>
      <c r="Y214" s="5"/>
      <c r="Z214" s="5"/>
    </row>
    <row r="215" ht="31.5" hidden="1" customHeight="1">
      <c r="A215" s="5"/>
      <c r="B215" s="11" t="s">
        <v>641</v>
      </c>
      <c r="C215" s="26">
        <v>45666.0</v>
      </c>
      <c r="D215" s="13" t="s">
        <v>642</v>
      </c>
      <c r="E215" s="1" t="s">
        <v>643</v>
      </c>
      <c r="F215" s="1"/>
      <c r="G215" s="11" t="s">
        <v>23</v>
      </c>
      <c r="H215" s="1" t="s">
        <v>644</v>
      </c>
      <c r="I215" s="16" t="s">
        <v>645</v>
      </c>
      <c r="J215" s="11" t="s">
        <v>233</v>
      </c>
      <c r="K215" s="1" t="b">
        <v>0</v>
      </c>
      <c r="L215" s="1" t="b">
        <v>0</v>
      </c>
      <c r="M215" s="5" t="b">
        <v>0</v>
      </c>
      <c r="N215" s="5" t="b">
        <v>0</v>
      </c>
      <c r="O215" s="5" t="b">
        <v>0</v>
      </c>
      <c r="P215" s="1" t="b">
        <v>0</v>
      </c>
      <c r="Q215" s="1"/>
      <c r="R215" s="5"/>
      <c r="S215" s="5"/>
      <c r="T215" s="5"/>
      <c r="U215" s="5"/>
      <c r="V215" s="5"/>
      <c r="W215" s="5"/>
      <c r="X215" s="5"/>
      <c r="Y215" s="5"/>
      <c r="Z215" s="5"/>
    </row>
    <row r="216" ht="27.0" hidden="1" customHeight="1">
      <c r="A216" s="42"/>
      <c r="B216" s="60">
        <v>22.0</v>
      </c>
      <c r="C216" s="61">
        <v>45866.0</v>
      </c>
      <c r="D216" s="62" t="s">
        <v>227</v>
      </c>
      <c r="E216" s="63" t="s">
        <v>646</v>
      </c>
      <c r="F216" s="64">
        <v>7.74432853E8</v>
      </c>
      <c r="G216" s="60" t="s">
        <v>45</v>
      </c>
      <c r="H216" s="61">
        <v>45889.0</v>
      </c>
      <c r="I216" s="65" t="s">
        <v>647</v>
      </c>
      <c r="J216" s="66" t="s">
        <v>25</v>
      </c>
      <c r="K216" s="67" t="b">
        <v>1</v>
      </c>
      <c r="L216" s="67" t="b">
        <v>1</v>
      </c>
      <c r="M216" s="67" t="b">
        <v>1</v>
      </c>
      <c r="N216" s="68" t="b">
        <v>0</v>
      </c>
      <c r="O216" s="68" t="b">
        <v>1</v>
      </c>
      <c r="P216" s="67" t="b">
        <v>1</v>
      </c>
      <c r="Q216" s="63" t="s">
        <v>648</v>
      </c>
      <c r="R216" s="42"/>
      <c r="S216" s="42"/>
      <c r="T216" s="42"/>
      <c r="U216" s="42"/>
      <c r="V216" s="42"/>
      <c r="W216" s="42"/>
      <c r="X216" s="42"/>
      <c r="Y216" s="42"/>
      <c r="Z216" s="42"/>
    </row>
    <row r="217" ht="27.0" customHeight="1">
      <c r="A217" s="5"/>
      <c r="B217" s="11">
        <v>23.0</v>
      </c>
      <c r="C217" s="26">
        <v>45867.0</v>
      </c>
      <c r="D217" s="13" t="s">
        <v>57</v>
      </c>
      <c r="E217" s="1" t="s">
        <v>649</v>
      </c>
      <c r="F217" s="1">
        <v>7.86104151E8</v>
      </c>
      <c r="G217" s="11" t="s">
        <v>411</v>
      </c>
      <c r="H217" s="43"/>
      <c r="I217" s="16" t="s">
        <v>650</v>
      </c>
      <c r="J217" s="11" t="s">
        <v>841</v>
      </c>
      <c r="K217" s="1" t="b">
        <v>0</v>
      </c>
      <c r="L217" s="1" t="b">
        <v>0</v>
      </c>
      <c r="M217" s="1" t="b">
        <v>0</v>
      </c>
      <c r="N217" s="5" t="b">
        <v>0</v>
      </c>
      <c r="O217" s="5" t="b">
        <v>0</v>
      </c>
      <c r="P217" s="1" t="b">
        <v>0</v>
      </c>
      <c r="Q217" s="1" t="s">
        <v>651</v>
      </c>
      <c r="R217" s="5"/>
      <c r="S217" s="5"/>
      <c r="T217" s="5"/>
      <c r="U217" s="5"/>
      <c r="V217" s="5"/>
      <c r="W217" s="5"/>
      <c r="X217" s="5"/>
      <c r="Y217" s="5"/>
      <c r="Z217" s="5"/>
    </row>
    <row r="218" hidden="1">
      <c r="A218" s="5"/>
      <c r="B218" s="11">
        <v>24.0</v>
      </c>
      <c r="C218" s="26">
        <v>45867.0</v>
      </c>
      <c r="D218" s="13" t="s">
        <v>652</v>
      </c>
      <c r="E218" s="1" t="s">
        <v>653</v>
      </c>
      <c r="F218" s="1">
        <v>7.72339437E8</v>
      </c>
      <c r="G218" s="11" t="s">
        <v>411</v>
      </c>
      <c r="H218" s="43"/>
      <c r="I218" s="16" t="s">
        <v>654</v>
      </c>
      <c r="J218" s="11" t="s">
        <v>233</v>
      </c>
      <c r="K218" s="1" t="b">
        <v>1</v>
      </c>
      <c r="L218" s="1" t="b">
        <v>0</v>
      </c>
      <c r="M218" s="5" t="b">
        <v>0</v>
      </c>
      <c r="N218" s="5" t="b">
        <v>0</v>
      </c>
      <c r="O218" s="5" t="b">
        <v>0</v>
      </c>
      <c r="P218" s="1" t="b">
        <v>0</v>
      </c>
      <c r="Q218" s="1" t="s">
        <v>655</v>
      </c>
      <c r="R218" s="5"/>
      <c r="S218" s="5"/>
      <c r="T218" s="5"/>
      <c r="U218" s="5"/>
      <c r="V218" s="5"/>
      <c r="W218" s="5"/>
      <c r="X218" s="5"/>
      <c r="Y218" s="5"/>
      <c r="Z218" s="5"/>
    </row>
    <row r="219" hidden="1">
      <c r="A219" s="5"/>
      <c r="B219" s="11">
        <v>25.0</v>
      </c>
      <c r="C219" s="26">
        <v>45867.0</v>
      </c>
      <c r="D219" s="13" t="s">
        <v>656</v>
      </c>
      <c r="E219" s="1" t="s">
        <v>69</v>
      </c>
      <c r="F219" s="1"/>
      <c r="G219" s="11" t="s">
        <v>28</v>
      </c>
      <c r="H219" s="11" t="s">
        <v>530</v>
      </c>
      <c r="I219" s="16" t="s">
        <v>657</v>
      </c>
      <c r="J219" s="11" t="s">
        <v>25</v>
      </c>
      <c r="K219" s="1" t="b">
        <v>1</v>
      </c>
      <c r="L219" s="1" t="b">
        <v>1</v>
      </c>
      <c r="M219" s="1" t="b">
        <v>1</v>
      </c>
      <c r="N219" s="1" t="b">
        <v>1</v>
      </c>
      <c r="O219" s="5" t="b">
        <v>0</v>
      </c>
      <c r="P219" s="1" t="b">
        <v>1</v>
      </c>
      <c r="Q219" s="1"/>
      <c r="R219" s="5"/>
      <c r="S219" s="5"/>
      <c r="T219" s="5"/>
      <c r="U219" s="5"/>
      <c r="V219" s="5"/>
      <c r="W219" s="5"/>
      <c r="X219" s="5"/>
      <c r="Y219" s="5"/>
      <c r="Z219" s="5"/>
    </row>
    <row r="220" hidden="1">
      <c r="A220" s="5"/>
      <c r="B220" s="11">
        <v>26.0</v>
      </c>
      <c r="C220" s="26">
        <v>45868.0</v>
      </c>
      <c r="D220" s="13" t="s">
        <v>658</v>
      </c>
      <c r="E220" s="1" t="s">
        <v>659</v>
      </c>
      <c r="F220" s="1"/>
      <c r="G220" s="11" t="s">
        <v>45</v>
      </c>
      <c r="H220" s="11" t="s">
        <v>660</v>
      </c>
      <c r="I220" s="16" t="s">
        <v>661</v>
      </c>
      <c r="J220" s="11" t="s">
        <v>25</v>
      </c>
      <c r="K220" s="1" t="b">
        <v>1</v>
      </c>
      <c r="L220" s="1" t="b">
        <v>0</v>
      </c>
      <c r="M220" s="5" t="b">
        <v>0</v>
      </c>
      <c r="N220" s="5" t="b">
        <v>0</v>
      </c>
      <c r="O220" s="5" t="b">
        <v>0</v>
      </c>
      <c r="P220" s="1" t="b">
        <v>0</v>
      </c>
      <c r="Q220" s="1" t="s">
        <v>662</v>
      </c>
      <c r="R220" s="5"/>
      <c r="S220" s="5"/>
      <c r="T220" s="5"/>
      <c r="U220" s="5"/>
      <c r="V220" s="5"/>
      <c r="W220" s="5"/>
      <c r="X220" s="5"/>
      <c r="Y220" s="5"/>
      <c r="Z220" s="5"/>
    </row>
    <row r="221" hidden="1">
      <c r="A221" s="5"/>
      <c r="B221" s="11">
        <v>27.0</v>
      </c>
      <c r="C221" s="26">
        <v>45868.0</v>
      </c>
      <c r="D221" s="13" t="s">
        <v>663</v>
      </c>
      <c r="E221" s="1" t="s">
        <v>615</v>
      </c>
      <c r="F221" s="1">
        <v>7.72268699E8</v>
      </c>
      <c r="G221" s="11" t="s">
        <v>28</v>
      </c>
      <c r="H221" s="11" t="s">
        <v>664</v>
      </c>
      <c r="I221" s="16" t="s">
        <v>665</v>
      </c>
      <c r="J221" s="11" t="s">
        <v>25</v>
      </c>
      <c r="K221" s="1" t="b">
        <v>1</v>
      </c>
      <c r="L221" s="1" t="b">
        <v>0</v>
      </c>
      <c r="M221" s="5" t="b">
        <v>0</v>
      </c>
      <c r="N221" s="1" t="b">
        <v>1</v>
      </c>
      <c r="O221" s="5" t="b">
        <v>0</v>
      </c>
      <c r="P221" s="1" t="b">
        <v>1</v>
      </c>
      <c r="Q221" s="1"/>
      <c r="R221" s="5"/>
      <c r="S221" s="5"/>
      <c r="T221" s="5"/>
      <c r="U221" s="5"/>
      <c r="V221" s="5"/>
      <c r="W221" s="5"/>
      <c r="X221" s="5"/>
      <c r="Y221" s="5"/>
      <c r="Z221" s="5"/>
    </row>
    <row r="222" hidden="1">
      <c r="A222" s="5"/>
      <c r="B222" s="11">
        <v>28.0</v>
      </c>
      <c r="C222" s="26">
        <v>45869.0</v>
      </c>
      <c r="D222" s="13" t="s">
        <v>666</v>
      </c>
      <c r="E222" s="1" t="s">
        <v>611</v>
      </c>
      <c r="F222" s="1">
        <v>7.72248512E8</v>
      </c>
      <c r="G222" s="11" t="s">
        <v>28</v>
      </c>
      <c r="H222" s="11" t="s">
        <v>667</v>
      </c>
      <c r="I222" s="16" t="s">
        <v>668</v>
      </c>
      <c r="J222" s="11" t="s">
        <v>25</v>
      </c>
      <c r="K222" s="1" t="b">
        <v>1</v>
      </c>
      <c r="L222" s="1" t="b">
        <v>0</v>
      </c>
      <c r="M222" s="5" t="b">
        <v>0</v>
      </c>
      <c r="N222" s="5" t="b">
        <v>0</v>
      </c>
      <c r="O222" s="5" t="b">
        <v>0</v>
      </c>
      <c r="P222" s="1" t="b">
        <v>1</v>
      </c>
      <c r="Q222" s="1" t="s">
        <v>669</v>
      </c>
      <c r="R222" s="5"/>
      <c r="S222" s="5"/>
      <c r="T222" s="5"/>
      <c r="U222" s="5"/>
      <c r="V222" s="5"/>
      <c r="W222" s="5"/>
      <c r="X222" s="5"/>
      <c r="Y222" s="5"/>
      <c r="Z222" s="5"/>
    </row>
    <row r="223" hidden="1">
      <c r="A223" s="5"/>
      <c r="B223" s="11">
        <v>29.0</v>
      </c>
      <c r="C223" s="26">
        <v>45869.0</v>
      </c>
      <c r="D223" s="13" t="s">
        <v>670</v>
      </c>
      <c r="E223" s="1" t="s">
        <v>671</v>
      </c>
      <c r="F223" s="1">
        <v>7.7663879E8</v>
      </c>
      <c r="G223" s="11" t="s">
        <v>28</v>
      </c>
      <c r="H223" s="11" t="s">
        <v>672</v>
      </c>
      <c r="I223" s="16" t="s">
        <v>673</v>
      </c>
      <c r="J223" s="11" t="s">
        <v>25</v>
      </c>
      <c r="K223" s="1" t="b">
        <v>1</v>
      </c>
      <c r="L223" s="1" t="b">
        <v>0</v>
      </c>
      <c r="M223" s="5" t="b">
        <v>0</v>
      </c>
      <c r="N223" s="5" t="b">
        <v>0</v>
      </c>
      <c r="O223" s="5" t="b">
        <v>0</v>
      </c>
      <c r="P223" s="1" t="b">
        <v>0</v>
      </c>
      <c r="Q223" s="1" t="s">
        <v>674</v>
      </c>
      <c r="R223" s="5"/>
      <c r="S223" s="5"/>
      <c r="T223" s="5"/>
      <c r="U223" s="5"/>
      <c r="V223" s="5"/>
      <c r="W223" s="5"/>
      <c r="X223" s="5"/>
      <c r="Y223" s="5"/>
      <c r="Z223" s="5"/>
    </row>
    <row r="224" hidden="1">
      <c r="A224" s="5"/>
      <c r="B224" s="11">
        <v>30.0</v>
      </c>
      <c r="C224" s="69">
        <v>45869.0</v>
      </c>
      <c r="D224" s="13" t="s">
        <v>675</v>
      </c>
      <c r="E224" s="1" t="s">
        <v>676</v>
      </c>
      <c r="F224" s="1">
        <v>7.77066466E8</v>
      </c>
      <c r="G224" s="11" t="s">
        <v>411</v>
      </c>
      <c r="H224" s="11" t="s">
        <v>677</v>
      </c>
      <c r="I224" s="16" t="s">
        <v>678</v>
      </c>
      <c r="J224" s="11" t="s">
        <v>25</v>
      </c>
      <c r="K224" s="1" t="b">
        <v>1</v>
      </c>
      <c r="L224" s="1" t="b">
        <v>0</v>
      </c>
      <c r="M224" s="5" t="b">
        <v>0</v>
      </c>
      <c r="N224" s="1" t="b">
        <v>0</v>
      </c>
      <c r="O224" s="5" t="b">
        <v>0</v>
      </c>
      <c r="P224" s="1" t="b">
        <v>0</v>
      </c>
      <c r="Q224" s="1" t="s">
        <v>679</v>
      </c>
      <c r="R224" s="5"/>
      <c r="S224" s="5"/>
      <c r="T224" s="5"/>
      <c r="U224" s="5"/>
      <c r="V224" s="5"/>
      <c r="W224" s="5"/>
      <c r="X224" s="5"/>
      <c r="Y224" s="5"/>
      <c r="Z224" s="5"/>
    </row>
    <row r="225" hidden="1">
      <c r="A225" s="5"/>
      <c r="B225" s="11">
        <v>31.0</v>
      </c>
      <c r="C225" s="70">
        <v>45874.0</v>
      </c>
      <c r="D225" s="13" t="s">
        <v>680</v>
      </c>
      <c r="E225" s="1" t="s">
        <v>681</v>
      </c>
      <c r="F225" s="1">
        <v>7.78915827E8</v>
      </c>
      <c r="G225" s="11" t="s">
        <v>411</v>
      </c>
      <c r="H225" s="43"/>
      <c r="I225" s="16" t="s">
        <v>682</v>
      </c>
      <c r="J225" s="11" t="s">
        <v>233</v>
      </c>
      <c r="K225" s="1" t="b">
        <v>0</v>
      </c>
      <c r="L225" s="1" t="b">
        <v>0</v>
      </c>
      <c r="M225" s="5" t="b">
        <v>0</v>
      </c>
      <c r="N225" s="1" t="b">
        <v>0</v>
      </c>
      <c r="O225" s="5" t="b">
        <v>0</v>
      </c>
      <c r="P225" s="1" t="b">
        <v>0</v>
      </c>
      <c r="Q225" s="1" t="s">
        <v>683</v>
      </c>
      <c r="R225" s="5"/>
      <c r="S225" s="5"/>
      <c r="T225" s="5"/>
      <c r="U225" s="5"/>
      <c r="V225" s="5"/>
      <c r="W225" s="5"/>
      <c r="X225" s="5"/>
      <c r="Y225" s="5"/>
      <c r="Z225" s="5"/>
    </row>
    <row r="226" hidden="1">
      <c r="A226" s="5"/>
      <c r="B226" s="11">
        <v>32.0</v>
      </c>
      <c r="C226" s="70">
        <v>45875.0</v>
      </c>
      <c r="D226" s="13" t="s">
        <v>684</v>
      </c>
      <c r="E226" s="1" t="s">
        <v>636</v>
      </c>
      <c r="F226" s="1">
        <f>27835550054</f>
        <v>27835550054</v>
      </c>
      <c r="G226" s="11" t="s">
        <v>411</v>
      </c>
      <c r="H226" s="43"/>
      <c r="I226" s="16" t="s">
        <v>685</v>
      </c>
      <c r="J226" s="11" t="s">
        <v>25</v>
      </c>
      <c r="K226" s="1" t="b">
        <v>1</v>
      </c>
      <c r="L226" s="1" t="b">
        <v>0</v>
      </c>
      <c r="M226" s="5" t="b">
        <v>0</v>
      </c>
      <c r="N226" s="1" t="b">
        <v>0</v>
      </c>
      <c r="O226" s="1" t="b">
        <v>1</v>
      </c>
      <c r="P226" s="1" t="b">
        <v>1</v>
      </c>
      <c r="Q226" s="1" t="s">
        <v>686</v>
      </c>
      <c r="R226" s="5"/>
      <c r="S226" s="5"/>
      <c r="T226" s="5"/>
      <c r="U226" s="5"/>
      <c r="V226" s="5"/>
      <c r="W226" s="5"/>
      <c r="X226" s="5"/>
      <c r="Y226" s="5"/>
      <c r="Z226" s="5"/>
    </row>
    <row r="227" hidden="1">
      <c r="A227" s="5"/>
      <c r="B227" s="11">
        <v>33.0</v>
      </c>
      <c r="C227" s="70">
        <v>45876.0</v>
      </c>
      <c r="D227" s="13" t="s">
        <v>687</v>
      </c>
      <c r="E227" s="1" t="s">
        <v>688</v>
      </c>
      <c r="F227" s="1">
        <v>7.76436915E8</v>
      </c>
      <c r="G227" s="11" t="s">
        <v>411</v>
      </c>
      <c r="H227" s="11" t="s">
        <v>689</v>
      </c>
      <c r="I227" s="16" t="s">
        <v>690</v>
      </c>
      <c r="J227" s="11" t="s">
        <v>25</v>
      </c>
      <c r="K227" s="1" t="b">
        <v>1</v>
      </c>
      <c r="L227" s="1" t="b">
        <v>0</v>
      </c>
      <c r="M227" s="5" t="b">
        <v>0</v>
      </c>
      <c r="N227" s="1" t="b">
        <v>0</v>
      </c>
      <c r="O227" s="5" t="b">
        <v>0</v>
      </c>
      <c r="P227" s="1" t="b">
        <v>1</v>
      </c>
      <c r="Q227" s="1" t="s">
        <v>691</v>
      </c>
      <c r="R227" s="5"/>
      <c r="S227" s="5"/>
      <c r="T227" s="5"/>
      <c r="U227" s="5"/>
      <c r="V227" s="5"/>
      <c r="W227" s="5"/>
      <c r="X227" s="5"/>
      <c r="Y227" s="5"/>
      <c r="Z227" s="5"/>
    </row>
    <row r="228" hidden="1">
      <c r="A228" s="5"/>
      <c r="B228" s="11">
        <v>34.0</v>
      </c>
      <c r="C228" s="70">
        <v>45876.0</v>
      </c>
      <c r="D228" s="13" t="s">
        <v>692</v>
      </c>
      <c r="E228" s="1" t="s">
        <v>693</v>
      </c>
      <c r="F228" s="1">
        <v>7.72309968E8</v>
      </c>
      <c r="G228" s="11" t="s">
        <v>28</v>
      </c>
      <c r="H228" s="43"/>
      <c r="I228" s="16" t="s">
        <v>430</v>
      </c>
      <c r="J228" s="11" t="s">
        <v>25</v>
      </c>
      <c r="K228" s="1" t="b">
        <v>1</v>
      </c>
      <c r="L228" s="1" t="b">
        <v>0</v>
      </c>
      <c r="M228" s="5" t="b">
        <v>0</v>
      </c>
      <c r="N228" s="1" t="b">
        <v>0</v>
      </c>
      <c r="O228" s="1" t="b">
        <v>1</v>
      </c>
      <c r="P228" s="1" t="b">
        <v>1</v>
      </c>
      <c r="Q228" s="1" t="s">
        <v>662</v>
      </c>
      <c r="R228" s="5"/>
      <c r="S228" s="5"/>
      <c r="T228" s="5"/>
      <c r="U228" s="5"/>
      <c r="V228" s="5"/>
      <c r="W228" s="5"/>
      <c r="X228" s="5"/>
      <c r="Y228" s="5"/>
      <c r="Z228" s="5"/>
    </row>
    <row r="229" hidden="1">
      <c r="A229" s="5"/>
      <c r="B229" s="11">
        <v>35.0</v>
      </c>
      <c r="C229" s="70">
        <v>45876.0</v>
      </c>
      <c r="D229" s="13" t="s">
        <v>694</v>
      </c>
      <c r="E229" s="1" t="s">
        <v>187</v>
      </c>
      <c r="F229" s="1">
        <v>7.74011463E8</v>
      </c>
      <c r="G229" s="11" t="s">
        <v>28</v>
      </c>
      <c r="H229" s="11" t="s">
        <v>695</v>
      </c>
      <c r="I229" s="16" t="s">
        <v>696</v>
      </c>
      <c r="J229" s="11" t="s">
        <v>25</v>
      </c>
      <c r="K229" s="1" t="b">
        <v>1</v>
      </c>
      <c r="L229" s="1" t="b">
        <v>0</v>
      </c>
      <c r="M229" s="5" t="b">
        <v>0</v>
      </c>
      <c r="N229" s="1" t="b">
        <v>0</v>
      </c>
      <c r="O229" s="5" t="b">
        <v>0</v>
      </c>
      <c r="P229" s="1" t="b">
        <v>0</v>
      </c>
      <c r="Q229" s="1"/>
      <c r="R229" s="5"/>
      <c r="S229" s="5"/>
      <c r="T229" s="5"/>
      <c r="U229" s="5"/>
      <c r="V229" s="5"/>
      <c r="W229" s="5"/>
      <c r="X229" s="5"/>
      <c r="Y229" s="5"/>
      <c r="Z229" s="5"/>
    </row>
    <row r="230" hidden="1">
      <c r="A230" s="5"/>
      <c r="B230" s="11">
        <v>36.0</v>
      </c>
      <c r="C230" s="70">
        <v>45877.0</v>
      </c>
      <c r="D230" s="13" t="s">
        <v>697</v>
      </c>
      <c r="E230" s="1" t="s">
        <v>698</v>
      </c>
      <c r="F230" s="1">
        <v>7.72288951E8</v>
      </c>
      <c r="G230" s="11" t="s">
        <v>45</v>
      </c>
      <c r="H230" s="26">
        <v>45891.0</v>
      </c>
      <c r="I230" s="16" t="s">
        <v>699</v>
      </c>
      <c r="J230" s="11" t="s">
        <v>25</v>
      </c>
      <c r="K230" s="1" t="b">
        <v>1</v>
      </c>
      <c r="L230" s="1" t="b">
        <v>0</v>
      </c>
      <c r="M230" s="5" t="b">
        <v>0</v>
      </c>
      <c r="N230" s="1" t="b">
        <v>0</v>
      </c>
      <c r="O230" s="5" t="b">
        <v>0</v>
      </c>
      <c r="P230" s="1" t="b">
        <v>1</v>
      </c>
      <c r="Q230" s="1" t="s">
        <v>700</v>
      </c>
      <c r="R230" s="5"/>
      <c r="S230" s="5"/>
      <c r="T230" s="5"/>
      <c r="U230" s="5"/>
      <c r="V230" s="5"/>
      <c r="W230" s="5"/>
      <c r="X230" s="5"/>
      <c r="Y230" s="5"/>
      <c r="Z230" s="5"/>
    </row>
    <row r="231" hidden="1">
      <c r="A231" s="5"/>
      <c r="B231" s="11">
        <v>37.0</v>
      </c>
      <c r="C231" s="70">
        <v>45878.0</v>
      </c>
      <c r="D231" s="13" t="s">
        <v>701</v>
      </c>
      <c r="E231" s="1" t="s">
        <v>702</v>
      </c>
      <c r="F231" s="1">
        <v>7.72676676E8</v>
      </c>
      <c r="G231" s="11" t="s">
        <v>28</v>
      </c>
      <c r="H231" s="43"/>
      <c r="I231" s="16" t="s">
        <v>703</v>
      </c>
      <c r="J231" s="11" t="s">
        <v>25</v>
      </c>
      <c r="K231" s="1" t="b">
        <v>0</v>
      </c>
      <c r="L231" s="1" t="b">
        <v>0</v>
      </c>
      <c r="M231" s="5" t="b">
        <v>0</v>
      </c>
      <c r="N231" s="1" t="b">
        <v>0</v>
      </c>
      <c r="O231" s="5" t="b">
        <v>0</v>
      </c>
      <c r="P231" s="1" t="b">
        <v>0</v>
      </c>
      <c r="Q231" s="1"/>
      <c r="R231" s="5"/>
      <c r="S231" s="5"/>
      <c r="T231" s="5"/>
      <c r="U231" s="5"/>
      <c r="V231" s="5"/>
      <c r="W231" s="5"/>
      <c r="X231" s="5"/>
      <c r="Y231" s="5"/>
      <c r="Z231" s="5"/>
    </row>
    <row r="232" hidden="1">
      <c r="A232" s="5"/>
      <c r="B232" s="11">
        <v>38.0</v>
      </c>
      <c r="C232" s="70">
        <v>45882.0</v>
      </c>
      <c r="D232" s="13" t="s">
        <v>704</v>
      </c>
      <c r="E232" s="1" t="s">
        <v>705</v>
      </c>
      <c r="F232" s="1"/>
      <c r="G232" s="11" t="s">
        <v>411</v>
      </c>
      <c r="H232" s="26"/>
      <c r="I232" s="16"/>
      <c r="J232" s="11" t="s">
        <v>233</v>
      </c>
      <c r="K232" s="1" t="b">
        <v>1</v>
      </c>
      <c r="L232" s="1" t="b">
        <v>0</v>
      </c>
      <c r="M232" s="5" t="b">
        <v>0</v>
      </c>
      <c r="N232" s="1" t="b">
        <v>0</v>
      </c>
      <c r="O232" s="5" t="b">
        <v>0</v>
      </c>
      <c r="P232" s="1" t="b">
        <v>0</v>
      </c>
      <c r="Q232" s="1" t="s">
        <v>706</v>
      </c>
      <c r="R232" s="5"/>
      <c r="S232" s="5"/>
      <c r="T232" s="5"/>
      <c r="U232" s="5"/>
      <c r="V232" s="5"/>
      <c r="W232" s="5"/>
      <c r="X232" s="5"/>
      <c r="Y232" s="5"/>
      <c r="Z232" s="5"/>
    </row>
    <row r="233" hidden="1">
      <c r="A233" s="5"/>
      <c r="B233" s="11">
        <v>38.0</v>
      </c>
      <c r="C233" s="26">
        <v>45882.0</v>
      </c>
      <c r="D233" s="13" t="s">
        <v>707</v>
      </c>
      <c r="E233" s="1" t="s">
        <v>708</v>
      </c>
      <c r="F233" s="1">
        <v>7.72119063E8</v>
      </c>
      <c r="G233" s="11" t="s">
        <v>411</v>
      </c>
      <c r="H233" s="26">
        <v>45891.0</v>
      </c>
      <c r="I233" s="16" t="s">
        <v>709</v>
      </c>
      <c r="J233" s="11" t="s">
        <v>25</v>
      </c>
      <c r="K233" s="1" t="b">
        <v>1</v>
      </c>
      <c r="L233" s="1" t="b">
        <v>1</v>
      </c>
      <c r="M233" s="5" t="b">
        <v>0</v>
      </c>
      <c r="N233" s="1" t="b">
        <v>0</v>
      </c>
      <c r="O233" s="1" t="b">
        <v>1</v>
      </c>
      <c r="P233" s="1" t="b">
        <v>1</v>
      </c>
      <c r="Q233" s="1"/>
      <c r="R233" s="5"/>
      <c r="S233" s="5"/>
      <c r="T233" s="5"/>
      <c r="U233" s="5"/>
      <c r="V233" s="5"/>
      <c r="W233" s="5"/>
      <c r="X233" s="5"/>
      <c r="Y233" s="5"/>
      <c r="Z233" s="5"/>
    </row>
    <row r="234" hidden="1">
      <c r="A234" s="5"/>
      <c r="B234" s="11">
        <v>39.0</v>
      </c>
      <c r="C234" s="26">
        <v>45883.0</v>
      </c>
      <c r="D234" s="13" t="s">
        <v>710</v>
      </c>
      <c r="E234" s="1" t="s">
        <v>711</v>
      </c>
      <c r="F234" s="1">
        <v>7.72131396E8</v>
      </c>
      <c r="G234" s="11" t="s">
        <v>45</v>
      </c>
      <c r="H234" s="43"/>
      <c r="I234" s="16" t="s">
        <v>712</v>
      </c>
      <c r="J234" s="11" t="s">
        <v>233</v>
      </c>
      <c r="K234" s="1" t="b">
        <v>1</v>
      </c>
      <c r="L234" s="1" t="b">
        <v>0</v>
      </c>
      <c r="M234" s="5" t="b">
        <v>0</v>
      </c>
      <c r="N234" s="1" t="b">
        <v>0</v>
      </c>
      <c r="O234" s="5" t="b">
        <v>0</v>
      </c>
      <c r="P234" s="1" t="b">
        <v>0</v>
      </c>
      <c r="Q234" s="1" t="s">
        <v>713</v>
      </c>
      <c r="R234" s="5"/>
      <c r="S234" s="5"/>
      <c r="T234" s="5"/>
      <c r="U234" s="5"/>
      <c r="V234" s="5"/>
      <c r="W234" s="5"/>
      <c r="X234" s="5"/>
      <c r="Y234" s="5"/>
      <c r="Z234" s="5"/>
    </row>
    <row r="235" hidden="1">
      <c r="A235" s="5"/>
      <c r="B235" s="11">
        <v>40.0</v>
      </c>
      <c r="C235" s="26">
        <v>45884.0</v>
      </c>
      <c r="D235" s="13" t="s">
        <v>714</v>
      </c>
      <c r="E235" s="1" t="s">
        <v>715</v>
      </c>
      <c r="F235" s="1">
        <v>7.7975092E8</v>
      </c>
      <c r="G235" s="11" t="s">
        <v>28</v>
      </c>
      <c r="H235" s="26">
        <v>45898.0</v>
      </c>
      <c r="I235" s="16" t="s">
        <v>716</v>
      </c>
      <c r="J235" s="11" t="s">
        <v>25</v>
      </c>
      <c r="K235" s="1" t="b">
        <v>1</v>
      </c>
      <c r="L235" s="1" t="b">
        <v>0</v>
      </c>
      <c r="M235" s="5" t="b">
        <v>0</v>
      </c>
      <c r="N235" s="1" t="b">
        <v>0</v>
      </c>
      <c r="O235" s="5" t="b">
        <v>0</v>
      </c>
      <c r="P235" s="1" t="b">
        <v>1</v>
      </c>
      <c r="Q235" s="1" t="s">
        <v>717</v>
      </c>
      <c r="R235" s="5"/>
      <c r="S235" s="5"/>
      <c r="T235" s="5"/>
      <c r="U235" s="5"/>
      <c r="V235" s="5"/>
      <c r="W235" s="5"/>
      <c r="X235" s="5"/>
      <c r="Y235" s="5"/>
      <c r="Z235" s="5"/>
    </row>
    <row r="236" hidden="1">
      <c r="A236" s="5"/>
      <c r="B236" s="11">
        <v>41.0</v>
      </c>
      <c r="C236" s="26">
        <v>45884.0</v>
      </c>
      <c r="D236" s="13" t="s">
        <v>718</v>
      </c>
      <c r="E236" s="1"/>
      <c r="F236" s="1">
        <v>7.83061419E8</v>
      </c>
      <c r="G236" s="11" t="s">
        <v>411</v>
      </c>
      <c r="H236" s="26">
        <v>45911.0</v>
      </c>
      <c r="I236" s="16" t="s">
        <v>719</v>
      </c>
      <c r="J236" s="11" t="s">
        <v>25</v>
      </c>
      <c r="K236" s="1" t="b">
        <v>1</v>
      </c>
      <c r="L236" s="1" t="b">
        <v>0</v>
      </c>
      <c r="M236" s="5" t="b">
        <v>0</v>
      </c>
      <c r="N236" s="1" t="b">
        <v>0</v>
      </c>
      <c r="O236" s="5" t="b">
        <v>0</v>
      </c>
      <c r="P236" s="1" t="b">
        <v>1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idden="1">
      <c r="A237" s="5"/>
      <c r="B237" s="11">
        <v>42.0</v>
      </c>
      <c r="C237" s="26">
        <v>45884.0</v>
      </c>
      <c r="D237" s="13" t="s">
        <v>720</v>
      </c>
      <c r="E237" s="1" t="s">
        <v>251</v>
      </c>
      <c r="F237" s="1">
        <v>7.72354967E8</v>
      </c>
      <c r="G237" s="11" t="s">
        <v>28</v>
      </c>
      <c r="H237" s="43"/>
      <c r="I237" s="16" t="s">
        <v>721</v>
      </c>
      <c r="J237" s="11" t="s">
        <v>25</v>
      </c>
      <c r="K237" s="1" t="b">
        <v>1</v>
      </c>
      <c r="L237" s="1" t="b">
        <v>1</v>
      </c>
      <c r="M237" s="5" t="b">
        <v>0</v>
      </c>
      <c r="N237" s="1" t="b">
        <v>0</v>
      </c>
      <c r="O237" s="5" t="b">
        <v>0</v>
      </c>
      <c r="P237" s="1" t="b">
        <v>0</v>
      </c>
      <c r="Q237" s="1" t="s">
        <v>1033</v>
      </c>
      <c r="R237" s="5"/>
      <c r="S237" s="5"/>
      <c r="T237" s="5"/>
      <c r="U237" s="5"/>
      <c r="V237" s="5"/>
      <c r="W237" s="5"/>
      <c r="X237" s="5"/>
      <c r="Y237" s="5"/>
      <c r="Z237" s="5"/>
    </row>
    <row r="238" hidden="1">
      <c r="A238" s="5"/>
      <c r="B238" s="11">
        <v>43.0</v>
      </c>
      <c r="C238" s="26">
        <v>45885.0</v>
      </c>
      <c r="D238" s="13" t="s">
        <v>723</v>
      </c>
      <c r="E238" s="1" t="s">
        <v>54</v>
      </c>
      <c r="F238" s="1">
        <v>7.72342915E8</v>
      </c>
      <c r="G238" s="11" t="s">
        <v>28</v>
      </c>
      <c r="H238" s="11" t="s">
        <v>689</v>
      </c>
      <c r="I238" s="16" t="s">
        <v>724</v>
      </c>
      <c r="J238" s="11" t="s">
        <v>25</v>
      </c>
      <c r="K238" s="1" t="b">
        <v>0</v>
      </c>
      <c r="L238" s="1" t="b">
        <v>0</v>
      </c>
      <c r="M238" s="5" t="b">
        <v>0</v>
      </c>
      <c r="N238" s="1" t="b">
        <v>0</v>
      </c>
      <c r="O238" s="5" t="b">
        <v>0</v>
      </c>
      <c r="P238" s="1" t="b"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11">
        <v>44.0</v>
      </c>
      <c r="C239" s="26">
        <v>45888.0</v>
      </c>
      <c r="D239" s="13" t="s">
        <v>725</v>
      </c>
      <c r="E239" s="1" t="s">
        <v>726</v>
      </c>
      <c r="F239" s="1">
        <v>7.72354967E8</v>
      </c>
      <c r="G239" s="11" t="s">
        <v>28</v>
      </c>
      <c r="H239" s="43"/>
      <c r="I239" s="16" t="s">
        <v>727</v>
      </c>
      <c r="J239" s="11" t="s">
        <v>734</v>
      </c>
      <c r="K239" s="1" t="b">
        <v>0</v>
      </c>
      <c r="L239" s="1" t="b">
        <v>0</v>
      </c>
      <c r="M239" s="5" t="b">
        <v>0</v>
      </c>
      <c r="N239" s="1" t="b">
        <v>0</v>
      </c>
      <c r="O239" s="5" t="b">
        <v>0</v>
      </c>
      <c r="P239" s="1" t="b">
        <v>0</v>
      </c>
      <c r="Q239" s="1" t="s">
        <v>728</v>
      </c>
      <c r="R239" s="5"/>
      <c r="S239" s="5"/>
      <c r="T239" s="5"/>
      <c r="U239" s="5"/>
      <c r="V239" s="5"/>
      <c r="W239" s="5"/>
      <c r="X239" s="5"/>
      <c r="Y239" s="5"/>
      <c r="Z239" s="5"/>
    </row>
    <row r="240" hidden="1">
      <c r="A240" s="5"/>
      <c r="B240" s="11">
        <v>45.0</v>
      </c>
      <c r="C240" s="26">
        <v>45888.0</v>
      </c>
      <c r="D240" s="13" t="s">
        <v>687</v>
      </c>
      <c r="E240" s="1" t="s">
        <v>688</v>
      </c>
      <c r="F240" s="1">
        <v>7.76436915E8</v>
      </c>
      <c r="G240" s="11" t="s">
        <v>411</v>
      </c>
      <c r="H240" s="11" t="s">
        <v>729</v>
      </c>
      <c r="I240" s="16" t="s">
        <v>730</v>
      </c>
      <c r="J240" s="11" t="s">
        <v>25</v>
      </c>
      <c r="K240" s="1" t="b">
        <v>1</v>
      </c>
      <c r="L240" s="1" t="b">
        <v>1</v>
      </c>
      <c r="M240" s="1" t="b">
        <v>1</v>
      </c>
      <c r="N240" s="1" t="b">
        <v>0</v>
      </c>
      <c r="O240" s="5" t="b">
        <v>0</v>
      </c>
      <c r="P240" s="1" t="b">
        <v>1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11">
        <v>46.0</v>
      </c>
      <c r="C241" s="26">
        <v>45888.0</v>
      </c>
      <c r="D241" s="13" t="s">
        <v>731</v>
      </c>
      <c r="E241" s="1" t="s">
        <v>732</v>
      </c>
      <c r="F241" s="1">
        <v>7.721305E8</v>
      </c>
      <c r="G241" s="11" t="s">
        <v>28</v>
      </c>
      <c r="H241" s="43"/>
      <c r="I241" s="16" t="s">
        <v>733</v>
      </c>
      <c r="J241" s="11" t="s">
        <v>734</v>
      </c>
      <c r="K241" s="1" t="b">
        <v>0</v>
      </c>
      <c r="L241" s="1" t="b">
        <v>0</v>
      </c>
      <c r="M241" s="5" t="b">
        <v>0</v>
      </c>
      <c r="N241" s="1" t="b">
        <v>0</v>
      </c>
      <c r="O241" s="5" t="b">
        <v>0</v>
      </c>
      <c r="P241" s="1" t="b">
        <v>0</v>
      </c>
      <c r="Q241" s="1" t="s">
        <v>735</v>
      </c>
      <c r="R241" s="5"/>
      <c r="S241" s="5"/>
      <c r="T241" s="5"/>
      <c r="U241" s="5"/>
      <c r="V241" s="5"/>
      <c r="W241" s="5"/>
      <c r="X241" s="5"/>
      <c r="Y241" s="5"/>
      <c r="Z241" s="5"/>
    </row>
    <row r="242" hidden="1">
      <c r="A242" s="5"/>
      <c r="B242" s="11">
        <v>47.0</v>
      </c>
      <c r="C242" s="26">
        <v>45888.0</v>
      </c>
      <c r="D242" s="13" t="s">
        <v>736</v>
      </c>
      <c r="E242" s="1" t="s">
        <v>737</v>
      </c>
      <c r="F242" s="1">
        <v>7.35618742E8</v>
      </c>
      <c r="G242" s="11" t="s">
        <v>28</v>
      </c>
      <c r="H242" s="43"/>
      <c r="I242" s="16" t="s">
        <v>738</v>
      </c>
      <c r="J242" s="11" t="s">
        <v>739</v>
      </c>
      <c r="K242" s="1" t="b">
        <v>1</v>
      </c>
      <c r="L242" s="1" t="b">
        <v>1</v>
      </c>
      <c r="M242" s="1" t="b">
        <v>1</v>
      </c>
      <c r="N242" s="1" t="b">
        <v>0</v>
      </c>
      <c r="O242" s="1" t="b">
        <v>1</v>
      </c>
      <c r="P242" s="1" t="b">
        <v>1</v>
      </c>
      <c r="Q242" s="21" t="s">
        <v>1034</v>
      </c>
      <c r="R242" s="5"/>
      <c r="S242" s="5"/>
      <c r="T242" s="5"/>
      <c r="U242" s="5"/>
      <c r="V242" s="5"/>
      <c r="W242" s="5"/>
      <c r="X242" s="5"/>
      <c r="Y242" s="5"/>
      <c r="Z242" s="5"/>
    </row>
    <row r="243" hidden="1">
      <c r="A243" s="5"/>
      <c r="B243" s="11">
        <v>48.0</v>
      </c>
      <c r="C243" s="26">
        <v>45888.0</v>
      </c>
      <c r="D243" s="13" t="s">
        <v>365</v>
      </c>
      <c r="E243" s="1" t="s">
        <v>740</v>
      </c>
      <c r="F243" s="1"/>
      <c r="G243" s="11"/>
      <c r="H243" s="11" t="s">
        <v>729</v>
      </c>
      <c r="I243" s="16" t="s">
        <v>741</v>
      </c>
      <c r="J243" s="11" t="s">
        <v>25</v>
      </c>
      <c r="K243" s="1" t="b">
        <v>0</v>
      </c>
      <c r="L243" s="1" t="b">
        <v>0</v>
      </c>
      <c r="M243" s="5" t="b">
        <v>0</v>
      </c>
      <c r="N243" s="1" t="b">
        <v>0</v>
      </c>
      <c r="O243" s="5" t="b">
        <v>0</v>
      </c>
      <c r="P243" s="1" t="b">
        <v>1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11">
        <v>49.0</v>
      </c>
      <c r="C244" s="26">
        <v>45894.0</v>
      </c>
      <c r="D244" s="13" t="s">
        <v>742</v>
      </c>
      <c r="E244" s="1"/>
      <c r="F244" s="1">
        <v>7.77318834E8</v>
      </c>
      <c r="G244" s="11" t="s">
        <v>411</v>
      </c>
      <c r="H244" s="43"/>
      <c r="I244" s="16" t="s">
        <v>743</v>
      </c>
      <c r="J244" s="11" t="s">
        <v>841</v>
      </c>
      <c r="K244" s="1" t="b">
        <v>0</v>
      </c>
      <c r="L244" s="1" t="b">
        <v>0</v>
      </c>
      <c r="M244" s="5" t="b">
        <v>0</v>
      </c>
      <c r="N244" s="5" t="b">
        <v>0</v>
      </c>
      <c r="O244" s="5" t="b">
        <v>0</v>
      </c>
      <c r="P244" s="1" t="b">
        <v>0</v>
      </c>
      <c r="Q244" s="1"/>
      <c r="R244" s="5"/>
      <c r="S244" s="5"/>
      <c r="T244" s="5"/>
      <c r="U244" s="5"/>
      <c r="V244" s="5"/>
      <c r="W244" s="5"/>
      <c r="X244" s="5"/>
      <c r="Y244" s="5"/>
      <c r="Z244" s="5"/>
    </row>
    <row r="245" hidden="1">
      <c r="A245" s="5"/>
      <c r="B245" s="11">
        <v>50.0</v>
      </c>
      <c r="C245" s="26">
        <v>45895.0</v>
      </c>
      <c r="D245" s="13" t="s">
        <v>744</v>
      </c>
      <c r="E245" s="1"/>
      <c r="F245" s="1">
        <v>7.84532976E8</v>
      </c>
      <c r="G245" s="11" t="s">
        <v>45</v>
      </c>
      <c r="H245" s="43"/>
      <c r="I245" s="16" t="s">
        <v>745</v>
      </c>
      <c r="J245" s="11" t="s">
        <v>25</v>
      </c>
      <c r="K245" s="1" t="b">
        <v>1</v>
      </c>
      <c r="L245" s="1" t="b">
        <v>0</v>
      </c>
      <c r="M245" s="5" t="b">
        <v>0</v>
      </c>
      <c r="N245" s="5" t="b">
        <v>0</v>
      </c>
      <c r="O245" s="5" t="b">
        <v>0</v>
      </c>
      <c r="P245" s="1" t="b">
        <v>1</v>
      </c>
      <c r="Q245" s="71" t="s">
        <v>746</v>
      </c>
      <c r="R245" s="5"/>
      <c r="S245" s="5"/>
      <c r="T245" s="5"/>
      <c r="U245" s="5"/>
      <c r="V245" s="5"/>
      <c r="W245" s="5"/>
      <c r="X245" s="5"/>
      <c r="Y245" s="5"/>
      <c r="Z245" s="5"/>
    </row>
    <row r="246" hidden="1">
      <c r="A246" s="5"/>
      <c r="B246" s="11">
        <v>51.0</v>
      </c>
      <c r="C246" s="26">
        <v>45895.0</v>
      </c>
      <c r="D246" s="13" t="s">
        <v>747</v>
      </c>
      <c r="E246" s="1" t="s">
        <v>748</v>
      </c>
      <c r="F246" s="1">
        <v>7.75702777E8</v>
      </c>
      <c r="G246" s="11" t="s">
        <v>28</v>
      </c>
      <c r="H246" s="43"/>
      <c r="I246" s="16" t="s">
        <v>749</v>
      </c>
      <c r="J246" s="11" t="s">
        <v>173</v>
      </c>
      <c r="K246" s="1" t="b">
        <v>1</v>
      </c>
      <c r="L246" s="1" t="b">
        <v>0</v>
      </c>
      <c r="M246" s="5" t="b">
        <v>0</v>
      </c>
      <c r="N246" s="5" t="b">
        <v>0</v>
      </c>
      <c r="O246" s="5" t="b">
        <v>0</v>
      </c>
      <c r="P246" s="1" t="b">
        <v>0</v>
      </c>
      <c r="Q246" s="1"/>
      <c r="R246" s="5"/>
      <c r="S246" s="5"/>
      <c r="T246" s="5"/>
      <c r="U246" s="5"/>
      <c r="V246" s="5"/>
      <c r="W246" s="5"/>
      <c r="X246" s="5"/>
      <c r="Y246" s="5"/>
      <c r="Z246" s="5"/>
    </row>
    <row r="247" hidden="1">
      <c r="A247" s="5"/>
      <c r="B247" s="11">
        <v>52.0</v>
      </c>
      <c r="C247" s="26">
        <v>45895.0</v>
      </c>
      <c r="D247" s="13" t="s">
        <v>750</v>
      </c>
      <c r="E247" s="1" t="s">
        <v>688</v>
      </c>
      <c r="F247" s="1"/>
      <c r="G247" s="11" t="s">
        <v>411</v>
      </c>
      <c r="H247" s="43"/>
      <c r="I247" s="16"/>
      <c r="J247" s="11" t="s">
        <v>25</v>
      </c>
      <c r="K247" s="1" t="b">
        <v>1</v>
      </c>
      <c r="L247" s="1" t="b">
        <v>0</v>
      </c>
      <c r="M247" s="5" t="b">
        <v>0</v>
      </c>
      <c r="N247" s="5" t="b">
        <v>0</v>
      </c>
      <c r="O247" s="5" t="b">
        <v>0</v>
      </c>
      <c r="P247" s="1" t="b">
        <v>0</v>
      </c>
      <c r="Q247" s="1" t="s">
        <v>751</v>
      </c>
      <c r="R247" s="5"/>
      <c r="S247" s="5"/>
      <c r="T247" s="5"/>
      <c r="U247" s="5"/>
      <c r="V247" s="5"/>
      <c r="W247" s="5"/>
      <c r="X247" s="5"/>
      <c r="Y247" s="5"/>
      <c r="Z247" s="5"/>
    </row>
    <row r="248" hidden="1">
      <c r="A248" s="5"/>
      <c r="B248" s="11">
        <v>53.0</v>
      </c>
      <c r="C248" s="26">
        <v>45895.0</v>
      </c>
      <c r="D248" s="59" t="s">
        <v>752</v>
      </c>
      <c r="E248" s="1" t="s">
        <v>753</v>
      </c>
      <c r="F248" s="1">
        <v>7.72270293E8</v>
      </c>
      <c r="G248" s="11" t="s">
        <v>28</v>
      </c>
      <c r="H248" s="43"/>
      <c r="I248" s="16" t="s">
        <v>754</v>
      </c>
      <c r="J248" s="11" t="s">
        <v>25</v>
      </c>
      <c r="K248" s="1" t="b">
        <v>1</v>
      </c>
      <c r="L248" s="1" t="b">
        <v>0</v>
      </c>
      <c r="M248" s="5" t="b">
        <v>0</v>
      </c>
      <c r="N248" s="5" t="b">
        <v>0</v>
      </c>
      <c r="O248" s="5" t="b">
        <v>0</v>
      </c>
      <c r="P248" s="1" t="b">
        <v>0</v>
      </c>
      <c r="Q248" s="1"/>
      <c r="R248" s="5"/>
      <c r="S248" s="5"/>
      <c r="T248" s="5"/>
      <c r="U248" s="5"/>
      <c r="V248" s="5"/>
      <c r="W248" s="5"/>
      <c r="X248" s="5"/>
      <c r="Y248" s="5"/>
      <c r="Z248" s="5"/>
    </row>
    <row r="249" hidden="1">
      <c r="A249" s="5"/>
      <c r="B249" s="11">
        <v>54.0</v>
      </c>
      <c r="C249" s="26">
        <v>45895.0</v>
      </c>
      <c r="D249" s="13" t="s">
        <v>115</v>
      </c>
      <c r="E249" s="1"/>
      <c r="F249" s="1"/>
      <c r="G249" s="11" t="s">
        <v>45</v>
      </c>
      <c r="H249" s="43"/>
      <c r="I249" s="16" t="s">
        <v>755</v>
      </c>
      <c r="J249" s="11" t="s">
        <v>233</v>
      </c>
      <c r="K249" s="1" t="b">
        <v>1</v>
      </c>
      <c r="L249" s="1" t="b">
        <v>0</v>
      </c>
      <c r="M249" s="5" t="b">
        <v>0</v>
      </c>
      <c r="N249" s="5" t="b">
        <v>0</v>
      </c>
      <c r="O249" s="5" t="b">
        <v>0</v>
      </c>
      <c r="P249" s="1" t="b">
        <v>0</v>
      </c>
      <c r="Q249" s="1"/>
      <c r="R249" s="5"/>
      <c r="S249" s="5"/>
      <c r="T249" s="5"/>
      <c r="U249" s="5"/>
      <c r="V249" s="5"/>
      <c r="W249" s="5"/>
      <c r="X249" s="5"/>
      <c r="Y249" s="5"/>
      <c r="Z249" s="5"/>
    </row>
    <row r="250" hidden="1">
      <c r="A250" s="5"/>
      <c r="B250" s="11">
        <v>55.0</v>
      </c>
      <c r="C250" s="26">
        <v>45896.0</v>
      </c>
      <c r="D250" s="13" t="s">
        <v>747</v>
      </c>
      <c r="E250" s="1" t="s">
        <v>756</v>
      </c>
      <c r="F250" s="1">
        <v>7.75702777E8</v>
      </c>
      <c r="G250" s="11" t="s">
        <v>45</v>
      </c>
      <c r="H250" s="43"/>
      <c r="I250" s="16" t="s">
        <v>757</v>
      </c>
      <c r="J250" s="11" t="s">
        <v>25</v>
      </c>
      <c r="K250" s="1" t="b">
        <v>1</v>
      </c>
      <c r="L250" s="1" t="b">
        <v>0</v>
      </c>
      <c r="M250" s="5" t="b">
        <v>0</v>
      </c>
      <c r="N250" s="1" t="b">
        <v>1</v>
      </c>
      <c r="O250" s="5" t="b">
        <v>0</v>
      </c>
      <c r="P250" s="1" t="b">
        <v>0</v>
      </c>
      <c r="Q250" s="1" t="s">
        <v>758</v>
      </c>
      <c r="R250" s="5"/>
      <c r="S250" s="5"/>
      <c r="T250" s="5"/>
      <c r="U250" s="5"/>
      <c r="V250" s="5"/>
      <c r="W250" s="5"/>
      <c r="X250" s="5"/>
      <c r="Y250" s="5"/>
      <c r="Z250" s="5"/>
    </row>
    <row r="251" hidden="1">
      <c r="A251" s="5"/>
      <c r="B251" s="11">
        <v>56.0</v>
      </c>
      <c r="C251" s="26">
        <v>45896.0</v>
      </c>
      <c r="D251" s="13" t="s">
        <v>759</v>
      </c>
      <c r="E251" s="1" t="s">
        <v>760</v>
      </c>
      <c r="F251" s="1"/>
      <c r="G251" s="11" t="s">
        <v>28</v>
      </c>
      <c r="H251" s="43"/>
      <c r="I251" s="16" t="s">
        <v>761</v>
      </c>
      <c r="J251" s="11" t="s">
        <v>25</v>
      </c>
      <c r="K251" s="1" t="b">
        <v>1</v>
      </c>
      <c r="L251" s="1" t="b">
        <v>0</v>
      </c>
      <c r="M251" s="5" t="b">
        <v>0</v>
      </c>
      <c r="N251" s="5" t="b">
        <v>0</v>
      </c>
      <c r="O251" s="5" t="b">
        <v>0</v>
      </c>
      <c r="P251" s="1" t="b">
        <v>1</v>
      </c>
      <c r="Q251" s="1" t="s">
        <v>762</v>
      </c>
      <c r="R251" s="5"/>
      <c r="S251" s="5"/>
      <c r="T251" s="5"/>
      <c r="U251" s="5"/>
      <c r="V251" s="5"/>
      <c r="W251" s="5"/>
      <c r="X251" s="5"/>
      <c r="Y251" s="5"/>
      <c r="Z251" s="5"/>
    </row>
    <row r="252" hidden="1">
      <c r="A252" s="5"/>
      <c r="B252" s="11">
        <v>57.0</v>
      </c>
      <c r="C252" s="26">
        <v>45897.0</v>
      </c>
      <c r="D252" s="13" t="s">
        <v>763</v>
      </c>
      <c r="E252" s="1" t="s">
        <v>764</v>
      </c>
      <c r="F252" s="1">
        <v>7.72252774E8</v>
      </c>
      <c r="G252" s="11" t="s">
        <v>411</v>
      </c>
      <c r="H252" s="43"/>
      <c r="I252" s="16" t="s">
        <v>765</v>
      </c>
      <c r="J252" s="11" t="s">
        <v>233</v>
      </c>
      <c r="K252" s="1" t="b">
        <v>0</v>
      </c>
      <c r="L252" s="1" t="b">
        <v>1</v>
      </c>
      <c r="M252" s="5" t="b">
        <v>0</v>
      </c>
      <c r="N252" s="5" t="b">
        <v>0</v>
      </c>
      <c r="O252" s="5" t="b">
        <v>0</v>
      </c>
      <c r="P252" s="1" t="b">
        <v>0</v>
      </c>
      <c r="Q252" s="1" t="s">
        <v>766</v>
      </c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11">
        <v>58.0</v>
      </c>
      <c r="C253" s="26">
        <v>45897.0</v>
      </c>
      <c r="D253" s="13" t="s">
        <v>767</v>
      </c>
      <c r="E253" s="1" t="s">
        <v>768</v>
      </c>
      <c r="F253" s="1">
        <v>7.85098012E8</v>
      </c>
      <c r="G253" s="11" t="s">
        <v>411</v>
      </c>
      <c r="H253" s="43"/>
      <c r="I253" s="16" t="s">
        <v>769</v>
      </c>
      <c r="J253" s="11" t="s">
        <v>734</v>
      </c>
      <c r="K253" s="1" t="b">
        <v>1</v>
      </c>
      <c r="L253" s="1" t="b">
        <v>1</v>
      </c>
      <c r="M253" s="5" t="b">
        <v>0</v>
      </c>
      <c r="N253" s="5" t="b">
        <v>0</v>
      </c>
      <c r="O253" s="5" t="b">
        <v>0</v>
      </c>
      <c r="P253" s="1" t="b">
        <v>0</v>
      </c>
      <c r="Q253" s="1"/>
      <c r="R253" s="5"/>
      <c r="S253" s="5"/>
      <c r="T253" s="5"/>
      <c r="U253" s="5"/>
      <c r="V253" s="5"/>
      <c r="W253" s="5"/>
      <c r="X253" s="5"/>
      <c r="Y253" s="5"/>
      <c r="Z253" s="5"/>
    </row>
    <row r="254" hidden="1">
      <c r="A254" s="5"/>
      <c r="B254" s="11">
        <v>59.0</v>
      </c>
      <c r="C254" s="26">
        <v>45897.0</v>
      </c>
      <c r="D254" s="13" t="s">
        <v>770</v>
      </c>
      <c r="E254" s="1" t="s">
        <v>771</v>
      </c>
      <c r="F254" s="1">
        <v>7.72869736E8</v>
      </c>
      <c r="G254" s="11" t="s">
        <v>28</v>
      </c>
      <c r="H254" s="43"/>
      <c r="I254" s="16" t="s">
        <v>772</v>
      </c>
      <c r="J254" s="11" t="s">
        <v>25</v>
      </c>
      <c r="K254" s="1" t="b">
        <v>1</v>
      </c>
      <c r="L254" s="1" t="b">
        <v>0</v>
      </c>
      <c r="M254" s="5" t="b">
        <v>0</v>
      </c>
      <c r="N254" s="5" t="b">
        <v>0</v>
      </c>
      <c r="O254" s="5" t="b">
        <v>0</v>
      </c>
      <c r="P254" s="1" t="b">
        <v>1</v>
      </c>
      <c r="Q254" s="1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11">
        <v>60.0</v>
      </c>
      <c r="C255" s="26">
        <v>45897.0</v>
      </c>
      <c r="D255" s="13" t="s">
        <v>773</v>
      </c>
      <c r="E255" s="1" t="s">
        <v>774</v>
      </c>
      <c r="F255" s="1"/>
      <c r="G255" s="11" t="s">
        <v>411</v>
      </c>
      <c r="H255" s="43"/>
      <c r="I255" s="16" t="s">
        <v>775</v>
      </c>
      <c r="J255" s="11" t="s">
        <v>734</v>
      </c>
      <c r="K255" s="1" t="b">
        <v>0</v>
      </c>
      <c r="L255" s="1" t="b">
        <v>0</v>
      </c>
      <c r="M255" s="5" t="b">
        <v>0</v>
      </c>
      <c r="N255" s="5" t="b">
        <v>0</v>
      </c>
      <c r="O255" s="5" t="b">
        <v>0</v>
      </c>
      <c r="P255" s="1" t="b">
        <v>0</v>
      </c>
      <c r="Q255" s="1"/>
      <c r="R255" s="5"/>
      <c r="S255" s="5"/>
      <c r="T255" s="5"/>
      <c r="U255" s="5"/>
      <c r="V255" s="5"/>
      <c r="W255" s="5"/>
      <c r="X255" s="5"/>
      <c r="Y255" s="5"/>
      <c r="Z255" s="5"/>
    </row>
    <row r="256" hidden="1">
      <c r="A256" s="5"/>
      <c r="B256" s="11">
        <v>61.0</v>
      </c>
      <c r="C256" s="11" t="s">
        <v>776</v>
      </c>
      <c r="D256" s="13" t="s">
        <v>603</v>
      </c>
      <c r="E256" s="1" t="s">
        <v>777</v>
      </c>
      <c r="F256" s="1"/>
      <c r="G256" s="11" t="s">
        <v>411</v>
      </c>
      <c r="H256" s="26">
        <v>45909.0</v>
      </c>
      <c r="I256" s="16" t="s">
        <v>778</v>
      </c>
      <c r="J256" s="11" t="s">
        <v>25</v>
      </c>
      <c r="K256" s="1" t="b">
        <v>1</v>
      </c>
      <c r="L256" s="1" t="b">
        <v>0</v>
      </c>
      <c r="M256" s="5" t="b">
        <v>0</v>
      </c>
      <c r="N256" s="5" t="b">
        <v>0</v>
      </c>
      <c r="O256" s="1" t="b">
        <v>1</v>
      </c>
      <c r="P256" s="1" t="b">
        <v>1</v>
      </c>
      <c r="Q256" s="1" t="s">
        <v>779</v>
      </c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11">
        <v>62.0</v>
      </c>
      <c r="C257" s="11" t="s">
        <v>776</v>
      </c>
      <c r="D257" s="13" t="s">
        <v>622</v>
      </c>
      <c r="E257" s="1" t="s">
        <v>69</v>
      </c>
      <c r="F257" s="1"/>
      <c r="G257" s="11" t="s">
        <v>411</v>
      </c>
      <c r="H257" s="43"/>
      <c r="I257" s="16" t="s">
        <v>780</v>
      </c>
      <c r="J257" s="11" t="s">
        <v>781</v>
      </c>
      <c r="K257" s="1" t="b">
        <v>0</v>
      </c>
      <c r="L257" s="1" t="b">
        <v>0</v>
      </c>
      <c r="M257" s="5" t="b">
        <v>0</v>
      </c>
      <c r="N257" s="5" t="b">
        <v>0</v>
      </c>
      <c r="O257" s="5" t="b">
        <v>0</v>
      </c>
      <c r="P257" s="1" t="b">
        <v>0</v>
      </c>
      <c r="Q257" s="1"/>
      <c r="R257" s="5"/>
      <c r="S257" s="5"/>
      <c r="T257" s="5"/>
      <c r="U257" s="5"/>
      <c r="V257" s="5"/>
      <c r="W257" s="5"/>
      <c r="X257" s="5"/>
      <c r="Y257" s="5"/>
      <c r="Z257" s="5"/>
    </row>
    <row r="258" hidden="1">
      <c r="A258" s="5"/>
      <c r="B258" s="11">
        <v>63.0</v>
      </c>
      <c r="C258" s="26">
        <v>45904.0</v>
      </c>
      <c r="D258" s="13" t="s">
        <v>580</v>
      </c>
      <c r="E258" s="1" t="s">
        <v>782</v>
      </c>
      <c r="F258" s="1"/>
      <c r="G258" s="11" t="s">
        <v>411</v>
      </c>
      <c r="H258" s="26">
        <v>45905.0</v>
      </c>
      <c r="I258" s="16" t="s">
        <v>783</v>
      </c>
      <c r="J258" s="11" t="s">
        <v>25</v>
      </c>
      <c r="K258" s="1" t="b">
        <v>1</v>
      </c>
      <c r="L258" s="1" t="b">
        <v>1</v>
      </c>
      <c r="M258" s="1" t="b">
        <v>1</v>
      </c>
      <c r="N258" s="1" t="b">
        <v>1</v>
      </c>
      <c r="O258" s="1" t="b">
        <v>1</v>
      </c>
      <c r="P258" s="1" t="b">
        <v>1</v>
      </c>
      <c r="Q258" s="1" t="s">
        <v>784</v>
      </c>
      <c r="R258" s="5"/>
      <c r="S258" s="5"/>
      <c r="T258" s="5"/>
      <c r="U258" s="5"/>
      <c r="V258" s="5"/>
      <c r="W258" s="5"/>
      <c r="X258" s="5"/>
      <c r="Y258" s="5"/>
      <c r="Z258" s="5"/>
    </row>
    <row r="259" hidden="1">
      <c r="A259" s="5"/>
      <c r="B259" s="11">
        <v>64.0</v>
      </c>
      <c r="C259" s="26">
        <v>45904.0</v>
      </c>
      <c r="D259" s="13" t="s">
        <v>687</v>
      </c>
      <c r="E259" s="1" t="s">
        <v>54</v>
      </c>
      <c r="F259" s="1"/>
      <c r="G259" s="11" t="s">
        <v>411</v>
      </c>
      <c r="H259" s="43"/>
      <c r="I259" s="16" t="s">
        <v>785</v>
      </c>
      <c r="J259" s="11" t="s">
        <v>25</v>
      </c>
      <c r="K259" s="1" t="b">
        <v>1</v>
      </c>
      <c r="L259" s="1" t="b">
        <v>0</v>
      </c>
      <c r="M259" s="5" t="b">
        <v>0</v>
      </c>
      <c r="N259" s="5" t="b">
        <v>0</v>
      </c>
      <c r="O259" s="5" t="b">
        <v>0</v>
      </c>
      <c r="P259" s="1" t="b">
        <v>1</v>
      </c>
      <c r="Q259" s="1"/>
      <c r="R259" s="5"/>
      <c r="S259" s="5"/>
      <c r="T259" s="5"/>
      <c r="U259" s="5"/>
      <c r="V259" s="5"/>
      <c r="W259" s="5"/>
      <c r="X259" s="5"/>
      <c r="Y259" s="5"/>
      <c r="Z259" s="5"/>
    </row>
    <row r="260" hidden="1">
      <c r="A260" s="5"/>
      <c r="B260" s="11">
        <v>65.0</v>
      </c>
      <c r="C260" s="26">
        <v>45908.0</v>
      </c>
      <c r="D260" s="13" t="s">
        <v>786</v>
      </c>
      <c r="E260" s="1" t="s">
        <v>787</v>
      </c>
      <c r="F260" s="1"/>
      <c r="G260" s="11" t="s">
        <v>411</v>
      </c>
      <c r="H260" s="43"/>
      <c r="I260" s="16" t="s">
        <v>788</v>
      </c>
      <c r="J260" s="11" t="s">
        <v>233</v>
      </c>
      <c r="K260" s="1" t="b">
        <v>1</v>
      </c>
      <c r="L260" s="1" t="b">
        <v>1</v>
      </c>
      <c r="M260" s="5" t="b">
        <v>0</v>
      </c>
      <c r="N260" s="5" t="b">
        <v>0</v>
      </c>
      <c r="O260" s="5" t="b">
        <v>0</v>
      </c>
      <c r="P260" s="1" t="b">
        <v>0</v>
      </c>
      <c r="Q260" s="1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11">
        <v>66.0</v>
      </c>
      <c r="C261" s="26">
        <v>45909.0</v>
      </c>
      <c r="D261" s="13" t="s">
        <v>773</v>
      </c>
      <c r="E261" s="1" t="s">
        <v>774</v>
      </c>
      <c r="F261" s="1"/>
      <c r="G261" s="11" t="s">
        <v>411</v>
      </c>
      <c r="H261" s="43"/>
      <c r="I261" s="16" t="s">
        <v>789</v>
      </c>
      <c r="J261" s="11" t="s">
        <v>813</v>
      </c>
      <c r="K261" s="1" t="b">
        <v>0</v>
      </c>
      <c r="L261" s="1" t="b">
        <v>1</v>
      </c>
      <c r="M261" s="5" t="b">
        <v>0</v>
      </c>
      <c r="N261" s="5" t="b">
        <v>0</v>
      </c>
      <c r="O261" s="5" t="b">
        <v>0</v>
      </c>
      <c r="P261" s="1" t="b">
        <v>0</v>
      </c>
      <c r="Q261" s="1" t="s">
        <v>790</v>
      </c>
      <c r="R261" s="5"/>
      <c r="S261" s="5"/>
      <c r="T261" s="5"/>
      <c r="U261" s="5"/>
      <c r="V261" s="5"/>
      <c r="W261" s="5"/>
      <c r="X261" s="5"/>
      <c r="Y261" s="5"/>
      <c r="Z261" s="5"/>
    </row>
    <row r="262" hidden="1">
      <c r="A262" s="5"/>
      <c r="B262" s="11">
        <v>67.0</v>
      </c>
      <c r="C262" s="26">
        <v>45910.0</v>
      </c>
      <c r="D262" s="13" t="s">
        <v>791</v>
      </c>
      <c r="E262" s="1" t="s">
        <v>792</v>
      </c>
      <c r="F262" s="1"/>
      <c r="G262" s="11" t="s">
        <v>28</v>
      </c>
      <c r="H262" s="43"/>
      <c r="I262" s="16" t="s">
        <v>793</v>
      </c>
      <c r="J262" s="11" t="s">
        <v>25</v>
      </c>
      <c r="K262" s="1" t="b">
        <v>1</v>
      </c>
      <c r="L262" s="1" t="b">
        <v>0</v>
      </c>
      <c r="M262" s="5" t="b">
        <v>0</v>
      </c>
      <c r="N262" s="5" t="b">
        <v>0</v>
      </c>
      <c r="O262" s="5" t="b">
        <v>0</v>
      </c>
      <c r="P262" s="1" t="b">
        <v>1</v>
      </c>
      <c r="Q262" s="1"/>
      <c r="R262" s="5"/>
      <c r="S262" s="5"/>
      <c r="T262" s="5"/>
      <c r="U262" s="5"/>
      <c r="V262" s="5"/>
      <c r="W262" s="5"/>
      <c r="X262" s="5"/>
      <c r="Y262" s="5"/>
      <c r="Z262" s="5"/>
    </row>
    <row r="263" hidden="1">
      <c r="A263" s="5"/>
      <c r="B263" s="11">
        <v>68.0</v>
      </c>
      <c r="C263" s="26">
        <v>45910.0</v>
      </c>
      <c r="D263" s="13" t="s">
        <v>794</v>
      </c>
      <c r="E263" s="1" t="s">
        <v>141</v>
      </c>
      <c r="F263" s="1"/>
      <c r="G263" s="11" t="s">
        <v>411</v>
      </c>
      <c r="H263" s="43"/>
      <c r="I263" s="16" t="s">
        <v>795</v>
      </c>
      <c r="J263" s="11" t="s">
        <v>25</v>
      </c>
      <c r="K263" s="1" t="b">
        <v>1</v>
      </c>
      <c r="L263" s="1" t="b">
        <v>0</v>
      </c>
      <c r="M263" s="5" t="b">
        <v>0</v>
      </c>
      <c r="N263" s="5" t="b">
        <v>0</v>
      </c>
      <c r="O263" s="5" t="b">
        <v>0</v>
      </c>
      <c r="P263" s="1" t="b">
        <v>0</v>
      </c>
      <c r="Q263" s="1"/>
      <c r="R263" s="5"/>
      <c r="S263" s="5"/>
      <c r="T263" s="5"/>
      <c r="U263" s="5"/>
      <c r="V263" s="5"/>
      <c r="W263" s="5"/>
      <c r="X263" s="5"/>
      <c r="Y263" s="5"/>
      <c r="Z263" s="5"/>
    </row>
    <row r="264" hidden="1">
      <c r="A264" s="5"/>
      <c r="B264" s="11">
        <v>69.0</v>
      </c>
      <c r="C264" s="26">
        <v>45910.0</v>
      </c>
      <c r="D264" s="13" t="s">
        <v>796</v>
      </c>
      <c r="E264" s="1" t="s">
        <v>797</v>
      </c>
      <c r="F264" s="1">
        <f>41798940793</f>
        <v>41798940793</v>
      </c>
      <c r="G264" s="11" t="s">
        <v>411</v>
      </c>
      <c r="H264" s="43"/>
      <c r="I264" s="16"/>
      <c r="J264" s="11" t="s">
        <v>233</v>
      </c>
      <c r="K264" s="1" t="b">
        <v>0</v>
      </c>
      <c r="L264" s="1" t="b">
        <v>0</v>
      </c>
      <c r="M264" s="5" t="b">
        <v>0</v>
      </c>
      <c r="N264" s="5" t="b">
        <v>0</v>
      </c>
      <c r="O264" s="5" t="b">
        <v>0</v>
      </c>
      <c r="P264" s="1" t="b">
        <v>0</v>
      </c>
      <c r="Q264" s="1"/>
      <c r="R264" s="5"/>
      <c r="S264" s="5"/>
      <c r="T264" s="5"/>
      <c r="U264" s="5"/>
      <c r="V264" s="5"/>
      <c r="W264" s="5"/>
      <c r="X264" s="5"/>
      <c r="Y264" s="5"/>
      <c r="Z264" s="5"/>
    </row>
    <row r="265" hidden="1">
      <c r="A265" s="5"/>
      <c r="B265" s="11">
        <v>70.0</v>
      </c>
      <c r="C265" s="26">
        <v>45910.0</v>
      </c>
      <c r="D265" s="13"/>
      <c r="E265" s="1" t="s">
        <v>798</v>
      </c>
      <c r="F265" s="1">
        <v>7.73049801E8</v>
      </c>
      <c r="G265" s="11" t="s">
        <v>411</v>
      </c>
      <c r="H265" s="43"/>
      <c r="I265" s="16" t="s">
        <v>799</v>
      </c>
      <c r="J265" s="11" t="s">
        <v>173</v>
      </c>
      <c r="K265" s="1" t="b">
        <v>0</v>
      </c>
      <c r="L265" s="1" t="b">
        <v>0</v>
      </c>
      <c r="M265" s="5" t="b">
        <v>0</v>
      </c>
      <c r="N265" s="5" t="b">
        <v>0</v>
      </c>
      <c r="O265" s="5" t="b">
        <v>0</v>
      </c>
      <c r="P265" s="1" t="b">
        <v>0</v>
      </c>
      <c r="Q265" s="1" t="s">
        <v>800</v>
      </c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11">
        <v>71.0</v>
      </c>
      <c r="C266" s="26">
        <v>45911.0</v>
      </c>
      <c r="D266" s="13" t="s">
        <v>801</v>
      </c>
      <c r="E266" s="1" t="s">
        <v>802</v>
      </c>
      <c r="F266" s="1">
        <v>7.72279051E8</v>
      </c>
      <c r="G266" s="11" t="s">
        <v>411</v>
      </c>
      <c r="H266" s="43"/>
      <c r="I266" s="16" t="s">
        <v>1035</v>
      </c>
      <c r="J266" s="11" t="s">
        <v>1036</v>
      </c>
      <c r="K266" s="1" t="b">
        <v>1</v>
      </c>
      <c r="L266" s="1" t="b">
        <v>0</v>
      </c>
      <c r="M266" s="5" t="b">
        <v>0</v>
      </c>
      <c r="N266" s="5" t="b">
        <v>0</v>
      </c>
      <c r="O266" s="5" t="b">
        <v>0</v>
      </c>
      <c r="P266" s="1" t="b">
        <v>0</v>
      </c>
      <c r="Q266" s="1" t="s">
        <v>1037</v>
      </c>
      <c r="R266" s="5"/>
      <c r="S266" s="5"/>
      <c r="T266" s="5"/>
      <c r="U266" s="5"/>
      <c r="V266" s="5"/>
      <c r="W266" s="5"/>
      <c r="X266" s="5"/>
      <c r="Y266" s="5"/>
      <c r="Z266" s="5"/>
    </row>
    <row r="267" hidden="1">
      <c r="A267" s="5"/>
      <c r="B267" s="11">
        <v>73.0</v>
      </c>
      <c r="C267" s="26">
        <v>45915.0</v>
      </c>
      <c r="D267" s="13" t="s">
        <v>57</v>
      </c>
      <c r="E267" s="1" t="s">
        <v>805</v>
      </c>
      <c r="F267" s="1"/>
      <c r="G267" s="11" t="s">
        <v>411</v>
      </c>
      <c r="H267" s="43"/>
      <c r="I267" s="16" t="s">
        <v>1038</v>
      </c>
      <c r="J267" s="11" t="s">
        <v>739</v>
      </c>
      <c r="K267" s="1" t="b">
        <v>1</v>
      </c>
      <c r="L267" s="1" t="b">
        <v>0</v>
      </c>
      <c r="M267" s="5" t="b">
        <v>0</v>
      </c>
      <c r="N267" s="5" t="b">
        <v>0</v>
      </c>
      <c r="O267" s="5" t="b">
        <v>0</v>
      </c>
      <c r="P267" s="1" t="b">
        <v>0</v>
      </c>
      <c r="Q267" s="1" t="s">
        <v>1039</v>
      </c>
      <c r="R267" s="5"/>
      <c r="S267" s="5"/>
      <c r="T267" s="5"/>
      <c r="U267" s="5"/>
      <c r="V267" s="5"/>
      <c r="W267" s="5"/>
      <c r="X267" s="5"/>
      <c r="Y267" s="5"/>
      <c r="Z267" s="5"/>
    </row>
    <row r="268" hidden="1">
      <c r="A268" s="5"/>
      <c r="B268" s="11">
        <v>74.0</v>
      </c>
      <c r="C268" s="26">
        <v>45916.0</v>
      </c>
      <c r="D268" s="13" t="s">
        <v>807</v>
      </c>
      <c r="E268" s="1" t="s">
        <v>808</v>
      </c>
      <c r="F268" s="1"/>
      <c r="G268" s="11" t="s">
        <v>411</v>
      </c>
      <c r="H268" s="43"/>
      <c r="I268" s="16" t="s">
        <v>809</v>
      </c>
      <c r="J268" s="11" t="s">
        <v>233</v>
      </c>
      <c r="K268" s="1" t="b">
        <v>1</v>
      </c>
      <c r="L268" s="1" t="b">
        <v>0</v>
      </c>
      <c r="M268" s="5" t="b">
        <v>0</v>
      </c>
      <c r="N268" s="5" t="b">
        <v>0</v>
      </c>
      <c r="O268" s="5" t="b">
        <v>0</v>
      </c>
      <c r="P268" s="1" t="b">
        <v>0</v>
      </c>
      <c r="Q268" s="1" t="s">
        <v>810</v>
      </c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11">
        <v>75.0</v>
      </c>
      <c r="C269" s="26">
        <v>45916.0</v>
      </c>
      <c r="D269" s="13" t="s">
        <v>603</v>
      </c>
      <c r="E269" s="1" t="s">
        <v>811</v>
      </c>
      <c r="F269" s="1"/>
      <c r="G269" s="11" t="s">
        <v>411</v>
      </c>
      <c r="H269" s="43"/>
      <c r="I269" s="16" t="s">
        <v>812</v>
      </c>
      <c r="J269" s="11" t="s">
        <v>813</v>
      </c>
      <c r="K269" s="1" t="b">
        <v>1</v>
      </c>
      <c r="L269" s="1" t="b">
        <v>0</v>
      </c>
      <c r="M269" s="5" t="b">
        <v>0</v>
      </c>
      <c r="N269" s="5" t="b">
        <v>0</v>
      </c>
      <c r="O269" s="5" t="b">
        <v>0</v>
      </c>
      <c r="P269" s="1" t="b">
        <v>0</v>
      </c>
      <c r="Q269" s="1" t="s">
        <v>814</v>
      </c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11">
        <v>76.0</v>
      </c>
      <c r="C270" s="26">
        <v>45917.0</v>
      </c>
      <c r="D270" s="13" t="s">
        <v>1040</v>
      </c>
      <c r="E270" s="1" t="s">
        <v>726</v>
      </c>
      <c r="F270" s="1"/>
      <c r="G270" s="11" t="s">
        <v>411</v>
      </c>
      <c r="H270" s="43"/>
      <c r="I270" s="16" t="s">
        <v>1041</v>
      </c>
      <c r="J270" s="11" t="s">
        <v>841</v>
      </c>
      <c r="K270" s="1" t="b">
        <v>0</v>
      </c>
      <c r="L270" s="1" t="b">
        <v>0</v>
      </c>
      <c r="M270" s="5" t="b">
        <v>0</v>
      </c>
      <c r="N270" s="5" t="b">
        <v>0</v>
      </c>
      <c r="O270" s="5" t="b">
        <v>0</v>
      </c>
      <c r="P270" s="1" t="b">
        <v>0</v>
      </c>
      <c r="Q270" s="1" t="s">
        <v>1042</v>
      </c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11">
        <v>77.0</v>
      </c>
      <c r="C271" s="26">
        <v>45917.0</v>
      </c>
      <c r="D271" s="13" t="s">
        <v>584</v>
      </c>
      <c r="E271" s="1" t="s">
        <v>815</v>
      </c>
      <c r="F271" s="1"/>
      <c r="G271" s="11" t="s">
        <v>411</v>
      </c>
      <c r="H271" s="26">
        <v>45930.0</v>
      </c>
      <c r="I271" s="16" t="s">
        <v>816</v>
      </c>
      <c r="J271" s="11" t="s">
        <v>813</v>
      </c>
      <c r="K271" s="1" t="b">
        <v>1</v>
      </c>
      <c r="L271" s="1" t="b">
        <v>0</v>
      </c>
      <c r="M271" s="5" t="b">
        <v>0</v>
      </c>
      <c r="N271" s="5" t="b">
        <v>0</v>
      </c>
      <c r="O271" s="5" t="b">
        <v>0</v>
      </c>
      <c r="P271" s="1" t="b">
        <v>0</v>
      </c>
      <c r="Q271" s="1" t="s">
        <v>817</v>
      </c>
      <c r="R271" s="5"/>
      <c r="S271" s="5"/>
      <c r="T271" s="5"/>
      <c r="U271" s="5"/>
      <c r="V271" s="5"/>
      <c r="W271" s="5"/>
      <c r="X271" s="5"/>
      <c r="Y271" s="5"/>
      <c r="Z271" s="5"/>
    </row>
    <row r="272" hidden="1">
      <c r="A272" s="5"/>
      <c r="B272" s="11">
        <v>78.0</v>
      </c>
      <c r="C272" s="26">
        <v>45918.0</v>
      </c>
      <c r="D272" s="13" t="s">
        <v>818</v>
      </c>
      <c r="E272" s="1" t="s">
        <v>819</v>
      </c>
      <c r="F272" s="1"/>
      <c r="G272" s="11" t="s">
        <v>411</v>
      </c>
      <c r="H272" s="43"/>
      <c r="I272" s="16" t="s">
        <v>137</v>
      </c>
      <c r="J272" s="11" t="s">
        <v>25</v>
      </c>
      <c r="K272" s="1" t="b">
        <v>0</v>
      </c>
      <c r="L272" s="1" t="b">
        <v>0</v>
      </c>
      <c r="M272" s="5" t="b">
        <v>0</v>
      </c>
      <c r="N272" s="5" t="b">
        <v>0</v>
      </c>
      <c r="O272" s="5" t="b">
        <v>0</v>
      </c>
      <c r="P272" s="1" t="b">
        <v>0</v>
      </c>
      <c r="Q272" s="1" t="s">
        <v>820</v>
      </c>
      <c r="R272" s="5"/>
      <c r="S272" s="5"/>
      <c r="T272" s="5"/>
      <c r="U272" s="5"/>
      <c r="V272" s="5"/>
      <c r="W272" s="5"/>
      <c r="X272" s="5"/>
      <c r="Y272" s="5"/>
      <c r="Z272" s="5"/>
    </row>
    <row r="273" hidden="1">
      <c r="A273" s="5"/>
      <c r="B273" s="11">
        <v>79.0</v>
      </c>
      <c r="C273" s="26">
        <v>45918.0</v>
      </c>
      <c r="D273" s="13" t="s">
        <v>821</v>
      </c>
      <c r="E273" s="1" t="s">
        <v>77</v>
      </c>
      <c r="F273" s="1"/>
      <c r="G273" s="11" t="s">
        <v>411</v>
      </c>
      <c r="H273" s="43"/>
      <c r="I273" s="16" t="s">
        <v>822</v>
      </c>
      <c r="J273" s="11" t="s">
        <v>25</v>
      </c>
      <c r="K273" s="1" t="b">
        <v>1</v>
      </c>
      <c r="L273" s="1" t="b">
        <v>1</v>
      </c>
      <c r="M273" s="1" t="b">
        <v>1</v>
      </c>
      <c r="N273" s="5" t="b">
        <v>0</v>
      </c>
      <c r="O273" s="1" t="b">
        <v>1</v>
      </c>
      <c r="P273" s="1" t="b">
        <v>1</v>
      </c>
      <c r="Q273" s="1" t="s">
        <v>823</v>
      </c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11">
        <v>80.0</v>
      </c>
      <c r="C274" s="26">
        <v>45919.0</v>
      </c>
      <c r="D274" s="13" t="s">
        <v>824</v>
      </c>
      <c r="E274" s="1" t="s">
        <v>825</v>
      </c>
      <c r="F274" s="1"/>
      <c r="G274" s="11" t="s">
        <v>411</v>
      </c>
      <c r="H274" s="43"/>
      <c r="I274" s="16" t="s">
        <v>826</v>
      </c>
      <c r="J274" s="11" t="s">
        <v>813</v>
      </c>
      <c r="K274" s="1" t="b">
        <v>0</v>
      </c>
      <c r="L274" s="1" t="b">
        <v>0</v>
      </c>
      <c r="M274" s="5" t="b">
        <v>0</v>
      </c>
      <c r="N274" s="5" t="b">
        <v>0</v>
      </c>
      <c r="O274" s="5" t="b">
        <v>0</v>
      </c>
      <c r="P274" s="1" t="b">
        <v>0</v>
      </c>
      <c r="Q274" s="1" t="s">
        <v>827</v>
      </c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11">
        <v>81.0</v>
      </c>
      <c r="C275" s="26">
        <v>45920.0</v>
      </c>
      <c r="D275" s="13" t="s">
        <v>828</v>
      </c>
      <c r="E275" s="1" t="s">
        <v>829</v>
      </c>
      <c r="F275" s="1"/>
      <c r="G275" s="11" t="s">
        <v>411</v>
      </c>
      <c r="H275" s="43"/>
      <c r="I275" s="16"/>
      <c r="J275" s="11" t="s">
        <v>813</v>
      </c>
      <c r="K275" s="1" t="b">
        <v>0</v>
      </c>
      <c r="L275" s="1" t="b">
        <v>0</v>
      </c>
      <c r="M275" s="5" t="b">
        <v>0</v>
      </c>
      <c r="N275" s="5" t="b">
        <v>0</v>
      </c>
      <c r="O275" s="5" t="b">
        <v>0</v>
      </c>
      <c r="P275" s="1" t="b">
        <v>0</v>
      </c>
      <c r="Q275" s="1" t="s">
        <v>830</v>
      </c>
      <c r="R275" s="5"/>
      <c r="S275" s="5"/>
      <c r="T275" s="5"/>
      <c r="U275" s="5"/>
      <c r="V275" s="5"/>
      <c r="W275" s="5"/>
      <c r="X275" s="5"/>
      <c r="Y275" s="5"/>
      <c r="Z275" s="5"/>
    </row>
    <row r="276" hidden="1">
      <c r="A276" s="5"/>
      <c r="B276" s="11">
        <v>82.0</v>
      </c>
      <c r="C276" s="26">
        <v>45921.0</v>
      </c>
      <c r="D276" s="13" t="s">
        <v>831</v>
      </c>
      <c r="E276" s="1"/>
      <c r="F276" s="1"/>
      <c r="G276" s="11" t="s">
        <v>28</v>
      </c>
      <c r="H276" s="43"/>
      <c r="I276" s="16" t="s">
        <v>90</v>
      </c>
      <c r="J276" s="11" t="s">
        <v>25</v>
      </c>
      <c r="K276" s="1" t="b">
        <v>0</v>
      </c>
      <c r="L276" s="1" t="b">
        <v>0</v>
      </c>
      <c r="M276" s="5" t="b">
        <v>0</v>
      </c>
      <c r="N276" s="5" t="b">
        <v>0</v>
      </c>
      <c r="O276" s="5" t="b">
        <v>0</v>
      </c>
      <c r="P276" s="1" t="b">
        <v>0</v>
      </c>
      <c r="Q276" s="1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11">
        <v>83.0</v>
      </c>
      <c r="C277" s="26">
        <v>45922.0</v>
      </c>
      <c r="D277" s="13" t="s">
        <v>832</v>
      </c>
      <c r="E277" s="1" t="s">
        <v>1043</v>
      </c>
      <c r="F277" s="1"/>
      <c r="G277" s="11" t="s">
        <v>411</v>
      </c>
      <c r="H277" s="43"/>
      <c r="I277" s="16" t="s">
        <v>1044</v>
      </c>
      <c r="J277" s="11" t="s">
        <v>739</v>
      </c>
      <c r="K277" s="1" t="b">
        <v>1</v>
      </c>
      <c r="L277" s="1" t="b">
        <v>0</v>
      </c>
      <c r="M277" s="5" t="b">
        <v>0</v>
      </c>
      <c r="N277" s="5" t="b">
        <v>0</v>
      </c>
      <c r="O277" s="5" t="b">
        <v>0</v>
      </c>
      <c r="P277" s="1" t="b">
        <v>0</v>
      </c>
      <c r="Q277" s="1" t="s">
        <v>1045</v>
      </c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11">
        <v>84.0</v>
      </c>
      <c r="C278" s="26">
        <v>45923.0</v>
      </c>
      <c r="D278" s="13" t="s">
        <v>834</v>
      </c>
      <c r="E278" s="1"/>
      <c r="F278" s="1"/>
      <c r="G278" s="11" t="s">
        <v>411</v>
      </c>
      <c r="H278" s="43"/>
      <c r="I278" s="16"/>
      <c r="J278" s="11"/>
      <c r="K278" s="1" t="b">
        <v>0</v>
      </c>
      <c r="L278" s="1" t="b">
        <v>0</v>
      </c>
      <c r="M278" s="5" t="b">
        <v>0</v>
      </c>
      <c r="N278" s="5" t="b">
        <v>0</v>
      </c>
      <c r="O278" s="5" t="b">
        <v>0</v>
      </c>
      <c r="P278" s="1" t="b">
        <v>0</v>
      </c>
      <c r="Q278" s="1" t="s">
        <v>835</v>
      </c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11">
        <v>85.0</v>
      </c>
      <c r="C279" s="26">
        <v>45924.0</v>
      </c>
      <c r="D279" s="13" t="s">
        <v>622</v>
      </c>
      <c r="E279" s="1" t="s">
        <v>836</v>
      </c>
      <c r="F279" s="1"/>
      <c r="G279" s="11" t="s">
        <v>411</v>
      </c>
      <c r="H279" s="43"/>
      <c r="I279" s="16" t="s">
        <v>837</v>
      </c>
      <c r="J279" s="11" t="s">
        <v>1046</v>
      </c>
      <c r="K279" s="1" t="b">
        <v>1</v>
      </c>
      <c r="L279" s="1" t="b">
        <v>0</v>
      </c>
      <c r="M279" s="5" t="b">
        <v>0</v>
      </c>
      <c r="N279" s="5" t="b">
        <v>0</v>
      </c>
      <c r="O279" s="5" t="b">
        <v>0</v>
      </c>
      <c r="P279" s="1" t="b">
        <v>0</v>
      </c>
      <c r="Q279" s="1" t="s">
        <v>838</v>
      </c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11">
        <v>86.0</v>
      </c>
      <c r="C280" s="26">
        <v>45925.0</v>
      </c>
      <c r="D280" s="13" t="s">
        <v>707</v>
      </c>
      <c r="E280" s="1" t="s">
        <v>839</v>
      </c>
      <c r="F280" s="1"/>
      <c r="G280" s="11" t="s">
        <v>411</v>
      </c>
      <c r="H280" s="26">
        <v>45946.0</v>
      </c>
      <c r="I280" s="16" t="s">
        <v>840</v>
      </c>
      <c r="J280" s="11" t="s">
        <v>841</v>
      </c>
      <c r="K280" s="1" t="b">
        <v>0</v>
      </c>
      <c r="L280" s="1" t="b">
        <v>0</v>
      </c>
      <c r="M280" s="5" t="b">
        <v>0</v>
      </c>
      <c r="N280" s="5" t="b">
        <v>0</v>
      </c>
      <c r="O280" s="5" t="b">
        <v>0</v>
      </c>
      <c r="P280" s="1" t="b">
        <v>0</v>
      </c>
      <c r="Q280" s="1" t="s">
        <v>1047</v>
      </c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11">
        <v>87.0</v>
      </c>
      <c r="C281" s="26"/>
      <c r="D281" s="13" t="s">
        <v>842</v>
      </c>
      <c r="E281" s="1"/>
      <c r="F281" s="1"/>
      <c r="G281" s="11"/>
      <c r="H281" s="43"/>
      <c r="I281" s="16" t="s">
        <v>843</v>
      </c>
      <c r="J281" s="11" t="s">
        <v>928</v>
      </c>
      <c r="K281" s="1" t="b">
        <v>0</v>
      </c>
      <c r="L281" s="1" t="b">
        <v>0</v>
      </c>
      <c r="M281" s="5" t="b">
        <v>0</v>
      </c>
      <c r="N281" s="5" t="b">
        <v>0</v>
      </c>
      <c r="O281" s="5" t="b">
        <v>0</v>
      </c>
      <c r="P281" s="1" t="b">
        <v>0</v>
      </c>
      <c r="Q281" s="1"/>
      <c r="R281" s="5"/>
      <c r="S281" s="5"/>
      <c r="T281" s="5"/>
      <c r="U281" s="5"/>
      <c r="V281" s="5"/>
      <c r="W281" s="5"/>
      <c r="X281" s="5"/>
      <c r="Y281" s="5"/>
      <c r="Z281" s="5"/>
    </row>
    <row r="282" hidden="1">
      <c r="A282" s="5"/>
      <c r="B282" s="11">
        <v>88.0</v>
      </c>
      <c r="C282" s="26"/>
      <c r="D282" s="13" t="s">
        <v>227</v>
      </c>
      <c r="E282" s="1" t="s">
        <v>550</v>
      </c>
      <c r="F282" s="1"/>
      <c r="G282" s="11" t="s">
        <v>28</v>
      </c>
      <c r="H282" s="43"/>
      <c r="I282" s="16" t="s">
        <v>845</v>
      </c>
      <c r="J282" s="11" t="s">
        <v>846</v>
      </c>
      <c r="K282" s="1" t="b">
        <v>1</v>
      </c>
      <c r="L282" s="1" t="b">
        <v>0</v>
      </c>
      <c r="M282" s="5" t="b">
        <v>0</v>
      </c>
      <c r="N282" s="5" t="b">
        <v>0</v>
      </c>
      <c r="O282" s="5" t="b">
        <v>0</v>
      </c>
      <c r="P282" s="1" t="b">
        <v>1</v>
      </c>
      <c r="Q282" s="1"/>
      <c r="R282" s="5"/>
      <c r="S282" s="5"/>
      <c r="T282" s="5"/>
      <c r="U282" s="5"/>
      <c r="V282" s="5"/>
      <c r="W282" s="5"/>
      <c r="X282" s="5"/>
      <c r="Y282" s="5"/>
      <c r="Z282" s="5"/>
    </row>
    <row r="283" hidden="1">
      <c r="A283" s="5"/>
      <c r="B283" s="11">
        <v>89.0</v>
      </c>
      <c r="C283" s="11" t="s">
        <v>847</v>
      </c>
      <c r="D283" s="13" t="s">
        <v>707</v>
      </c>
      <c r="E283" s="1"/>
      <c r="F283" s="1"/>
      <c r="G283" s="11" t="s">
        <v>411</v>
      </c>
      <c r="H283" s="26">
        <v>45945.0</v>
      </c>
      <c r="I283" s="16" t="s">
        <v>848</v>
      </c>
      <c r="J283" s="11" t="s">
        <v>25</v>
      </c>
      <c r="K283" s="1" t="b">
        <v>1</v>
      </c>
      <c r="L283" s="1" t="b">
        <v>0</v>
      </c>
      <c r="M283" s="5" t="b">
        <v>0</v>
      </c>
      <c r="N283" s="5" t="b">
        <v>0</v>
      </c>
      <c r="O283" s="5" t="b">
        <v>0</v>
      </c>
      <c r="P283" s="1" t="b">
        <v>0</v>
      </c>
      <c r="Q283" s="1" t="s">
        <v>849</v>
      </c>
      <c r="R283" s="5"/>
      <c r="S283" s="5"/>
      <c r="T283" s="5"/>
      <c r="U283" s="5"/>
      <c r="V283" s="5"/>
      <c r="W283" s="5"/>
      <c r="X283" s="5"/>
      <c r="Y283" s="5"/>
      <c r="Z283" s="5"/>
    </row>
    <row r="284" hidden="1">
      <c r="A284" s="5"/>
      <c r="B284" s="11">
        <v>90.0</v>
      </c>
      <c r="C284" s="11" t="s">
        <v>844</v>
      </c>
      <c r="D284" s="13" t="s">
        <v>850</v>
      </c>
      <c r="E284" s="1"/>
      <c r="F284" s="1"/>
      <c r="G284" s="11"/>
      <c r="H284" s="43"/>
      <c r="I284" s="16" t="s">
        <v>851</v>
      </c>
      <c r="J284" s="11" t="s">
        <v>25</v>
      </c>
      <c r="K284" s="1" t="b">
        <v>0</v>
      </c>
      <c r="L284" s="1" t="b">
        <v>0</v>
      </c>
      <c r="M284" s="5" t="b">
        <v>0</v>
      </c>
      <c r="N284" s="5" t="b">
        <v>0</v>
      </c>
      <c r="O284" s="5" t="b">
        <v>0</v>
      </c>
      <c r="P284" s="1" t="b">
        <v>1</v>
      </c>
      <c r="Q284" s="1" t="s">
        <v>852</v>
      </c>
      <c r="R284" s="5"/>
      <c r="S284" s="5"/>
      <c r="T284" s="5"/>
      <c r="U284" s="5"/>
      <c r="V284" s="5"/>
      <c r="W284" s="5"/>
      <c r="X284" s="5"/>
      <c r="Y284" s="5"/>
      <c r="Z284" s="5"/>
    </row>
    <row r="285" hidden="1">
      <c r="A285" s="5"/>
      <c r="B285" s="11">
        <v>91.0</v>
      </c>
      <c r="C285" s="11" t="s">
        <v>853</v>
      </c>
      <c r="D285" s="58" t="s">
        <v>854</v>
      </c>
      <c r="E285" s="1"/>
      <c r="F285" s="1"/>
      <c r="G285" s="11"/>
      <c r="H285" s="43"/>
      <c r="I285" s="16" t="s">
        <v>1048</v>
      </c>
      <c r="J285" s="11" t="s">
        <v>739</v>
      </c>
      <c r="K285" s="1" t="b">
        <v>0</v>
      </c>
      <c r="L285" s="1" t="b">
        <v>0</v>
      </c>
      <c r="M285" s="5" t="b">
        <v>0</v>
      </c>
      <c r="N285" s="5" t="b">
        <v>0</v>
      </c>
      <c r="O285" s="5" t="b">
        <v>0</v>
      </c>
      <c r="P285" s="1" t="b">
        <v>0</v>
      </c>
      <c r="Q285" s="1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11">
        <v>92.0</v>
      </c>
      <c r="C286" s="11" t="s">
        <v>857</v>
      </c>
      <c r="D286" s="13" t="s">
        <v>707</v>
      </c>
      <c r="E286" s="1" t="s">
        <v>858</v>
      </c>
      <c r="F286" s="1"/>
      <c r="G286" s="11" t="s">
        <v>411</v>
      </c>
      <c r="H286" s="43"/>
      <c r="I286" s="16" t="s">
        <v>859</v>
      </c>
      <c r="J286" s="11" t="s">
        <v>739</v>
      </c>
      <c r="K286" s="1" t="b">
        <v>1</v>
      </c>
      <c r="L286" s="1" t="b">
        <v>0</v>
      </c>
      <c r="M286" s="5" t="b">
        <v>0</v>
      </c>
      <c r="N286" s="5" t="b">
        <v>0</v>
      </c>
      <c r="O286" s="5" t="b">
        <v>0</v>
      </c>
      <c r="P286" s="1" t="b">
        <v>0</v>
      </c>
      <c r="Q286" s="1" t="s">
        <v>1049</v>
      </c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11">
        <v>93.0</v>
      </c>
      <c r="C287" s="11" t="s">
        <v>857</v>
      </c>
      <c r="D287" s="13" t="s">
        <v>861</v>
      </c>
      <c r="E287" s="1"/>
      <c r="F287" s="1"/>
      <c r="G287" s="11" t="s">
        <v>411</v>
      </c>
      <c r="H287" s="43"/>
      <c r="I287" s="16"/>
      <c r="J287" s="11"/>
      <c r="K287" s="1" t="b">
        <v>0</v>
      </c>
      <c r="L287" s="1" t="b">
        <v>0</v>
      </c>
      <c r="M287" s="5" t="b">
        <v>0</v>
      </c>
      <c r="N287" s="5" t="b">
        <v>0</v>
      </c>
      <c r="O287" s="5" t="b">
        <v>0</v>
      </c>
      <c r="P287" s="1" t="b">
        <v>0</v>
      </c>
      <c r="Q287" s="1" t="s">
        <v>1050</v>
      </c>
      <c r="R287" s="5"/>
      <c r="S287" s="5"/>
      <c r="T287" s="5"/>
      <c r="U287" s="5"/>
      <c r="V287" s="5"/>
      <c r="W287" s="5"/>
      <c r="X287" s="5"/>
      <c r="Y287" s="5"/>
      <c r="Z287" s="5"/>
    </row>
    <row r="288" hidden="1">
      <c r="A288" s="5"/>
      <c r="B288" s="11">
        <v>94.0</v>
      </c>
      <c r="C288" s="11" t="s">
        <v>863</v>
      </c>
      <c r="D288" s="13" t="s">
        <v>801</v>
      </c>
      <c r="E288" s="1"/>
      <c r="F288" s="1"/>
      <c r="G288" s="11" t="s">
        <v>411</v>
      </c>
      <c r="H288" s="43"/>
      <c r="I288" s="16" t="s">
        <v>864</v>
      </c>
      <c r="J288" s="11" t="s">
        <v>739</v>
      </c>
      <c r="K288" s="1" t="b">
        <v>0</v>
      </c>
      <c r="L288" s="1" t="b">
        <v>0</v>
      </c>
      <c r="M288" s="5" t="b">
        <v>0</v>
      </c>
      <c r="N288" s="5" t="b">
        <v>0</v>
      </c>
      <c r="O288" s="5" t="b">
        <v>0</v>
      </c>
      <c r="P288" s="1" t="b">
        <v>0</v>
      </c>
      <c r="Q288" s="1" t="s">
        <v>1051</v>
      </c>
      <c r="R288" s="5"/>
      <c r="S288" s="5"/>
      <c r="T288" s="5"/>
      <c r="U288" s="5"/>
      <c r="V288" s="5"/>
      <c r="W288" s="5"/>
      <c r="X288" s="5"/>
      <c r="Y288" s="5"/>
      <c r="Z288" s="5"/>
    </row>
    <row r="289" hidden="1">
      <c r="A289" s="5"/>
      <c r="B289" s="11">
        <v>95.0</v>
      </c>
      <c r="C289" s="11" t="s">
        <v>863</v>
      </c>
      <c r="D289" s="13" t="s">
        <v>622</v>
      </c>
      <c r="E289" s="1"/>
      <c r="F289" s="1"/>
      <c r="G289" s="11" t="s">
        <v>411</v>
      </c>
      <c r="H289" s="43"/>
      <c r="I289" s="16" t="s">
        <v>866</v>
      </c>
      <c r="J289" s="11" t="s">
        <v>739</v>
      </c>
      <c r="K289" s="1" t="b">
        <v>1</v>
      </c>
      <c r="L289" s="1" t="b">
        <v>0</v>
      </c>
      <c r="M289" s="5" t="b">
        <v>0</v>
      </c>
      <c r="N289" s="5" t="b">
        <v>0</v>
      </c>
      <c r="O289" s="5" t="b">
        <v>0</v>
      </c>
      <c r="P289" s="1" t="b">
        <v>0</v>
      </c>
      <c r="Q289" s="1" t="s">
        <v>1052</v>
      </c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11">
        <v>96.0</v>
      </c>
      <c r="C290" s="26">
        <v>45930.0</v>
      </c>
      <c r="D290" s="13" t="s">
        <v>868</v>
      </c>
      <c r="E290" s="1"/>
      <c r="F290" s="1"/>
      <c r="G290" s="11" t="s">
        <v>411</v>
      </c>
      <c r="H290" s="43"/>
      <c r="I290" s="16" t="s">
        <v>869</v>
      </c>
      <c r="J290" s="11" t="s">
        <v>739</v>
      </c>
      <c r="K290" s="1" t="b">
        <v>1</v>
      </c>
      <c r="L290" s="1" t="b">
        <v>0</v>
      </c>
      <c r="M290" s="5" t="b">
        <v>0</v>
      </c>
      <c r="N290" s="5" t="b">
        <v>0</v>
      </c>
      <c r="O290" s="1" t="b">
        <v>1</v>
      </c>
      <c r="P290" s="1" t="b">
        <v>1</v>
      </c>
      <c r="Q290" s="1" t="s">
        <v>1053</v>
      </c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11">
        <v>97.0</v>
      </c>
      <c r="C291" s="26">
        <v>45930.0</v>
      </c>
      <c r="D291" s="13" t="s">
        <v>871</v>
      </c>
      <c r="E291" s="1" t="s">
        <v>166</v>
      </c>
      <c r="F291" s="1"/>
      <c r="G291" s="11" t="s">
        <v>411</v>
      </c>
      <c r="H291" s="43"/>
      <c r="I291" s="16" t="s">
        <v>872</v>
      </c>
      <c r="J291" s="11" t="s">
        <v>25</v>
      </c>
      <c r="K291" s="1" t="b">
        <v>1</v>
      </c>
      <c r="L291" s="1" t="b">
        <v>0</v>
      </c>
      <c r="M291" s="5" t="b">
        <v>0</v>
      </c>
      <c r="N291" s="5" t="b">
        <v>0</v>
      </c>
      <c r="O291" s="5" t="b">
        <v>0</v>
      </c>
      <c r="P291" s="1" t="b">
        <v>0</v>
      </c>
      <c r="Q291" s="1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11">
        <v>98.0</v>
      </c>
      <c r="C292" s="26">
        <v>45932.0</v>
      </c>
      <c r="D292" s="13" t="s">
        <v>874</v>
      </c>
      <c r="E292" s="1" t="s">
        <v>875</v>
      </c>
      <c r="F292" s="1">
        <v>7.86252039E8</v>
      </c>
      <c r="G292" s="11" t="s">
        <v>411</v>
      </c>
      <c r="H292" s="43"/>
      <c r="I292" s="16" t="s">
        <v>1054</v>
      </c>
      <c r="J292" s="11" t="s">
        <v>1046</v>
      </c>
      <c r="K292" s="1" t="b">
        <v>1</v>
      </c>
      <c r="L292" s="1" t="b">
        <v>0</v>
      </c>
      <c r="M292" s="5" t="b">
        <v>0</v>
      </c>
      <c r="N292" s="5" t="b">
        <v>0</v>
      </c>
      <c r="O292" s="5" t="b">
        <v>0</v>
      </c>
      <c r="P292" s="1" t="b">
        <v>0</v>
      </c>
      <c r="Q292" s="1" t="s">
        <v>1055</v>
      </c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11">
        <v>99.0</v>
      </c>
      <c r="C293" s="26">
        <v>45932.0</v>
      </c>
      <c r="D293" s="13" t="s">
        <v>580</v>
      </c>
      <c r="E293" s="1" t="s">
        <v>878</v>
      </c>
      <c r="F293" s="1"/>
      <c r="G293" s="11" t="s">
        <v>411</v>
      </c>
      <c r="H293" s="43"/>
      <c r="I293" s="16" t="s">
        <v>879</v>
      </c>
      <c r="J293" s="11" t="s">
        <v>1046</v>
      </c>
      <c r="K293" s="1" t="b">
        <v>1</v>
      </c>
      <c r="L293" s="1" t="b">
        <v>0</v>
      </c>
      <c r="M293" s="5" t="b">
        <v>0</v>
      </c>
      <c r="N293" s="5" t="b">
        <v>0</v>
      </c>
      <c r="O293" s="5" t="b">
        <v>0</v>
      </c>
      <c r="P293" s="1" t="b">
        <v>0</v>
      </c>
      <c r="Q293" s="1" t="s">
        <v>1056</v>
      </c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11"/>
      <c r="C294" s="26"/>
      <c r="D294" s="13" t="s">
        <v>344</v>
      </c>
      <c r="E294" s="1"/>
      <c r="F294" s="1"/>
      <c r="G294" s="11"/>
      <c r="H294" s="43"/>
      <c r="I294" s="16" t="s">
        <v>724</v>
      </c>
      <c r="J294" s="11"/>
      <c r="K294" s="1" t="b">
        <v>0</v>
      </c>
      <c r="L294" s="1" t="b">
        <v>0</v>
      </c>
      <c r="M294" s="5" t="b">
        <v>0</v>
      </c>
      <c r="N294" s="5" t="b">
        <v>0</v>
      </c>
      <c r="O294" s="5" t="b">
        <v>0</v>
      </c>
      <c r="P294" s="1" t="b">
        <v>0</v>
      </c>
      <c r="Q294" s="1"/>
      <c r="R294" s="5"/>
      <c r="S294" s="5"/>
      <c r="T294" s="5"/>
      <c r="U294" s="5"/>
      <c r="V294" s="5"/>
      <c r="W294" s="5"/>
      <c r="X294" s="5"/>
      <c r="Y294" s="5"/>
      <c r="Z294" s="5"/>
    </row>
    <row r="295" hidden="1">
      <c r="A295" s="5"/>
      <c r="B295" s="11">
        <v>101.0</v>
      </c>
      <c r="C295" s="26">
        <v>45933.0</v>
      </c>
      <c r="D295" s="13" t="s">
        <v>881</v>
      </c>
      <c r="E295" s="1"/>
      <c r="F295" s="1"/>
      <c r="G295" s="11" t="s">
        <v>411</v>
      </c>
      <c r="H295" s="43"/>
      <c r="I295" s="16" t="s">
        <v>882</v>
      </c>
      <c r="J295" s="11" t="s">
        <v>739</v>
      </c>
      <c r="K295" s="1" t="b">
        <v>1</v>
      </c>
      <c r="L295" s="1" t="b">
        <v>0</v>
      </c>
      <c r="M295" s="5" t="b">
        <v>0</v>
      </c>
      <c r="N295" s="5" t="b">
        <v>0</v>
      </c>
      <c r="O295" s="5" t="b">
        <v>0</v>
      </c>
      <c r="P295" s="1" t="b">
        <v>0</v>
      </c>
      <c r="Q295" s="1" t="s">
        <v>1057</v>
      </c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11">
        <v>102.0</v>
      </c>
      <c r="C296" s="26">
        <v>45934.0</v>
      </c>
      <c r="D296" s="13" t="s">
        <v>883</v>
      </c>
      <c r="E296" s="1"/>
      <c r="F296" s="1"/>
      <c r="G296" s="11" t="s">
        <v>411</v>
      </c>
      <c r="H296" s="43"/>
      <c r="I296" s="16" t="s">
        <v>884</v>
      </c>
      <c r="J296" s="11" t="s">
        <v>734</v>
      </c>
      <c r="K296" s="1" t="b">
        <v>0</v>
      </c>
      <c r="L296" s="1" t="b">
        <v>0</v>
      </c>
      <c r="M296" s="5" t="b">
        <v>0</v>
      </c>
      <c r="N296" s="5" t="b">
        <v>0</v>
      </c>
      <c r="O296" s="5" t="b">
        <v>0</v>
      </c>
      <c r="P296" s="1" t="b">
        <v>0</v>
      </c>
      <c r="Q296" s="1" t="s">
        <v>885</v>
      </c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11">
        <v>103.0</v>
      </c>
      <c r="C297" s="26">
        <v>45938.0</v>
      </c>
      <c r="D297" s="13" t="s">
        <v>82</v>
      </c>
      <c r="E297" s="1"/>
      <c r="F297" s="1"/>
      <c r="G297" s="11" t="s">
        <v>23</v>
      </c>
      <c r="H297" s="43"/>
      <c r="I297" s="16" t="s">
        <v>886</v>
      </c>
      <c r="J297" s="11" t="s">
        <v>233</v>
      </c>
      <c r="K297" s="1" t="b">
        <v>0</v>
      </c>
      <c r="L297" s="1" t="b">
        <v>0</v>
      </c>
      <c r="M297" s="5" t="b">
        <v>0</v>
      </c>
      <c r="N297" s="5" t="b">
        <v>0</v>
      </c>
      <c r="O297" s="5" t="b">
        <v>0</v>
      </c>
      <c r="P297" s="1" t="b">
        <v>0</v>
      </c>
      <c r="Q297" s="1"/>
      <c r="R297" s="5"/>
      <c r="S297" s="5"/>
      <c r="T297" s="5"/>
      <c r="U297" s="5"/>
      <c r="V297" s="5"/>
      <c r="W297" s="5"/>
      <c r="X297" s="5"/>
      <c r="Y297" s="5"/>
      <c r="Z297" s="5"/>
    </row>
    <row r="298" hidden="1">
      <c r="A298" s="5"/>
      <c r="B298" s="11"/>
      <c r="C298" s="26"/>
      <c r="D298" s="13" t="s">
        <v>887</v>
      </c>
      <c r="E298" s="1"/>
      <c r="F298" s="1"/>
      <c r="G298" s="11" t="s">
        <v>411</v>
      </c>
      <c r="H298" s="43"/>
      <c r="I298" s="16" t="s">
        <v>888</v>
      </c>
      <c r="J298" s="11" t="s">
        <v>233</v>
      </c>
      <c r="K298" s="1" t="b">
        <v>0</v>
      </c>
      <c r="L298" s="1" t="b">
        <v>0</v>
      </c>
      <c r="M298" s="5" t="b">
        <v>0</v>
      </c>
      <c r="N298" s="5" t="b">
        <v>0</v>
      </c>
      <c r="O298" s="5" t="b">
        <v>0</v>
      </c>
      <c r="P298" s="1" t="b">
        <v>0</v>
      </c>
      <c r="Q298" s="1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11">
        <v>105.0</v>
      </c>
      <c r="C299" s="26">
        <v>45944.0</v>
      </c>
      <c r="D299" s="13" t="s">
        <v>889</v>
      </c>
      <c r="E299" s="1"/>
      <c r="F299" s="1"/>
      <c r="G299" s="11" t="s">
        <v>411</v>
      </c>
      <c r="H299" s="43"/>
      <c r="I299" s="16" t="s">
        <v>890</v>
      </c>
      <c r="J299" s="11"/>
      <c r="K299" s="1" t="b">
        <v>0</v>
      </c>
      <c r="L299" s="1" t="b">
        <v>0</v>
      </c>
      <c r="M299" s="5" t="b">
        <v>0</v>
      </c>
      <c r="N299" s="5" t="b">
        <v>0</v>
      </c>
      <c r="O299" s="5" t="b">
        <v>0</v>
      </c>
      <c r="P299" s="1" t="b">
        <v>0</v>
      </c>
      <c r="Q299" s="1" t="s">
        <v>1058</v>
      </c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11">
        <v>106.0</v>
      </c>
      <c r="C300" s="26"/>
      <c r="D300" s="13" t="s">
        <v>891</v>
      </c>
      <c r="E300" s="1"/>
      <c r="F300" s="1"/>
      <c r="G300" s="11" t="s">
        <v>411</v>
      </c>
      <c r="H300" s="43"/>
      <c r="I300" s="16" t="s">
        <v>892</v>
      </c>
      <c r="J300" s="11"/>
      <c r="K300" s="1" t="b">
        <v>0</v>
      </c>
      <c r="L300" s="1" t="b">
        <v>0</v>
      </c>
      <c r="M300" s="5" t="b">
        <v>0</v>
      </c>
      <c r="N300" s="5" t="b">
        <v>0</v>
      </c>
      <c r="O300" s="5" t="b">
        <v>0</v>
      </c>
      <c r="P300" s="1" t="b">
        <v>0</v>
      </c>
      <c r="Q300" s="1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11">
        <v>107.0</v>
      </c>
      <c r="C301" s="26">
        <v>45952.0</v>
      </c>
      <c r="D301" s="13" t="s">
        <v>1059</v>
      </c>
      <c r="E301" s="1" t="s">
        <v>1060</v>
      </c>
      <c r="F301" s="1">
        <v>7.72136751E8</v>
      </c>
      <c r="G301" s="11" t="s">
        <v>411</v>
      </c>
      <c r="H301" s="43"/>
      <c r="I301" s="16" t="s">
        <v>1061</v>
      </c>
      <c r="J301" s="11" t="s">
        <v>841</v>
      </c>
      <c r="K301" s="1" t="b">
        <v>0</v>
      </c>
      <c r="L301" s="1" t="b">
        <v>0</v>
      </c>
      <c r="M301" s="5" t="b">
        <v>0</v>
      </c>
      <c r="N301" s="5" t="b">
        <v>0</v>
      </c>
      <c r="O301" s="5" t="b">
        <v>0</v>
      </c>
      <c r="P301" s="1" t="b">
        <v>0</v>
      </c>
      <c r="Q301" s="1" t="s">
        <v>1062</v>
      </c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11">
        <v>108.0</v>
      </c>
      <c r="C302" s="26">
        <v>45954.0</v>
      </c>
      <c r="D302" s="13" t="s">
        <v>622</v>
      </c>
      <c r="E302" s="1" t="s">
        <v>537</v>
      </c>
      <c r="F302" s="1"/>
      <c r="G302" s="11" t="s">
        <v>411</v>
      </c>
      <c r="H302" s="43"/>
      <c r="I302" s="16" t="s">
        <v>1063</v>
      </c>
      <c r="J302" s="11" t="s">
        <v>734</v>
      </c>
      <c r="K302" s="1" t="b">
        <v>0</v>
      </c>
      <c r="L302" s="1" t="b">
        <v>0</v>
      </c>
      <c r="M302" s="5" t="b">
        <v>0</v>
      </c>
      <c r="N302" s="5" t="b">
        <v>0</v>
      </c>
      <c r="O302" s="5" t="b">
        <v>0</v>
      </c>
      <c r="P302" s="1" t="b">
        <v>0</v>
      </c>
      <c r="Q302" s="1" t="s">
        <v>1064</v>
      </c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11">
        <v>109.0</v>
      </c>
      <c r="C303" s="26">
        <v>45958.0</v>
      </c>
      <c r="D303" s="13" t="s">
        <v>1065</v>
      </c>
      <c r="E303" s="1"/>
      <c r="F303" s="1"/>
      <c r="G303" s="11" t="s">
        <v>411</v>
      </c>
      <c r="H303" s="43"/>
      <c r="I303" s="16" t="s">
        <v>1066</v>
      </c>
      <c r="J303" s="11" t="s">
        <v>734</v>
      </c>
      <c r="K303" s="1" t="b">
        <v>0</v>
      </c>
      <c r="L303" s="1" t="b">
        <v>0</v>
      </c>
      <c r="M303" s="5" t="b">
        <v>0</v>
      </c>
      <c r="N303" s="5" t="b">
        <v>0</v>
      </c>
      <c r="O303" s="5" t="b">
        <v>0</v>
      </c>
      <c r="P303" s="1" t="b">
        <v>0</v>
      </c>
      <c r="Q303" s="1" t="s">
        <v>1067</v>
      </c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2"/>
      <c r="C304" s="26"/>
      <c r="D304" s="13"/>
      <c r="E304" s="5"/>
      <c r="F304" s="5"/>
      <c r="G304" s="11"/>
      <c r="H304" s="43"/>
      <c r="I304" s="7"/>
      <c r="J304" s="11"/>
      <c r="K304" s="1" t="b">
        <v>0</v>
      </c>
      <c r="L304" s="1" t="b">
        <v>0</v>
      </c>
      <c r="M304" s="5" t="b">
        <v>0</v>
      </c>
      <c r="N304" s="1" t="b">
        <v>0</v>
      </c>
      <c r="O304" s="5" t="b">
        <v>0</v>
      </c>
      <c r="P304" s="1" t="b">
        <v>0</v>
      </c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89" t="s">
        <v>1011</v>
      </c>
      <c r="C305" s="89"/>
      <c r="D305" s="13"/>
      <c r="E305" s="90" t="s">
        <v>1012</v>
      </c>
      <c r="F305" s="90"/>
      <c r="G305" s="89"/>
      <c r="H305" s="43"/>
      <c r="I305" s="91" t="s">
        <v>1013</v>
      </c>
      <c r="J305" s="2"/>
      <c r="K305" s="1" t="b">
        <v>0</v>
      </c>
      <c r="L305" s="1" t="b">
        <v>0</v>
      </c>
      <c r="M305" s="5" t="b">
        <v>0</v>
      </c>
      <c r="N305" s="1" t="b">
        <v>0</v>
      </c>
      <c r="O305" s="5" t="b">
        <v>0</v>
      </c>
      <c r="P305" s="1" t="b">
        <v>0</v>
      </c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11"/>
      <c r="C306" s="11"/>
      <c r="D306" s="92"/>
      <c r="E306" s="1"/>
      <c r="F306" s="1"/>
      <c r="G306" s="11"/>
      <c r="H306" s="26"/>
      <c r="I306" s="16"/>
      <c r="J306" s="11"/>
      <c r="K306" s="1" t="b">
        <v>0</v>
      </c>
      <c r="L306" s="1" t="b">
        <v>0</v>
      </c>
      <c r="M306" s="5" t="b">
        <v>0</v>
      </c>
      <c r="N306" s="1" t="b">
        <v>0</v>
      </c>
      <c r="O306" s="5" t="b">
        <v>0</v>
      </c>
      <c r="P306" s="1" t="b">
        <v>0</v>
      </c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11"/>
      <c r="C307" s="11"/>
      <c r="D307" s="16" t="b">
        <v>0</v>
      </c>
      <c r="E307" s="1"/>
      <c r="F307" s="1" t="b">
        <v>0</v>
      </c>
      <c r="G307" s="11"/>
      <c r="H307" s="26"/>
      <c r="I307" s="11" t="s">
        <v>1014</v>
      </c>
      <c r="J307" s="11"/>
      <c r="K307" s="1" t="b">
        <v>0</v>
      </c>
      <c r="L307" s="1" t="b">
        <v>0</v>
      </c>
      <c r="M307" s="5" t="b">
        <v>0</v>
      </c>
      <c r="N307" s="1" t="b">
        <v>0</v>
      </c>
      <c r="O307" s="5" t="b">
        <v>0</v>
      </c>
      <c r="P307" s="1" t="b">
        <v>0</v>
      </c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11"/>
      <c r="C308" s="11"/>
      <c r="D308" s="16" t="b">
        <v>0</v>
      </c>
      <c r="E308" s="1"/>
      <c r="F308" s="1" t="b">
        <v>0</v>
      </c>
      <c r="G308" s="11"/>
      <c r="H308" s="26"/>
      <c r="I308" s="11"/>
      <c r="J308" s="11"/>
      <c r="K308" s="1" t="b">
        <v>0</v>
      </c>
      <c r="L308" s="1" t="b">
        <v>0</v>
      </c>
      <c r="M308" s="5" t="b">
        <v>0</v>
      </c>
      <c r="N308" s="1" t="b">
        <v>0</v>
      </c>
      <c r="O308" s="5" t="b">
        <v>0</v>
      </c>
      <c r="P308" s="1" t="b">
        <v>0</v>
      </c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11"/>
      <c r="C309" s="11"/>
      <c r="D309" s="7" t="b">
        <v>0</v>
      </c>
      <c r="E309" s="21"/>
      <c r="F309" s="1" t="b">
        <v>0</v>
      </c>
      <c r="G309" s="11"/>
      <c r="H309" s="26"/>
      <c r="I309" s="16"/>
      <c r="J309" s="2"/>
      <c r="K309" s="1" t="b">
        <v>0</v>
      </c>
      <c r="L309" s="1" t="b">
        <v>0</v>
      </c>
      <c r="M309" s="5" t="b">
        <v>0</v>
      </c>
      <c r="N309" s="1" t="b">
        <v>0</v>
      </c>
      <c r="O309" s="5" t="b">
        <v>0</v>
      </c>
      <c r="P309" s="1" t="b">
        <v>0</v>
      </c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11" t="s">
        <v>1015</v>
      </c>
      <c r="C310" s="11" t="s">
        <v>1016</v>
      </c>
      <c r="D310" s="4" t="b">
        <v>0</v>
      </c>
      <c r="E310" s="1"/>
      <c r="F310" s="1" t="b">
        <v>0</v>
      </c>
      <c r="G310" s="43"/>
      <c r="H310" s="26"/>
      <c r="I310" s="7"/>
      <c r="J310" s="2"/>
      <c r="K310" s="1" t="b">
        <v>0</v>
      </c>
      <c r="L310" s="1" t="b">
        <v>0</v>
      </c>
      <c r="M310" s="5" t="b">
        <v>0</v>
      </c>
      <c r="N310" s="1" t="b">
        <v>0</v>
      </c>
      <c r="O310" s="5" t="b">
        <v>0</v>
      </c>
      <c r="P310" s="1" t="b">
        <v>0</v>
      </c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11"/>
      <c r="C311" s="43"/>
      <c r="D311" s="16"/>
      <c r="E311" s="1"/>
      <c r="F311" s="1" t="b">
        <v>0</v>
      </c>
      <c r="G311" s="11"/>
      <c r="H311" s="11"/>
      <c r="I311" s="93" t="s">
        <v>1017</v>
      </c>
      <c r="J311" s="2"/>
      <c r="K311" s="1" t="b">
        <v>0</v>
      </c>
      <c r="L311" s="1" t="b">
        <v>0</v>
      </c>
      <c r="M311" s="5" t="b">
        <v>0</v>
      </c>
      <c r="N311" s="1" t="b">
        <v>0</v>
      </c>
      <c r="O311" s="5" t="b">
        <v>0</v>
      </c>
      <c r="P311" s="1" t="b">
        <v>0</v>
      </c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11"/>
      <c r="C312" s="43"/>
      <c r="D312" s="92"/>
      <c r="E312" s="1"/>
      <c r="F312" s="1" t="b">
        <v>0</v>
      </c>
      <c r="G312" s="43"/>
      <c r="H312" s="94"/>
      <c r="I312" s="16"/>
      <c r="J312" s="11"/>
      <c r="K312" s="1" t="b">
        <v>0</v>
      </c>
      <c r="L312" s="1" t="b">
        <v>0</v>
      </c>
      <c r="M312" s="5" t="b">
        <v>0</v>
      </c>
      <c r="N312" s="1" t="b">
        <v>0</v>
      </c>
      <c r="O312" s="5" t="b">
        <v>0</v>
      </c>
      <c r="P312" s="1" t="b">
        <v>0</v>
      </c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11"/>
      <c r="C313" s="43"/>
      <c r="D313" s="16"/>
      <c r="E313" s="1"/>
      <c r="F313" s="1" t="b">
        <v>0</v>
      </c>
      <c r="G313" s="11"/>
      <c r="H313" s="94"/>
      <c r="I313" s="16"/>
      <c r="J313" s="11"/>
      <c r="K313" s="1" t="b">
        <v>0</v>
      </c>
      <c r="L313" s="1" t="b">
        <v>0</v>
      </c>
      <c r="M313" s="5" t="b">
        <v>0</v>
      </c>
      <c r="N313" s="1" t="b">
        <v>0</v>
      </c>
      <c r="O313" s="5" t="b">
        <v>0</v>
      </c>
      <c r="P313" s="1" t="b">
        <v>0</v>
      </c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11"/>
      <c r="C314" s="43"/>
      <c r="D314" s="16"/>
      <c r="E314" s="1"/>
      <c r="F314" s="1" t="b">
        <v>0</v>
      </c>
      <c r="G314" s="11"/>
      <c r="H314" s="94"/>
      <c r="I314" s="16"/>
      <c r="J314" s="11" t="b">
        <v>0</v>
      </c>
      <c r="K314" s="1" t="b">
        <v>0</v>
      </c>
      <c r="L314" s="1" t="b">
        <v>0</v>
      </c>
      <c r="M314" s="5" t="b">
        <v>0</v>
      </c>
      <c r="N314" s="1" t="b">
        <v>0</v>
      </c>
      <c r="O314" s="5" t="b">
        <v>0</v>
      </c>
      <c r="P314" s="1" t="b">
        <v>0</v>
      </c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11"/>
      <c r="C315" s="11"/>
      <c r="D315" s="7"/>
      <c r="E315" s="1"/>
      <c r="F315" s="1" t="b">
        <v>0</v>
      </c>
      <c r="G315" s="11"/>
      <c r="H315" s="26"/>
      <c r="I315" s="16"/>
      <c r="J315" s="11" t="b">
        <v>0</v>
      </c>
      <c r="K315" s="1" t="b">
        <v>0</v>
      </c>
      <c r="L315" s="1" t="b">
        <v>0</v>
      </c>
      <c r="M315" s="5" t="b">
        <v>0</v>
      </c>
      <c r="N315" s="1" t="b">
        <v>0</v>
      </c>
      <c r="O315" s="5" t="b">
        <v>0</v>
      </c>
      <c r="P315" s="1" t="b">
        <v>0</v>
      </c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11"/>
      <c r="C316" s="11"/>
      <c r="D316" s="4"/>
      <c r="E316" s="1"/>
      <c r="F316" s="1"/>
      <c r="G316" s="11"/>
      <c r="H316" s="26"/>
      <c r="I316" s="16"/>
      <c r="J316" s="11" t="b">
        <v>0</v>
      </c>
      <c r="K316" s="1" t="b">
        <v>0</v>
      </c>
      <c r="L316" s="1" t="b">
        <v>0</v>
      </c>
      <c r="M316" s="5" t="b">
        <v>0</v>
      </c>
      <c r="N316" s="1" t="b">
        <v>0</v>
      </c>
      <c r="O316" s="5" t="b">
        <v>0</v>
      </c>
      <c r="P316" s="1" t="b">
        <v>0</v>
      </c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2"/>
      <c r="C317" s="43"/>
      <c r="D317" s="4"/>
      <c r="E317" s="21"/>
      <c r="F317" s="21"/>
      <c r="G317" s="11"/>
      <c r="H317" s="26"/>
      <c r="I317" s="16"/>
      <c r="J317" s="11" t="b">
        <v>0</v>
      </c>
      <c r="K317" s="1" t="b">
        <v>0</v>
      </c>
      <c r="L317" s="1" t="b">
        <v>0</v>
      </c>
      <c r="M317" s="5" t="b">
        <v>0</v>
      </c>
      <c r="N317" s="1" t="b">
        <v>0</v>
      </c>
      <c r="O317" s="5" t="b">
        <v>0</v>
      </c>
      <c r="P317" s="1" t="b">
        <v>0</v>
      </c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2"/>
      <c r="C318" s="43"/>
      <c r="D318" s="4"/>
      <c r="E318" s="21"/>
      <c r="F318" s="21"/>
      <c r="G318" s="2"/>
      <c r="H318" s="6"/>
      <c r="I318" s="7"/>
      <c r="J318" s="2"/>
      <c r="K318" s="1" t="b">
        <v>0</v>
      </c>
      <c r="L318" s="1" t="b">
        <v>0</v>
      </c>
      <c r="M318" s="5" t="b">
        <v>0</v>
      </c>
      <c r="N318" s="1" t="b">
        <v>0</v>
      </c>
      <c r="O318" s="5" t="b">
        <v>0</v>
      </c>
      <c r="P318" s="1" t="b">
        <v>0</v>
      </c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2"/>
      <c r="C319" s="43"/>
      <c r="D319" s="4"/>
      <c r="E319" s="21"/>
      <c r="F319" s="21"/>
      <c r="G319" s="2"/>
      <c r="H319" s="6"/>
      <c r="I319" s="7"/>
      <c r="J319" s="2"/>
      <c r="K319" s="1" t="b">
        <v>0</v>
      </c>
      <c r="L319" s="1" t="b">
        <v>0</v>
      </c>
      <c r="M319" s="5" t="b">
        <v>0</v>
      </c>
      <c r="N319" s="1" t="b">
        <v>0</v>
      </c>
      <c r="O319" s="5" t="b">
        <v>0</v>
      </c>
      <c r="P319" s="1" t="b">
        <v>0</v>
      </c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2"/>
      <c r="C320" s="43"/>
      <c r="D320" s="4"/>
      <c r="E320" s="90" t="s">
        <v>1018</v>
      </c>
      <c r="F320" s="90"/>
      <c r="G320" s="2"/>
      <c r="H320" s="6"/>
      <c r="I320" s="91" t="s">
        <v>284</v>
      </c>
      <c r="J320" s="2"/>
      <c r="K320" s="1" t="b">
        <v>0</v>
      </c>
      <c r="L320" s="1" t="b">
        <v>0</v>
      </c>
      <c r="M320" s="5" t="b">
        <v>0</v>
      </c>
      <c r="N320" s="1" t="b">
        <v>0</v>
      </c>
      <c r="O320" s="5" t="b">
        <v>0</v>
      </c>
      <c r="P320" s="1" t="b">
        <v>0</v>
      </c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89" t="s">
        <v>781</v>
      </c>
      <c r="C321" s="89"/>
      <c r="D321" s="4"/>
      <c r="E321" s="1"/>
      <c r="F321" s="1"/>
      <c r="G321" s="95"/>
      <c r="H321" s="11"/>
      <c r="I321" s="16"/>
      <c r="J321" s="2"/>
      <c r="K321" s="1" t="b">
        <v>0</v>
      </c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11"/>
      <c r="C322" s="11" t="b">
        <v>0</v>
      </c>
      <c r="D322" s="4"/>
      <c r="E322" s="1"/>
      <c r="F322" s="1"/>
      <c r="G322" s="96"/>
      <c r="H322" s="11"/>
      <c r="I322" s="13"/>
      <c r="J322" s="2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11"/>
      <c r="C323" s="11" t="b">
        <v>0</v>
      </c>
      <c r="D323" s="13"/>
      <c r="E323" s="1" t="s">
        <v>1019</v>
      </c>
      <c r="F323" s="1"/>
      <c r="G323" s="96"/>
      <c r="H323" s="11" t="b">
        <v>0</v>
      </c>
      <c r="I323" s="4"/>
      <c r="J323" s="2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11"/>
      <c r="C324" s="11" t="b">
        <v>0</v>
      </c>
      <c r="D324" s="4"/>
      <c r="E324" s="1" t="s">
        <v>1020</v>
      </c>
      <c r="F324" s="1"/>
      <c r="G324" s="96"/>
      <c r="H324" s="11" t="b">
        <v>0</v>
      </c>
      <c r="I324" s="4"/>
      <c r="J324" s="2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11"/>
      <c r="C325" s="11" t="b">
        <v>0</v>
      </c>
      <c r="D325" s="4"/>
      <c r="E325" s="1"/>
      <c r="F325" s="1"/>
      <c r="G325" s="96"/>
      <c r="H325" s="11"/>
      <c r="I325" s="4"/>
      <c r="J325" s="2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11"/>
      <c r="C326" s="11" t="b">
        <v>0</v>
      </c>
      <c r="D326" s="4"/>
      <c r="E326" s="1"/>
      <c r="F326" s="1"/>
      <c r="G326" s="75"/>
      <c r="H326" s="11"/>
      <c r="I326" s="4"/>
      <c r="J326" s="2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11"/>
      <c r="C327" s="11" t="b">
        <v>0</v>
      </c>
      <c r="D327" s="4"/>
      <c r="E327" s="1"/>
      <c r="F327" s="1"/>
      <c r="G327" s="2"/>
      <c r="H327" s="6"/>
      <c r="I327" s="4"/>
      <c r="J327" s="2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11"/>
      <c r="C328" s="3"/>
      <c r="D328" s="4"/>
      <c r="E328" s="1"/>
      <c r="F328" s="1"/>
      <c r="G328" s="2"/>
      <c r="H328" s="11"/>
      <c r="I328" s="91" t="s">
        <v>1021</v>
      </c>
      <c r="J328" s="97" t="s">
        <v>45</v>
      </c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11"/>
      <c r="C329" s="3"/>
      <c r="D329" s="4"/>
      <c r="E329" s="1"/>
      <c r="F329" s="1"/>
      <c r="G329" s="2"/>
      <c r="H329" s="11"/>
      <c r="I329" s="13" t="s">
        <v>1022</v>
      </c>
      <c r="J329" s="11" t="s">
        <v>1023</v>
      </c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97" t="s">
        <v>1024</v>
      </c>
      <c r="C330" s="3"/>
      <c r="D330" s="4"/>
      <c r="E330" s="13"/>
      <c r="F330" s="13"/>
      <c r="G330" s="11"/>
      <c r="H330" s="11"/>
      <c r="I330" s="76"/>
      <c r="J330" s="98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11"/>
      <c r="C331" s="11" t="b">
        <v>0</v>
      </c>
      <c r="D331" s="4"/>
      <c r="E331" s="55" t="s">
        <v>1025</v>
      </c>
      <c r="F331" s="1"/>
      <c r="G331" s="2"/>
      <c r="H331" s="4"/>
      <c r="I331" s="76"/>
      <c r="J331" s="98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11"/>
      <c r="C332" s="11"/>
      <c r="D332" s="4"/>
      <c r="E332" s="1" t="s">
        <v>1026</v>
      </c>
      <c r="F332" s="1"/>
      <c r="G332" s="2"/>
      <c r="H332" s="4"/>
      <c r="I332" s="13"/>
      <c r="J332" s="2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11"/>
      <c r="C333" s="11"/>
      <c r="D333" s="4"/>
      <c r="E333" s="1"/>
      <c r="F333" s="1"/>
      <c r="G333" s="11"/>
      <c r="H333" s="4"/>
      <c r="I333" s="13" t="s">
        <v>1027</v>
      </c>
      <c r="J333" s="2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11"/>
      <c r="C334" s="11"/>
      <c r="D334" s="4"/>
      <c r="E334" s="1"/>
      <c r="F334" s="1"/>
      <c r="G334" s="2"/>
      <c r="H334" s="13"/>
      <c r="I334" s="4"/>
      <c r="J334" s="2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11"/>
      <c r="C335" s="11"/>
      <c r="D335" s="4"/>
      <c r="E335" s="1"/>
      <c r="F335" s="1"/>
      <c r="G335" s="2"/>
      <c r="H335" s="6"/>
      <c r="I335" s="4"/>
      <c r="J335" s="2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2"/>
      <c r="C336" s="3"/>
      <c r="D336" s="4"/>
      <c r="E336" s="5"/>
      <c r="F336" s="5"/>
      <c r="G336" s="2"/>
      <c r="H336" s="6"/>
      <c r="I336" s="58" t="s">
        <v>1028</v>
      </c>
      <c r="J336" s="2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2"/>
      <c r="C337" s="3"/>
      <c r="D337" s="4"/>
      <c r="E337" s="99" t="s">
        <v>1029</v>
      </c>
      <c r="F337" s="99"/>
      <c r="G337" s="100"/>
      <c r="H337" s="6"/>
      <c r="I337" s="4"/>
      <c r="J337" s="2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97"/>
      <c r="C338" s="3"/>
      <c r="D338" s="4"/>
      <c r="E338" s="1"/>
      <c r="F338" s="1"/>
      <c r="G338" s="4"/>
      <c r="H338" s="6"/>
      <c r="I338" s="76"/>
      <c r="J338" s="2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11"/>
      <c r="C339" s="11"/>
      <c r="D339" s="4"/>
      <c r="E339" s="1"/>
      <c r="F339" s="1"/>
      <c r="G339" s="4"/>
      <c r="H339" s="6"/>
      <c r="I339" s="13"/>
      <c r="J339" s="2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11"/>
      <c r="C340" s="11" t="b">
        <v>0</v>
      </c>
      <c r="D340" s="13"/>
      <c r="E340" s="1"/>
      <c r="F340" s="1"/>
      <c r="G340" s="13"/>
      <c r="H340" s="6"/>
      <c r="I340" s="76"/>
      <c r="J340" s="2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11"/>
      <c r="C341" s="11" t="b">
        <v>0</v>
      </c>
      <c r="D341" s="13"/>
      <c r="E341" s="1"/>
      <c r="F341" s="1"/>
      <c r="G341" s="4"/>
      <c r="H341" s="6"/>
      <c r="I341" s="76"/>
      <c r="J341" s="2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11"/>
      <c r="C342" s="11" t="b">
        <v>0</v>
      </c>
      <c r="D342" s="4"/>
      <c r="E342" s="1"/>
      <c r="F342" s="1"/>
      <c r="G342" s="4"/>
      <c r="H342" s="6"/>
      <c r="I342" s="4"/>
      <c r="J342" s="2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11"/>
      <c r="C343" s="11" t="b">
        <v>0</v>
      </c>
      <c r="D343" s="13"/>
      <c r="E343" s="5"/>
      <c r="F343" s="5"/>
      <c r="G343" s="4"/>
      <c r="H343" s="6"/>
      <c r="I343" s="4"/>
      <c r="J343" s="2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11"/>
      <c r="C344" s="11"/>
      <c r="D344" s="13"/>
      <c r="E344" s="5"/>
      <c r="F344" s="5"/>
      <c r="G344" s="2"/>
      <c r="H344" s="6"/>
      <c r="I344" s="4"/>
      <c r="J344" s="2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11"/>
      <c r="C345" s="11"/>
      <c r="D345" s="13"/>
      <c r="E345" s="5"/>
      <c r="F345" s="5"/>
      <c r="G345" s="2"/>
      <c r="H345" s="6"/>
      <c r="I345" s="4"/>
      <c r="J345" s="2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11"/>
      <c r="C346" s="11"/>
      <c r="D346" s="4"/>
      <c r="E346" s="5"/>
      <c r="F346" s="5"/>
      <c r="G346" s="2"/>
      <c r="H346" s="6"/>
      <c r="I346" s="4"/>
      <c r="J346" s="2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11"/>
      <c r="C347" s="11"/>
      <c r="D347" s="4"/>
      <c r="E347" s="5"/>
      <c r="F347" s="5"/>
      <c r="G347" s="2"/>
      <c r="H347" s="6"/>
      <c r="I347" s="4"/>
      <c r="J347" s="2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11"/>
      <c r="C348" s="11"/>
      <c r="D348" s="4"/>
      <c r="E348" s="5"/>
      <c r="F348" s="5"/>
      <c r="G348" s="2"/>
      <c r="H348" s="6"/>
      <c r="I348" s="4"/>
      <c r="J348" s="2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11"/>
      <c r="C349" s="11"/>
      <c r="D349" s="4"/>
      <c r="E349" s="5"/>
      <c r="F349" s="5"/>
      <c r="G349" s="2"/>
      <c r="H349" s="6"/>
      <c r="I349" s="4"/>
      <c r="J349" s="2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11"/>
      <c r="C350" s="11"/>
      <c r="D350" s="4"/>
      <c r="E350" s="5"/>
      <c r="F350" s="5"/>
      <c r="G350" s="2"/>
      <c r="H350" s="6"/>
      <c r="I350" s="4"/>
      <c r="J350" s="2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11"/>
      <c r="C351" s="11"/>
      <c r="D351" s="4"/>
      <c r="E351" s="5"/>
      <c r="F351" s="5"/>
      <c r="G351" s="2"/>
      <c r="H351" s="6"/>
      <c r="I351" s="4"/>
      <c r="J351" s="2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2"/>
      <c r="C352" s="3"/>
      <c r="D352" s="4"/>
      <c r="E352" s="5"/>
      <c r="F352" s="5"/>
      <c r="G352" s="2"/>
      <c r="H352" s="6"/>
      <c r="I352" s="4"/>
      <c r="J352" s="2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2"/>
      <c r="C353" s="3"/>
      <c r="D353" s="4"/>
      <c r="E353" s="5"/>
      <c r="F353" s="5"/>
      <c r="G353" s="2"/>
      <c r="H353" s="6"/>
      <c r="I353" s="4"/>
      <c r="J353" s="2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2"/>
      <c r="C354" s="3"/>
      <c r="D354" s="4"/>
      <c r="E354" s="5"/>
      <c r="F354" s="5"/>
      <c r="G354" s="2"/>
      <c r="H354" s="6"/>
      <c r="I354" s="4"/>
      <c r="J354" s="2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2"/>
      <c r="C355" s="3"/>
      <c r="D355" s="4"/>
      <c r="E355" s="5"/>
      <c r="F355" s="5"/>
      <c r="G355" s="2"/>
      <c r="H355" s="6"/>
      <c r="I355" s="4"/>
      <c r="J355" s="2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2"/>
      <c r="C356" s="3"/>
      <c r="D356" s="4"/>
      <c r="E356" s="5"/>
      <c r="F356" s="5"/>
      <c r="G356" s="2"/>
      <c r="H356" s="6"/>
      <c r="I356" s="4"/>
      <c r="J356" s="2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2"/>
      <c r="C357" s="3"/>
      <c r="D357" s="4"/>
      <c r="E357" s="5"/>
      <c r="F357" s="5"/>
      <c r="G357" s="2"/>
      <c r="H357" s="6"/>
      <c r="I357" s="4"/>
      <c r="J357" s="2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2"/>
      <c r="C358" s="3"/>
      <c r="D358" s="4"/>
      <c r="E358" s="5"/>
      <c r="F358" s="5"/>
      <c r="G358" s="2"/>
      <c r="H358" s="6"/>
      <c r="I358" s="4"/>
      <c r="J358" s="2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2"/>
      <c r="C359" s="3"/>
      <c r="D359" s="4"/>
      <c r="E359" s="5"/>
      <c r="F359" s="5"/>
      <c r="G359" s="2"/>
      <c r="H359" s="6"/>
      <c r="I359" s="4"/>
      <c r="J359" s="2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2"/>
      <c r="C360" s="3"/>
      <c r="D360" s="4"/>
      <c r="E360" s="5"/>
      <c r="F360" s="5"/>
      <c r="G360" s="2"/>
      <c r="H360" s="6"/>
      <c r="I360" s="4"/>
      <c r="J360" s="2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2"/>
      <c r="C361" s="3"/>
      <c r="D361" s="4"/>
      <c r="E361" s="5"/>
      <c r="F361" s="5"/>
      <c r="G361" s="2"/>
      <c r="H361" s="6"/>
      <c r="I361" s="4"/>
      <c r="J361" s="2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2"/>
      <c r="C362" s="3"/>
      <c r="D362" s="4"/>
      <c r="E362" s="5"/>
      <c r="F362" s="5"/>
      <c r="G362" s="2"/>
      <c r="H362" s="6"/>
      <c r="I362" s="4"/>
      <c r="J362" s="2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2"/>
      <c r="C363" s="3"/>
      <c r="D363" s="4"/>
      <c r="E363" s="5"/>
      <c r="F363" s="5"/>
      <c r="G363" s="2"/>
      <c r="H363" s="6"/>
      <c r="I363" s="4"/>
      <c r="J363" s="2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2"/>
      <c r="C364" s="3"/>
      <c r="D364" s="4"/>
      <c r="E364" s="5"/>
      <c r="F364" s="5"/>
      <c r="G364" s="2"/>
      <c r="H364" s="6"/>
      <c r="I364" s="4"/>
      <c r="J364" s="2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2"/>
      <c r="C365" s="3"/>
      <c r="D365" s="4"/>
      <c r="E365" s="5"/>
      <c r="F365" s="5"/>
      <c r="G365" s="2"/>
      <c r="H365" s="6"/>
      <c r="I365" s="4"/>
      <c r="J365" s="2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2"/>
      <c r="C366" s="3"/>
      <c r="D366" s="4"/>
      <c r="E366" s="5"/>
      <c r="F366" s="5"/>
      <c r="G366" s="2"/>
      <c r="H366" s="6"/>
      <c r="I366" s="4"/>
      <c r="J366" s="2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2"/>
      <c r="C367" s="3"/>
      <c r="D367" s="4"/>
      <c r="E367" s="5"/>
      <c r="F367" s="5"/>
      <c r="G367" s="2"/>
      <c r="H367" s="6"/>
      <c r="I367" s="4"/>
      <c r="J367" s="2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2"/>
      <c r="C368" s="3"/>
      <c r="D368" s="4"/>
      <c r="E368" s="5"/>
      <c r="F368" s="5"/>
      <c r="G368" s="2"/>
      <c r="H368" s="6"/>
      <c r="I368" s="4"/>
      <c r="J368" s="2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2"/>
      <c r="C369" s="3"/>
      <c r="D369" s="4"/>
      <c r="E369" s="5"/>
      <c r="F369" s="5"/>
      <c r="G369" s="2"/>
      <c r="H369" s="6"/>
      <c r="I369" s="4"/>
      <c r="J369" s="2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2"/>
      <c r="C370" s="3"/>
      <c r="D370" s="4"/>
      <c r="E370" s="5"/>
      <c r="F370" s="5"/>
      <c r="G370" s="2"/>
      <c r="H370" s="6"/>
      <c r="I370" s="4"/>
      <c r="J370" s="2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2"/>
      <c r="C371" s="3"/>
      <c r="D371" s="4"/>
      <c r="E371" s="5"/>
      <c r="F371" s="5"/>
      <c r="G371" s="2"/>
      <c r="H371" s="6"/>
      <c r="I371" s="4"/>
      <c r="J371" s="2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2"/>
      <c r="C372" s="3"/>
      <c r="D372" s="4"/>
      <c r="E372" s="5"/>
      <c r="F372" s="5"/>
      <c r="G372" s="2"/>
      <c r="H372" s="6"/>
      <c r="I372" s="4"/>
      <c r="J372" s="2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2"/>
      <c r="C373" s="3"/>
      <c r="D373" s="4"/>
      <c r="E373" s="5"/>
      <c r="F373" s="5"/>
      <c r="G373" s="2"/>
      <c r="H373" s="6"/>
      <c r="I373" s="4"/>
      <c r="J373" s="2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2"/>
      <c r="C374" s="3"/>
      <c r="D374" s="4"/>
      <c r="E374" s="5"/>
      <c r="F374" s="5"/>
      <c r="G374" s="2"/>
      <c r="H374" s="6"/>
      <c r="I374" s="4"/>
      <c r="J374" s="2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2"/>
      <c r="C375" s="3"/>
      <c r="D375" s="4"/>
      <c r="E375" s="5"/>
      <c r="F375" s="5"/>
      <c r="G375" s="2"/>
      <c r="H375" s="6"/>
      <c r="I375" s="4"/>
      <c r="J375" s="2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2"/>
      <c r="C376" s="3"/>
      <c r="D376" s="4"/>
      <c r="E376" s="5"/>
      <c r="F376" s="5"/>
      <c r="G376" s="2"/>
      <c r="H376" s="6"/>
      <c r="I376" s="4"/>
      <c r="J376" s="2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2"/>
      <c r="C377" s="3"/>
      <c r="D377" s="4"/>
      <c r="E377" s="5"/>
      <c r="F377" s="5"/>
      <c r="G377" s="2"/>
      <c r="H377" s="6"/>
      <c r="I377" s="4"/>
      <c r="J377" s="2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2"/>
      <c r="C378" s="3"/>
      <c r="D378" s="4"/>
      <c r="E378" s="5"/>
      <c r="F378" s="5"/>
      <c r="G378" s="2"/>
      <c r="H378" s="6"/>
      <c r="I378" s="4"/>
      <c r="J378" s="2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2"/>
      <c r="C379" s="3"/>
      <c r="D379" s="4"/>
      <c r="E379" s="5"/>
      <c r="F379" s="5"/>
      <c r="G379" s="2"/>
      <c r="H379" s="6"/>
      <c r="I379" s="4"/>
      <c r="J379" s="2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2"/>
      <c r="C380" s="3"/>
      <c r="D380" s="4"/>
      <c r="E380" s="5"/>
      <c r="F380" s="5"/>
      <c r="G380" s="2"/>
      <c r="H380" s="6"/>
      <c r="I380" s="4"/>
      <c r="J380" s="2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2"/>
      <c r="C381" s="3"/>
      <c r="D381" s="4"/>
      <c r="E381" s="5"/>
      <c r="F381" s="5"/>
      <c r="G381" s="2"/>
      <c r="H381" s="6"/>
      <c r="I381" s="4"/>
      <c r="J381" s="2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2"/>
      <c r="C382" s="3"/>
      <c r="D382" s="4"/>
      <c r="E382" s="5"/>
      <c r="F382" s="5"/>
      <c r="G382" s="2"/>
      <c r="H382" s="6"/>
      <c r="I382" s="4"/>
      <c r="J382" s="2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2"/>
      <c r="C383" s="3"/>
      <c r="D383" s="4"/>
      <c r="E383" s="5"/>
      <c r="F383" s="5"/>
      <c r="G383" s="2"/>
      <c r="H383" s="6"/>
      <c r="I383" s="4"/>
      <c r="J383" s="2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2"/>
      <c r="C384" s="3"/>
      <c r="D384" s="4"/>
      <c r="E384" s="5"/>
      <c r="F384" s="5"/>
      <c r="G384" s="2"/>
      <c r="H384" s="6"/>
      <c r="I384" s="4"/>
      <c r="J384" s="2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2"/>
      <c r="C385" s="3"/>
      <c r="D385" s="4"/>
      <c r="E385" s="5"/>
      <c r="F385" s="5"/>
      <c r="G385" s="2"/>
      <c r="H385" s="6"/>
      <c r="I385" s="4"/>
      <c r="J385" s="2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2"/>
      <c r="C386" s="3"/>
      <c r="D386" s="4"/>
      <c r="E386" s="5"/>
      <c r="F386" s="5"/>
      <c r="G386" s="2"/>
      <c r="H386" s="6"/>
      <c r="I386" s="4"/>
      <c r="J386" s="2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2"/>
      <c r="C387" s="3"/>
      <c r="D387" s="4"/>
      <c r="E387" s="5"/>
      <c r="F387" s="5"/>
      <c r="G387" s="2"/>
      <c r="H387" s="6"/>
      <c r="I387" s="4"/>
      <c r="J387" s="2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2"/>
      <c r="C388" s="3"/>
      <c r="D388" s="4"/>
      <c r="E388" s="5"/>
      <c r="F388" s="5"/>
      <c r="G388" s="2"/>
      <c r="H388" s="6"/>
      <c r="I388" s="4"/>
      <c r="J388" s="2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2"/>
      <c r="C389" s="3"/>
      <c r="D389" s="4"/>
      <c r="E389" s="5"/>
      <c r="F389" s="5"/>
      <c r="G389" s="2"/>
      <c r="H389" s="6"/>
      <c r="I389" s="4"/>
      <c r="J389" s="2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2"/>
      <c r="C390" s="3"/>
      <c r="D390" s="4"/>
      <c r="E390" s="5"/>
      <c r="F390" s="5"/>
      <c r="G390" s="2"/>
      <c r="H390" s="6"/>
      <c r="I390" s="4"/>
      <c r="J390" s="2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2"/>
      <c r="C391" s="3"/>
      <c r="D391" s="4"/>
      <c r="E391" s="5"/>
      <c r="F391" s="5"/>
      <c r="G391" s="2"/>
      <c r="H391" s="6"/>
      <c r="I391" s="4"/>
      <c r="J391" s="2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2"/>
      <c r="C392" s="3"/>
      <c r="D392" s="4"/>
      <c r="E392" s="5"/>
      <c r="F392" s="5"/>
      <c r="G392" s="2"/>
      <c r="H392" s="6"/>
      <c r="I392" s="4"/>
      <c r="J392" s="2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2"/>
      <c r="C393" s="3"/>
      <c r="D393" s="4"/>
      <c r="E393" s="5"/>
      <c r="F393" s="5"/>
      <c r="G393" s="2"/>
      <c r="H393" s="6"/>
      <c r="I393" s="4"/>
      <c r="J393" s="2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2"/>
      <c r="C394" s="3"/>
      <c r="D394" s="4"/>
      <c r="E394" s="5"/>
      <c r="F394" s="5"/>
      <c r="G394" s="2"/>
      <c r="H394" s="6"/>
      <c r="I394" s="4"/>
      <c r="J394" s="2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2"/>
      <c r="C395" s="3"/>
      <c r="D395" s="4"/>
      <c r="E395" s="5"/>
      <c r="F395" s="5"/>
      <c r="G395" s="2"/>
      <c r="H395" s="6"/>
      <c r="I395" s="4"/>
      <c r="J395" s="2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2"/>
      <c r="C396" s="3"/>
      <c r="D396" s="4"/>
      <c r="E396" s="5"/>
      <c r="F396" s="5"/>
      <c r="G396" s="2"/>
      <c r="H396" s="6"/>
      <c r="I396" s="4"/>
      <c r="J396" s="2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2"/>
      <c r="C397" s="3"/>
      <c r="D397" s="4"/>
      <c r="E397" s="5"/>
      <c r="F397" s="5"/>
      <c r="G397" s="2"/>
      <c r="H397" s="6"/>
      <c r="I397" s="4"/>
      <c r="J397" s="2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2"/>
      <c r="C398" s="3"/>
      <c r="D398" s="4"/>
      <c r="E398" s="5"/>
      <c r="F398" s="5"/>
      <c r="G398" s="2"/>
      <c r="H398" s="6"/>
      <c r="I398" s="4"/>
      <c r="J398" s="2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2"/>
      <c r="C399" s="3"/>
      <c r="D399" s="4"/>
      <c r="E399" s="5"/>
      <c r="F399" s="5"/>
      <c r="G399" s="2"/>
      <c r="H399" s="6"/>
      <c r="I399" s="4"/>
      <c r="J399" s="2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2"/>
      <c r="C400" s="3"/>
      <c r="D400" s="4"/>
      <c r="E400" s="5"/>
      <c r="F400" s="5"/>
      <c r="G400" s="2"/>
      <c r="H400" s="6"/>
      <c r="I400" s="4"/>
      <c r="J400" s="2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2"/>
      <c r="C401" s="3"/>
      <c r="D401" s="4"/>
      <c r="E401" s="5"/>
      <c r="F401" s="5"/>
      <c r="G401" s="2"/>
      <c r="H401" s="6"/>
      <c r="I401" s="4"/>
      <c r="J401" s="2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2"/>
      <c r="C402" s="3"/>
      <c r="D402" s="4"/>
      <c r="E402" s="5"/>
      <c r="F402" s="5"/>
      <c r="G402" s="2"/>
      <c r="H402" s="6"/>
      <c r="I402" s="4"/>
      <c r="J402" s="2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2"/>
      <c r="C403" s="3"/>
      <c r="D403" s="4"/>
      <c r="E403" s="5"/>
      <c r="F403" s="5"/>
      <c r="G403" s="2"/>
      <c r="H403" s="6"/>
      <c r="I403" s="4"/>
      <c r="J403" s="2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2"/>
      <c r="C404" s="3"/>
      <c r="D404" s="4"/>
      <c r="E404" s="5"/>
      <c r="F404" s="5"/>
      <c r="G404" s="2"/>
      <c r="H404" s="6"/>
      <c r="I404" s="4"/>
      <c r="J404" s="2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2"/>
      <c r="C405" s="3"/>
      <c r="D405" s="4"/>
      <c r="E405" s="5"/>
      <c r="F405" s="5"/>
      <c r="G405" s="2"/>
      <c r="H405" s="6"/>
      <c r="I405" s="4"/>
      <c r="J405" s="2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2"/>
      <c r="C406" s="3"/>
      <c r="D406" s="4"/>
      <c r="E406" s="5"/>
      <c r="F406" s="5"/>
      <c r="G406" s="2"/>
      <c r="H406" s="6"/>
      <c r="I406" s="4"/>
      <c r="J406" s="2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2"/>
      <c r="C407" s="3"/>
      <c r="D407" s="4"/>
      <c r="E407" s="5"/>
      <c r="F407" s="5"/>
      <c r="G407" s="2"/>
      <c r="H407" s="6"/>
      <c r="I407" s="4"/>
      <c r="J407" s="2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2"/>
      <c r="C408" s="3"/>
      <c r="D408" s="4"/>
      <c r="E408" s="5"/>
      <c r="F408" s="5"/>
      <c r="G408" s="2"/>
      <c r="H408" s="6"/>
      <c r="I408" s="4"/>
      <c r="J408" s="2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2"/>
      <c r="C409" s="3"/>
      <c r="D409" s="4"/>
      <c r="E409" s="5"/>
      <c r="F409" s="5"/>
      <c r="G409" s="2"/>
      <c r="H409" s="6"/>
      <c r="I409" s="4"/>
      <c r="J409" s="2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2"/>
      <c r="C410" s="3"/>
      <c r="D410" s="4"/>
      <c r="E410" s="5"/>
      <c r="F410" s="5"/>
      <c r="G410" s="2"/>
      <c r="H410" s="6"/>
      <c r="I410" s="4"/>
      <c r="J410" s="2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2"/>
      <c r="C411" s="3"/>
      <c r="D411" s="4"/>
      <c r="E411" s="5"/>
      <c r="F411" s="5"/>
      <c r="G411" s="2"/>
      <c r="H411" s="6"/>
      <c r="I411" s="4"/>
      <c r="J411" s="2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2"/>
      <c r="C412" s="3"/>
      <c r="D412" s="4"/>
      <c r="E412" s="5"/>
      <c r="F412" s="5"/>
      <c r="G412" s="2"/>
      <c r="H412" s="6"/>
      <c r="I412" s="4"/>
      <c r="J412" s="2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2"/>
      <c r="C413" s="3"/>
      <c r="D413" s="4"/>
      <c r="E413" s="5"/>
      <c r="F413" s="5"/>
      <c r="G413" s="2"/>
      <c r="H413" s="6"/>
      <c r="I413" s="4"/>
      <c r="J413" s="2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2"/>
      <c r="C414" s="3"/>
      <c r="D414" s="4"/>
      <c r="E414" s="5"/>
      <c r="F414" s="5"/>
      <c r="G414" s="2"/>
      <c r="H414" s="6"/>
      <c r="I414" s="4"/>
      <c r="J414" s="2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2"/>
      <c r="C415" s="3"/>
      <c r="D415" s="4"/>
      <c r="E415" s="5"/>
      <c r="F415" s="5"/>
      <c r="G415" s="2"/>
      <c r="H415" s="6"/>
      <c r="I415" s="4"/>
      <c r="J415" s="2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2"/>
      <c r="C416" s="3"/>
      <c r="D416" s="4"/>
      <c r="E416" s="5"/>
      <c r="F416" s="5"/>
      <c r="G416" s="2"/>
      <c r="H416" s="6"/>
      <c r="I416" s="4"/>
      <c r="J416" s="2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2"/>
      <c r="C417" s="3"/>
      <c r="D417" s="4"/>
      <c r="E417" s="5"/>
      <c r="F417" s="5"/>
      <c r="G417" s="2"/>
      <c r="H417" s="6"/>
      <c r="I417" s="4"/>
      <c r="J417" s="2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2"/>
      <c r="C418" s="3"/>
      <c r="D418" s="4"/>
      <c r="E418" s="5"/>
      <c r="F418" s="5"/>
      <c r="G418" s="2"/>
      <c r="H418" s="6"/>
      <c r="I418" s="4"/>
      <c r="J418" s="2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2"/>
      <c r="C419" s="3"/>
      <c r="D419" s="4"/>
      <c r="E419" s="5"/>
      <c r="F419" s="5"/>
      <c r="G419" s="2"/>
      <c r="H419" s="6"/>
      <c r="I419" s="4"/>
      <c r="J419" s="2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2"/>
      <c r="C420" s="3"/>
      <c r="D420" s="4"/>
      <c r="E420" s="5"/>
      <c r="F420" s="5"/>
      <c r="G420" s="2"/>
      <c r="H420" s="6"/>
      <c r="I420" s="4"/>
      <c r="J420" s="2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2"/>
      <c r="C421" s="3"/>
      <c r="D421" s="4"/>
      <c r="E421" s="5"/>
      <c r="F421" s="5"/>
      <c r="G421" s="2"/>
      <c r="H421" s="6"/>
      <c r="I421" s="4"/>
      <c r="J421" s="2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2"/>
      <c r="C422" s="3"/>
      <c r="D422" s="4"/>
      <c r="E422" s="5"/>
      <c r="F422" s="5"/>
      <c r="G422" s="2"/>
      <c r="H422" s="6"/>
      <c r="I422" s="4"/>
      <c r="J422" s="2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2"/>
      <c r="C423" s="3"/>
      <c r="D423" s="4"/>
      <c r="E423" s="5"/>
      <c r="F423" s="5"/>
      <c r="G423" s="2"/>
      <c r="H423" s="6"/>
      <c r="I423" s="4"/>
      <c r="J423" s="2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2"/>
      <c r="C424" s="3"/>
      <c r="D424" s="4"/>
      <c r="E424" s="5"/>
      <c r="F424" s="5"/>
      <c r="G424" s="2"/>
      <c r="H424" s="6"/>
      <c r="I424" s="4"/>
      <c r="J424" s="2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2"/>
      <c r="C425" s="3"/>
      <c r="D425" s="4"/>
      <c r="E425" s="5"/>
      <c r="F425" s="5"/>
      <c r="G425" s="2"/>
      <c r="H425" s="6"/>
      <c r="I425" s="4"/>
      <c r="J425" s="2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2"/>
      <c r="C426" s="3"/>
      <c r="D426" s="4"/>
      <c r="E426" s="5"/>
      <c r="F426" s="5"/>
      <c r="G426" s="2"/>
      <c r="H426" s="6"/>
      <c r="I426" s="4"/>
      <c r="J426" s="2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2"/>
      <c r="C427" s="3"/>
      <c r="D427" s="4"/>
      <c r="E427" s="5"/>
      <c r="F427" s="5"/>
      <c r="G427" s="2"/>
      <c r="H427" s="6"/>
      <c r="I427" s="4"/>
      <c r="J427" s="2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2"/>
      <c r="C428" s="3"/>
      <c r="D428" s="4"/>
      <c r="E428" s="5"/>
      <c r="F428" s="5"/>
      <c r="G428" s="2"/>
      <c r="H428" s="6"/>
      <c r="I428" s="4"/>
      <c r="J428" s="2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2"/>
      <c r="C429" s="3"/>
      <c r="D429" s="4"/>
      <c r="E429" s="5"/>
      <c r="F429" s="5"/>
      <c r="G429" s="2"/>
      <c r="H429" s="6"/>
      <c r="I429" s="4"/>
      <c r="J429" s="2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2"/>
      <c r="C430" s="3"/>
      <c r="D430" s="4"/>
      <c r="E430" s="5"/>
      <c r="F430" s="5"/>
      <c r="G430" s="2"/>
      <c r="H430" s="6"/>
      <c r="I430" s="4"/>
      <c r="J430" s="2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2"/>
      <c r="C431" s="3"/>
      <c r="D431" s="4"/>
      <c r="E431" s="5"/>
      <c r="F431" s="5"/>
      <c r="G431" s="2"/>
      <c r="H431" s="6"/>
      <c r="I431" s="4"/>
      <c r="J431" s="2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2"/>
      <c r="C432" s="3"/>
      <c r="D432" s="4"/>
      <c r="E432" s="5"/>
      <c r="F432" s="5"/>
      <c r="G432" s="2"/>
      <c r="H432" s="6"/>
      <c r="I432" s="4"/>
      <c r="J432" s="2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2"/>
      <c r="C433" s="3"/>
      <c r="D433" s="4"/>
      <c r="E433" s="5"/>
      <c r="F433" s="5"/>
      <c r="G433" s="2"/>
      <c r="H433" s="6"/>
      <c r="I433" s="4"/>
      <c r="J433" s="2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2"/>
      <c r="C434" s="3"/>
      <c r="D434" s="4"/>
      <c r="E434" s="5"/>
      <c r="F434" s="5"/>
      <c r="G434" s="2"/>
      <c r="H434" s="6"/>
      <c r="I434" s="4"/>
      <c r="J434" s="2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2"/>
      <c r="C435" s="3"/>
      <c r="D435" s="4"/>
      <c r="E435" s="5"/>
      <c r="F435" s="5"/>
      <c r="G435" s="2"/>
      <c r="H435" s="6"/>
      <c r="I435" s="4"/>
      <c r="J435" s="2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2"/>
      <c r="C436" s="3"/>
      <c r="D436" s="4"/>
      <c r="E436" s="5"/>
      <c r="F436" s="5"/>
      <c r="G436" s="2"/>
      <c r="H436" s="6"/>
      <c r="I436" s="4"/>
      <c r="J436" s="2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2"/>
      <c r="C437" s="3"/>
      <c r="D437" s="4"/>
      <c r="E437" s="5"/>
      <c r="F437" s="5"/>
      <c r="G437" s="2"/>
      <c r="H437" s="6"/>
      <c r="I437" s="4"/>
      <c r="J437" s="2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2"/>
      <c r="C438" s="3"/>
      <c r="D438" s="4"/>
      <c r="E438" s="5"/>
      <c r="F438" s="5"/>
      <c r="G438" s="2"/>
      <c r="H438" s="6"/>
      <c r="I438" s="4"/>
      <c r="J438" s="2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2"/>
      <c r="C439" s="3"/>
      <c r="D439" s="4"/>
      <c r="E439" s="5"/>
      <c r="F439" s="5"/>
      <c r="G439" s="2"/>
      <c r="H439" s="6"/>
      <c r="I439" s="4"/>
      <c r="J439" s="2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2"/>
      <c r="C440" s="3"/>
      <c r="D440" s="4"/>
      <c r="E440" s="5"/>
      <c r="F440" s="5"/>
      <c r="G440" s="2"/>
      <c r="H440" s="6"/>
      <c r="I440" s="4"/>
      <c r="J440" s="2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2"/>
      <c r="C441" s="3"/>
      <c r="D441" s="4"/>
      <c r="E441" s="5"/>
      <c r="F441" s="5"/>
      <c r="G441" s="2"/>
      <c r="H441" s="6"/>
      <c r="I441" s="4"/>
      <c r="J441" s="2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2"/>
      <c r="C442" s="3"/>
      <c r="D442" s="4"/>
      <c r="E442" s="5"/>
      <c r="F442" s="5"/>
      <c r="G442" s="2"/>
      <c r="H442" s="6"/>
      <c r="I442" s="4"/>
      <c r="J442" s="2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2"/>
      <c r="C443" s="3"/>
      <c r="D443" s="4"/>
      <c r="E443" s="5"/>
      <c r="F443" s="5"/>
      <c r="G443" s="2"/>
      <c r="H443" s="6"/>
      <c r="I443" s="4"/>
      <c r="J443" s="2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2"/>
      <c r="C444" s="3"/>
      <c r="D444" s="4"/>
      <c r="E444" s="5"/>
      <c r="F444" s="5"/>
      <c r="G444" s="2"/>
      <c r="H444" s="6"/>
      <c r="I444" s="4"/>
      <c r="J444" s="2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2"/>
      <c r="C445" s="3"/>
      <c r="D445" s="4"/>
      <c r="E445" s="5"/>
      <c r="F445" s="5"/>
      <c r="G445" s="2"/>
      <c r="H445" s="6"/>
      <c r="I445" s="4"/>
      <c r="J445" s="2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2"/>
      <c r="C446" s="3"/>
      <c r="D446" s="4"/>
      <c r="E446" s="5"/>
      <c r="F446" s="5"/>
      <c r="G446" s="2"/>
      <c r="H446" s="6"/>
      <c r="I446" s="4"/>
      <c r="J446" s="2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2"/>
      <c r="C447" s="3"/>
      <c r="D447" s="4"/>
      <c r="E447" s="5"/>
      <c r="F447" s="5"/>
      <c r="G447" s="2"/>
      <c r="H447" s="6"/>
      <c r="I447" s="4"/>
      <c r="J447" s="2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2"/>
      <c r="C448" s="3"/>
      <c r="D448" s="4"/>
      <c r="E448" s="5"/>
      <c r="F448" s="5"/>
      <c r="G448" s="2"/>
      <c r="H448" s="6"/>
      <c r="I448" s="4"/>
      <c r="J448" s="2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2"/>
      <c r="C449" s="3"/>
      <c r="D449" s="4"/>
      <c r="E449" s="5"/>
      <c r="F449" s="5"/>
      <c r="G449" s="2"/>
      <c r="H449" s="6"/>
      <c r="I449" s="4"/>
      <c r="J449" s="2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2"/>
      <c r="C450" s="3"/>
      <c r="D450" s="4"/>
      <c r="E450" s="5"/>
      <c r="F450" s="5"/>
      <c r="G450" s="2"/>
      <c r="H450" s="6"/>
      <c r="I450" s="4"/>
      <c r="J450" s="2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2"/>
      <c r="C451" s="3"/>
      <c r="D451" s="4"/>
      <c r="E451" s="5"/>
      <c r="F451" s="5"/>
      <c r="G451" s="2"/>
      <c r="H451" s="6"/>
      <c r="I451" s="4"/>
      <c r="J451" s="2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2"/>
      <c r="C452" s="3"/>
      <c r="D452" s="4"/>
      <c r="E452" s="5"/>
      <c r="F452" s="5"/>
      <c r="G452" s="2"/>
      <c r="H452" s="6"/>
      <c r="I452" s="4"/>
      <c r="J452" s="2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2"/>
      <c r="C453" s="3"/>
      <c r="D453" s="4"/>
      <c r="E453" s="5"/>
      <c r="F453" s="5"/>
      <c r="G453" s="2"/>
      <c r="H453" s="6"/>
      <c r="I453" s="4"/>
      <c r="J453" s="2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2"/>
      <c r="C454" s="3"/>
      <c r="D454" s="4"/>
      <c r="E454" s="5"/>
      <c r="F454" s="5"/>
      <c r="G454" s="2"/>
      <c r="H454" s="6"/>
      <c r="I454" s="4"/>
      <c r="J454" s="2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2"/>
      <c r="C455" s="3"/>
      <c r="D455" s="4"/>
      <c r="E455" s="5"/>
      <c r="F455" s="5"/>
      <c r="G455" s="2"/>
      <c r="H455" s="6"/>
      <c r="I455" s="4"/>
      <c r="J455" s="2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2"/>
      <c r="C456" s="3"/>
      <c r="D456" s="4"/>
      <c r="E456" s="5"/>
      <c r="F456" s="5"/>
      <c r="G456" s="2"/>
      <c r="H456" s="6"/>
      <c r="I456" s="4"/>
      <c r="J456" s="2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2"/>
      <c r="C457" s="3"/>
      <c r="D457" s="4"/>
      <c r="E457" s="5"/>
      <c r="F457" s="5"/>
      <c r="G457" s="2"/>
      <c r="H457" s="6"/>
      <c r="I457" s="4"/>
      <c r="J457" s="2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2"/>
      <c r="C458" s="3"/>
      <c r="D458" s="4"/>
      <c r="E458" s="5"/>
      <c r="F458" s="5"/>
      <c r="G458" s="2"/>
      <c r="H458" s="6"/>
      <c r="I458" s="4"/>
      <c r="J458" s="2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2"/>
      <c r="C459" s="3"/>
      <c r="D459" s="4"/>
      <c r="E459" s="5"/>
      <c r="F459" s="5"/>
      <c r="G459" s="2"/>
      <c r="H459" s="6"/>
      <c r="I459" s="4"/>
      <c r="J459" s="2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2"/>
      <c r="C460" s="3"/>
      <c r="D460" s="4"/>
      <c r="E460" s="5"/>
      <c r="F460" s="5"/>
      <c r="G460" s="2"/>
      <c r="H460" s="6"/>
      <c r="I460" s="4"/>
      <c r="J460" s="2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2"/>
      <c r="C461" s="3"/>
      <c r="D461" s="4"/>
      <c r="E461" s="5"/>
      <c r="F461" s="5"/>
      <c r="G461" s="2"/>
      <c r="H461" s="6"/>
      <c r="I461" s="4"/>
      <c r="J461" s="2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2"/>
      <c r="C462" s="3"/>
      <c r="D462" s="4"/>
      <c r="E462" s="5"/>
      <c r="F462" s="5"/>
      <c r="G462" s="2"/>
      <c r="H462" s="6"/>
      <c r="I462" s="4"/>
      <c r="J462" s="2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2"/>
      <c r="C463" s="3"/>
      <c r="D463" s="4"/>
      <c r="E463" s="5"/>
      <c r="F463" s="5"/>
      <c r="G463" s="2"/>
      <c r="H463" s="6"/>
      <c r="I463" s="4"/>
      <c r="J463" s="2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2"/>
      <c r="C464" s="3"/>
      <c r="D464" s="4"/>
      <c r="E464" s="5"/>
      <c r="F464" s="5"/>
      <c r="G464" s="2"/>
      <c r="H464" s="6"/>
      <c r="I464" s="4"/>
      <c r="J464" s="2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2"/>
      <c r="C465" s="3"/>
      <c r="D465" s="4"/>
      <c r="E465" s="5"/>
      <c r="F465" s="5"/>
      <c r="G465" s="2"/>
      <c r="H465" s="6"/>
      <c r="I465" s="4"/>
      <c r="J465" s="2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2"/>
      <c r="C466" s="3"/>
      <c r="D466" s="4"/>
      <c r="E466" s="5"/>
      <c r="F466" s="5"/>
      <c r="G466" s="2"/>
      <c r="H466" s="6"/>
      <c r="I466" s="4"/>
      <c r="J466" s="2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2"/>
      <c r="C467" s="3"/>
      <c r="D467" s="4"/>
      <c r="E467" s="5"/>
      <c r="F467" s="5"/>
      <c r="G467" s="2"/>
      <c r="H467" s="6"/>
      <c r="I467" s="4"/>
      <c r="J467" s="2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2"/>
      <c r="C468" s="3"/>
      <c r="D468" s="4"/>
      <c r="E468" s="5"/>
      <c r="F468" s="5"/>
      <c r="G468" s="2"/>
      <c r="H468" s="6"/>
      <c r="I468" s="4"/>
      <c r="J468" s="2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2"/>
      <c r="C469" s="3"/>
      <c r="D469" s="4"/>
      <c r="E469" s="5"/>
      <c r="F469" s="5"/>
      <c r="G469" s="2"/>
      <c r="H469" s="6"/>
      <c r="I469" s="4"/>
      <c r="J469" s="2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2"/>
      <c r="C470" s="3"/>
      <c r="D470" s="4"/>
      <c r="E470" s="5"/>
      <c r="F470" s="5"/>
      <c r="G470" s="2"/>
      <c r="H470" s="6"/>
      <c r="I470" s="4"/>
      <c r="J470" s="2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2"/>
      <c r="C471" s="3"/>
      <c r="D471" s="4"/>
      <c r="E471" s="5"/>
      <c r="F471" s="5"/>
      <c r="G471" s="2"/>
      <c r="H471" s="6"/>
      <c r="I471" s="4"/>
      <c r="J471" s="2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2"/>
      <c r="C472" s="3"/>
      <c r="D472" s="4"/>
      <c r="E472" s="5"/>
      <c r="F472" s="5"/>
      <c r="G472" s="2"/>
      <c r="H472" s="6"/>
      <c r="I472" s="4"/>
      <c r="J472" s="2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2"/>
      <c r="C473" s="3"/>
      <c r="D473" s="4"/>
      <c r="E473" s="5"/>
      <c r="F473" s="5"/>
      <c r="G473" s="2"/>
      <c r="H473" s="6"/>
      <c r="I473" s="4"/>
      <c r="J473" s="2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2"/>
      <c r="C474" s="3"/>
      <c r="D474" s="4"/>
      <c r="E474" s="5"/>
      <c r="F474" s="5"/>
      <c r="G474" s="2"/>
      <c r="H474" s="6"/>
      <c r="I474" s="4"/>
      <c r="J474" s="2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2"/>
      <c r="C475" s="3"/>
      <c r="D475" s="4"/>
      <c r="E475" s="5"/>
      <c r="F475" s="5"/>
      <c r="G475" s="2"/>
      <c r="H475" s="6"/>
      <c r="I475" s="4"/>
      <c r="J475" s="2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2"/>
      <c r="C476" s="3"/>
      <c r="D476" s="4"/>
      <c r="E476" s="5"/>
      <c r="F476" s="5"/>
      <c r="G476" s="2"/>
      <c r="H476" s="6"/>
      <c r="I476" s="4"/>
      <c r="J476" s="2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2"/>
      <c r="C477" s="3"/>
      <c r="D477" s="4"/>
      <c r="E477" s="5"/>
      <c r="F477" s="5"/>
      <c r="G477" s="2"/>
      <c r="H477" s="6"/>
      <c r="I477" s="4"/>
      <c r="J477" s="2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2"/>
      <c r="C478" s="3"/>
      <c r="D478" s="4"/>
      <c r="E478" s="5"/>
      <c r="F478" s="5"/>
      <c r="G478" s="2"/>
      <c r="H478" s="6"/>
      <c r="I478" s="4"/>
      <c r="J478" s="2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2"/>
      <c r="C479" s="3"/>
      <c r="D479" s="4"/>
      <c r="E479" s="5"/>
      <c r="F479" s="5"/>
      <c r="G479" s="2"/>
      <c r="H479" s="6"/>
      <c r="I479" s="4"/>
      <c r="J479" s="2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2"/>
      <c r="C480" s="3"/>
      <c r="D480" s="4"/>
      <c r="E480" s="5"/>
      <c r="F480" s="5"/>
      <c r="G480" s="2"/>
      <c r="H480" s="6"/>
      <c r="I480" s="4"/>
      <c r="J480" s="2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2"/>
      <c r="C481" s="3"/>
      <c r="D481" s="4"/>
      <c r="E481" s="5"/>
      <c r="F481" s="5"/>
      <c r="G481" s="2"/>
      <c r="H481" s="6"/>
      <c r="I481" s="4"/>
      <c r="J481" s="2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2"/>
      <c r="C482" s="3"/>
      <c r="D482" s="4"/>
      <c r="E482" s="5"/>
      <c r="F482" s="5"/>
      <c r="G482" s="2"/>
      <c r="H482" s="6"/>
      <c r="I482" s="4"/>
      <c r="J482" s="2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2"/>
      <c r="C483" s="3"/>
      <c r="D483" s="4"/>
      <c r="E483" s="5"/>
      <c r="F483" s="5"/>
      <c r="G483" s="2"/>
      <c r="H483" s="6"/>
      <c r="I483" s="4"/>
      <c r="J483" s="2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2"/>
      <c r="C484" s="3"/>
      <c r="D484" s="4"/>
      <c r="E484" s="5"/>
      <c r="F484" s="5"/>
      <c r="G484" s="2"/>
      <c r="H484" s="6"/>
      <c r="I484" s="4"/>
      <c r="J484" s="2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2"/>
      <c r="C485" s="3"/>
      <c r="D485" s="4"/>
      <c r="E485" s="5"/>
      <c r="F485" s="5"/>
      <c r="G485" s="2"/>
      <c r="H485" s="6"/>
      <c r="I485" s="4"/>
      <c r="J485" s="2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2"/>
      <c r="C486" s="3"/>
      <c r="D486" s="4"/>
      <c r="E486" s="5"/>
      <c r="F486" s="5"/>
      <c r="G486" s="2"/>
      <c r="H486" s="6"/>
      <c r="I486" s="4"/>
      <c r="J486" s="2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2"/>
      <c r="C487" s="3"/>
      <c r="D487" s="4"/>
      <c r="E487" s="5"/>
      <c r="F487" s="5"/>
      <c r="G487" s="2"/>
      <c r="H487" s="6"/>
      <c r="I487" s="4"/>
      <c r="J487" s="2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2"/>
      <c r="C488" s="3"/>
      <c r="D488" s="4"/>
      <c r="E488" s="5"/>
      <c r="F488" s="5"/>
      <c r="G488" s="2"/>
      <c r="H488" s="6"/>
      <c r="I488" s="4"/>
      <c r="J488" s="2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2"/>
      <c r="C489" s="3"/>
      <c r="D489" s="4"/>
      <c r="E489" s="5"/>
      <c r="F489" s="5"/>
      <c r="G489" s="2"/>
      <c r="H489" s="6"/>
      <c r="I489" s="4"/>
      <c r="J489" s="2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2"/>
      <c r="C490" s="3"/>
      <c r="D490" s="4"/>
      <c r="E490" s="5"/>
      <c r="F490" s="5"/>
      <c r="G490" s="2"/>
      <c r="H490" s="6"/>
      <c r="I490" s="4"/>
      <c r="J490" s="2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2"/>
      <c r="C491" s="3"/>
      <c r="D491" s="4"/>
      <c r="E491" s="5"/>
      <c r="F491" s="5"/>
      <c r="G491" s="2"/>
      <c r="H491" s="6"/>
      <c r="I491" s="4"/>
      <c r="J491" s="2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2"/>
      <c r="C492" s="3"/>
      <c r="D492" s="4"/>
      <c r="E492" s="5"/>
      <c r="F492" s="5"/>
      <c r="G492" s="2"/>
      <c r="H492" s="6"/>
      <c r="I492" s="4"/>
      <c r="J492" s="2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2"/>
      <c r="C493" s="3"/>
      <c r="D493" s="4"/>
      <c r="E493" s="5"/>
      <c r="F493" s="5"/>
      <c r="G493" s="2"/>
      <c r="H493" s="6"/>
      <c r="I493" s="4"/>
      <c r="J493" s="2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2"/>
      <c r="C494" s="3"/>
      <c r="D494" s="4"/>
      <c r="E494" s="5"/>
      <c r="F494" s="5"/>
      <c r="G494" s="2"/>
      <c r="H494" s="6"/>
      <c r="I494" s="4"/>
      <c r="J494" s="2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2"/>
      <c r="C495" s="3"/>
      <c r="D495" s="4"/>
      <c r="E495" s="5"/>
      <c r="F495" s="5"/>
      <c r="G495" s="2"/>
      <c r="H495" s="6"/>
      <c r="I495" s="4"/>
      <c r="J495" s="2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2"/>
      <c r="C496" s="3"/>
      <c r="D496" s="4"/>
      <c r="E496" s="5"/>
      <c r="F496" s="5"/>
      <c r="G496" s="2"/>
      <c r="H496" s="6"/>
      <c r="I496" s="4"/>
      <c r="J496" s="2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2"/>
      <c r="C497" s="3"/>
      <c r="D497" s="4"/>
      <c r="E497" s="5"/>
      <c r="F497" s="5"/>
      <c r="G497" s="2"/>
      <c r="H497" s="6"/>
      <c r="I497" s="4"/>
      <c r="J497" s="2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2"/>
      <c r="C498" s="3"/>
      <c r="D498" s="4"/>
      <c r="E498" s="5"/>
      <c r="F498" s="5"/>
      <c r="G498" s="2"/>
      <c r="H498" s="6"/>
      <c r="I498" s="4"/>
      <c r="J498" s="2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2"/>
      <c r="C499" s="3"/>
      <c r="D499" s="4"/>
      <c r="E499" s="5"/>
      <c r="F499" s="5"/>
      <c r="G499" s="2"/>
      <c r="H499" s="6"/>
      <c r="I499" s="4"/>
      <c r="J499" s="2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2"/>
      <c r="C500" s="3"/>
      <c r="D500" s="4"/>
      <c r="E500" s="5"/>
      <c r="F500" s="5"/>
      <c r="G500" s="2"/>
      <c r="H500" s="6"/>
      <c r="I500" s="4"/>
      <c r="J500" s="2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2"/>
      <c r="C501" s="3"/>
      <c r="D501" s="4"/>
      <c r="E501" s="5"/>
      <c r="F501" s="5"/>
      <c r="G501" s="2"/>
      <c r="H501" s="6"/>
      <c r="I501" s="4"/>
      <c r="J501" s="2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2"/>
      <c r="C502" s="3"/>
      <c r="D502" s="4"/>
      <c r="E502" s="5"/>
      <c r="F502" s="5"/>
      <c r="G502" s="2"/>
      <c r="H502" s="6"/>
      <c r="I502" s="4"/>
      <c r="J502" s="2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2"/>
      <c r="C503" s="3"/>
      <c r="D503" s="4"/>
      <c r="E503" s="5"/>
      <c r="F503" s="5"/>
      <c r="G503" s="2"/>
      <c r="H503" s="6"/>
      <c r="I503" s="4"/>
      <c r="J503" s="2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2"/>
      <c r="C504" s="3"/>
      <c r="D504" s="4"/>
      <c r="E504" s="5"/>
      <c r="F504" s="5"/>
      <c r="G504" s="2"/>
      <c r="H504" s="6"/>
      <c r="I504" s="4"/>
      <c r="J504" s="2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2"/>
      <c r="C505" s="3"/>
      <c r="D505" s="4"/>
      <c r="E505" s="5"/>
      <c r="F505" s="5"/>
      <c r="G505" s="2"/>
      <c r="H505" s="6"/>
      <c r="I505" s="4"/>
      <c r="J505" s="2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2"/>
      <c r="C506" s="3"/>
      <c r="D506" s="4"/>
      <c r="E506" s="5"/>
      <c r="F506" s="5"/>
      <c r="G506" s="2"/>
      <c r="H506" s="6"/>
      <c r="I506" s="4"/>
      <c r="J506" s="2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2"/>
      <c r="C507" s="3"/>
      <c r="D507" s="4"/>
      <c r="E507" s="5"/>
      <c r="F507" s="5"/>
      <c r="G507" s="2"/>
      <c r="H507" s="6"/>
      <c r="I507" s="4"/>
      <c r="J507" s="2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2"/>
      <c r="C508" s="3"/>
      <c r="D508" s="4"/>
      <c r="E508" s="5"/>
      <c r="F508" s="5"/>
      <c r="G508" s="2"/>
      <c r="H508" s="6"/>
      <c r="I508" s="4"/>
      <c r="J508" s="2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2"/>
      <c r="C509" s="3"/>
      <c r="D509" s="4"/>
      <c r="E509" s="5"/>
      <c r="F509" s="5"/>
      <c r="G509" s="2"/>
      <c r="H509" s="6"/>
      <c r="I509" s="4"/>
      <c r="J509" s="2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2"/>
      <c r="C510" s="3"/>
      <c r="D510" s="4"/>
      <c r="E510" s="5"/>
      <c r="F510" s="5"/>
      <c r="G510" s="2"/>
      <c r="H510" s="6"/>
      <c r="I510" s="4"/>
      <c r="J510" s="2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2"/>
      <c r="C511" s="3"/>
      <c r="D511" s="4"/>
      <c r="E511" s="5"/>
      <c r="F511" s="5"/>
      <c r="G511" s="2"/>
      <c r="H511" s="6"/>
      <c r="I511" s="4"/>
      <c r="J511" s="2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2"/>
      <c r="C512" s="3"/>
      <c r="D512" s="4"/>
      <c r="E512" s="5"/>
      <c r="F512" s="5"/>
      <c r="G512" s="2"/>
      <c r="H512" s="6"/>
      <c r="I512" s="4"/>
      <c r="J512" s="2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2"/>
      <c r="C513" s="3"/>
      <c r="D513" s="4"/>
      <c r="E513" s="5"/>
      <c r="F513" s="5"/>
      <c r="G513" s="2"/>
      <c r="H513" s="6"/>
      <c r="I513" s="4"/>
      <c r="J513" s="2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2"/>
      <c r="C514" s="3"/>
      <c r="D514" s="4"/>
      <c r="E514" s="5"/>
      <c r="F514" s="5"/>
      <c r="G514" s="2"/>
      <c r="H514" s="6"/>
      <c r="I514" s="4"/>
      <c r="J514" s="2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2"/>
      <c r="C515" s="3"/>
      <c r="D515" s="4"/>
      <c r="E515" s="5"/>
      <c r="F515" s="5"/>
      <c r="G515" s="2"/>
      <c r="H515" s="6"/>
      <c r="I515" s="4"/>
      <c r="J515" s="2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2"/>
      <c r="C516" s="3"/>
      <c r="D516" s="4"/>
      <c r="E516" s="5"/>
      <c r="F516" s="5"/>
      <c r="G516" s="2"/>
      <c r="H516" s="6"/>
      <c r="I516" s="4"/>
      <c r="J516" s="2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2"/>
      <c r="C517" s="3"/>
      <c r="D517" s="4"/>
      <c r="E517" s="5"/>
      <c r="F517" s="5"/>
      <c r="G517" s="2"/>
      <c r="H517" s="6"/>
      <c r="I517" s="4"/>
      <c r="J517" s="2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2"/>
      <c r="C518" s="3"/>
      <c r="D518" s="4"/>
      <c r="E518" s="5"/>
      <c r="F518" s="5"/>
      <c r="G518" s="2"/>
      <c r="H518" s="6"/>
      <c r="I518" s="4"/>
      <c r="J518" s="2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2"/>
      <c r="C519" s="3"/>
      <c r="D519" s="4"/>
      <c r="E519" s="5"/>
      <c r="F519" s="5"/>
      <c r="G519" s="2"/>
      <c r="H519" s="6"/>
      <c r="I519" s="4"/>
      <c r="J519" s="2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2"/>
      <c r="C520" s="3"/>
      <c r="D520" s="4"/>
      <c r="E520" s="5"/>
      <c r="F520" s="5"/>
      <c r="G520" s="2"/>
      <c r="H520" s="6"/>
      <c r="I520" s="4"/>
      <c r="J520" s="2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2"/>
      <c r="C521" s="3"/>
      <c r="D521" s="4"/>
      <c r="E521" s="5"/>
      <c r="F521" s="5"/>
      <c r="G521" s="2"/>
      <c r="H521" s="6"/>
      <c r="I521" s="4"/>
      <c r="J521" s="2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2"/>
      <c r="C522" s="3"/>
      <c r="D522" s="4"/>
      <c r="E522" s="5"/>
      <c r="F522" s="5"/>
      <c r="G522" s="2"/>
      <c r="H522" s="6"/>
      <c r="I522" s="4"/>
      <c r="J522" s="2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2"/>
      <c r="C523" s="3"/>
      <c r="D523" s="4"/>
      <c r="E523" s="5"/>
      <c r="F523" s="5"/>
      <c r="G523" s="2"/>
      <c r="H523" s="6"/>
      <c r="I523" s="4"/>
      <c r="J523" s="2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2"/>
      <c r="C524" s="3"/>
      <c r="D524" s="4"/>
      <c r="E524" s="5"/>
      <c r="F524" s="5"/>
      <c r="G524" s="2"/>
      <c r="H524" s="6"/>
      <c r="I524" s="4"/>
      <c r="J524" s="2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2"/>
      <c r="C525" s="3"/>
      <c r="D525" s="4"/>
      <c r="E525" s="5"/>
      <c r="F525" s="5"/>
      <c r="G525" s="2"/>
      <c r="H525" s="6"/>
      <c r="I525" s="4"/>
      <c r="J525" s="2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2"/>
      <c r="C526" s="3"/>
      <c r="D526" s="4"/>
      <c r="E526" s="5"/>
      <c r="F526" s="5"/>
      <c r="G526" s="2"/>
      <c r="H526" s="6"/>
      <c r="I526" s="4"/>
      <c r="J526" s="2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2"/>
      <c r="C527" s="3"/>
      <c r="D527" s="4"/>
      <c r="E527" s="5"/>
      <c r="F527" s="5"/>
      <c r="G527" s="2"/>
      <c r="H527" s="6"/>
      <c r="I527" s="4"/>
      <c r="J527" s="2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2"/>
      <c r="C528" s="3"/>
      <c r="D528" s="4"/>
      <c r="E528" s="5"/>
      <c r="F528" s="5"/>
      <c r="G528" s="2"/>
      <c r="H528" s="6"/>
      <c r="I528" s="4"/>
      <c r="J528" s="2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2"/>
      <c r="C529" s="3"/>
      <c r="D529" s="4"/>
      <c r="E529" s="5"/>
      <c r="F529" s="5"/>
      <c r="G529" s="2"/>
      <c r="H529" s="6"/>
      <c r="I529" s="4"/>
      <c r="J529" s="2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2"/>
      <c r="C530" s="3"/>
      <c r="D530" s="4"/>
      <c r="E530" s="5"/>
      <c r="F530" s="5"/>
      <c r="G530" s="2"/>
      <c r="H530" s="6"/>
      <c r="I530" s="4"/>
      <c r="J530" s="2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2"/>
      <c r="C531" s="3"/>
      <c r="D531" s="4"/>
      <c r="E531" s="5"/>
      <c r="F531" s="5"/>
      <c r="G531" s="2"/>
      <c r="H531" s="6"/>
      <c r="I531" s="4"/>
      <c r="J531" s="2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2"/>
      <c r="C532" s="3"/>
      <c r="D532" s="4"/>
      <c r="E532" s="5"/>
      <c r="F532" s="5"/>
      <c r="G532" s="2"/>
      <c r="H532" s="6"/>
      <c r="I532" s="4"/>
      <c r="J532" s="2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2"/>
      <c r="C533" s="3"/>
      <c r="D533" s="4"/>
      <c r="E533" s="5"/>
      <c r="F533" s="5"/>
      <c r="G533" s="2"/>
      <c r="H533" s="6"/>
      <c r="I533" s="4"/>
      <c r="J533" s="2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2"/>
      <c r="C534" s="3"/>
      <c r="D534" s="4"/>
      <c r="E534" s="5"/>
      <c r="F534" s="5"/>
      <c r="G534" s="2"/>
      <c r="H534" s="6"/>
      <c r="I534" s="4"/>
      <c r="J534" s="2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2"/>
      <c r="C535" s="3"/>
      <c r="D535" s="4"/>
      <c r="E535" s="5"/>
      <c r="F535" s="5"/>
      <c r="G535" s="2"/>
      <c r="H535" s="6"/>
      <c r="I535" s="4"/>
      <c r="J535" s="2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2"/>
      <c r="C536" s="3"/>
      <c r="D536" s="4"/>
      <c r="E536" s="5"/>
      <c r="F536" s="5"/>
      <c r="G536" s="2"/>
      <c r="H536" s="6"/>
      <c r="I536" s="4"/>
      <c r="J536" s="2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2"/>
      <c r="C537" s="3"/>
      <c r="D537" s="4"/>
      <c r="E537" s="5"/>
      <c r="F537" s="5"/>
      <c r="G537" s="2"/>
      <c r="H537" s="6"/>
      <c r="I537" s="4"/>
      <c r="J537" s="2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2"/>
      <c r="C538" s="3"/>
      <c r="D538" s="4"/>
      <c r="E538" s="5"/>
      <c r="F538" s="5"/>
      <c r="G538" s="2"/>
      <c r="H538" s="6"/>
      <c r="I538" s="4"/>
      <c r="J538" s="2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2"/>
      <c r="C539" s="3"/>
      <c r="D539" s="4"/>
      <c r="E539" s="5"/>
      <c r="F539" s="5"/>
      <c r="G539" s="2"/>
      <c r="H539" s="6"/>
      <c r="I539" s="4"/>
      <c r="J539" s="2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2"/>
      <c r="C540" s="3"/>
      <c r="D540" s="4"/>
      <c r="E540" s="5"/>
      <c r="F540" s="5"/>
      <c r="G540" s="2"/>
      <c r="H540" s="6"/>
      <c r="I540" s="4"/>
      <c r="J540" s="2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2"/>
      <c r="C541" s="3"/>
      <c r="D541" s="4"/>
      <c r="E541" s="5"/>
      <c r="F541" s="5"/>
      <c r="G541" s="2"/>
      <c r="H541" s="6"/>
      <c r="I541" s="4"/>
      <c r="J541" s="2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2"/>
      <c r="C542" s="3"/>
      <c r="D542" s="4"/>
      <c r="E542" s="5"/>
      <c r="F542" s="5"/>
      <c r="G542" s="2"/>
      <c r="H542" s="6"/>
      <c r="I542" s="4"/>
      <c r="J542" s="2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2"/>
      <c r="C543" s="3"/>
      <c r="D543" s="4"/>
      <c r="E543" s="5"/>
      <c r="F543" s="5"/>
      <c r="G543" s="2"/>
      <c r="H543" s="6"/>
      <c r="I543" s="4"/>
      <c r="J543" s="2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2"/>
      <c r="C544" s="3"/>
      <c r="D544" s="4"/>
      <c r="E544" s="5"/>
      <c r="F544" s="5"/>
      <c r="G544" s="2"/>
      <c r="H544" s="6"/>
      <c r="I544" s="4"/>
      <c r="J544" s="2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2"/>
      <c r="C545" s="3"/>
      <c r="D545" s="4"/>
      <c r="E545" s="5"/>
      <c r="F545" s="5"/>
      <c r="G545" s="2"/>
      <c r="H545" s="6"/>
      <c r="I545" s="4"/>
      <c r="J545" s="2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2"/>
      <c r="C546" s="3"/>
      <c r="D546" s="4"/>
      <c r="E546" s="5"/>
      <c r="F546" s="5"/>
      <c r="G546" s="2"/>
      <c r="H546" s="6"/>
      <c r="I546" s="4"/>
      <c r="J546" s="2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2"/>
      <c r="C547" s="3"/>
      <c r="D547" s="4"/>
      <c r="E547" s="5"/>
      <c r="F547" s="5"/>
      <c r="G547" s="2"/>
      <c r="H547" s="6"/>
      <c r="I547" s="4"/>
      <c r="J547" s="2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2"/>
      <c r="C548" s="3"/>
      <c r="D548" s="4"/>
      <c r="E548" s="5"/>
      <c r="F548" s="5"/>
      <c r="G548" s="2"/>
      <c r="H548" s="6"/>
      <c r="I548" s="4"/>
      <c r="J548" s="2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2"/>
      <c r="C549" s="3"/>
      <c r="D549" s="4"/>
      <c r="E549" s="5"/>
      <c r="F549" s="5"/>
      <c r="G549" s="2"/>
      <c r="H549" s="6"/>
      <c r="I549" s="4"/>
      <c r="J549" s="2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2"/>
      <c r="C550" s="3"/>
      <c r="D550" s="4"/>
      <c r="E550" s="5"/>
      <c r="F550" s="5"/>
      <c r="G550" s="2"/>
      <c r="H550" s="6"/>
      <c r="I550" s="4"/>
      <c r="J550" s="2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2"/>
      <c r="C551" s="3"/>
      <c r="D551" s="4"/>
      <c r="E551" s="5"/>
      <c r="F551" s="5"/>
      <c r="G551" s="2"/>
      <c r="H551" s="6"/>
      <c r="I551" s="4"/>
      <c r="J551" s="2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2"/>
      <c r="C552" s="3"/>
      <c r="D552" s="4"/>
      <c r="E552" s="5"/>
      <c r="F552" s="5"/>
      <c r="G552" s="2"/>
      <c r="H552" s="6"/>
      <c r="I552" s="4"/>
      <c r="J552" s="2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2"/>
      <c r="C553" s="3"/>
      <c r="D553" s="4"/>
      <c r="E553" s="5"/>
      <c r="F553" s="5"/>
      <c r="G553" s="2"/>
      <c r="H553" s="6"/>
      <c r="I553" s="4"/>
      <c r="J553" s="2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2"/>
      <c r="C554" s="3"/>
      <c r="D554" s="4"/>
      <c r="E554" s="5"/>
      <c r="F554" s="5"/>
      <c r="G554" s="2"/>
      <c r="H554" s="6"/>
      <c r="I554" s="4"/>
      <c r="J554" s="2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2"/>
      <c r="C555" s="3"/>
      <c r="D555" s="4"/>
      <c r="E555" s="5"/>
      <c r="F555" s="5"/>
      <c r="G555" s="2"/>
      <c r="H555" s="6"/>
      <c r="I555" s="4"/>
      <c r="J555" s="2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2"/>
      <c r="C556" s="3"/>
      <c r="D556" s="4"/>
      <c r="E556" s="5"/>
      <c r="F556" s="5"/>
      <c r="G556" s="2"/>
      <c r="H556" s="6"/>
      <c r="I556" s="4"/>
      <c r="J556" s="2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2"/>
      <c r="C557" s="3"/>
      <c r="D557" s="4"/>
      <c r="E557" s="5"/>
      <c r="F557" s="5"/>
      <c r="G557" s="2"/>
      <c r="H557" s="6"/>
      <c r="I557" s="4"/>
      <c r="J557" s="2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2"/>
      <c r="C558" s="3"/>
      <c r="D558" s="4"/>
      <c r="E558" s="5"/>
      <c r="F558" s="5"/>
      <c r="G558" s="2"/>
      <c r="H558" s="6"/>
      <c r="I558" s="4"/>
      <c r="J558" s="2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2"/>
      <c r="C559" s="3"/>
      <c r="D559" s="4"/>
      <c r="E559" s="5"/>
      <c r="F559" s="5"/>
      <c r="G559" s="2"/>
      <c r="H559" s="6"/>
      <c r="I559" s="4"/>
      <c r="J559" s="2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2"/>
      <c r="C560" s="3"/>
      <c r="D560" s="4"/>
      <c r="E560" s="5"/>
      <c r="F560" s="5"/>
      <c r="G560" s="2"/>
      <c r="H560" s="6"/>
      <c r="I560" s="4"/>
      <c r="J560" s="2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2"/>
      <c r="C561" s="3"/>
      <c r="D561" s="4"/>
      <c r="E561" s="5"/>
      <c r="F561" s="5"/>
      <c r="G561" s="2"/>
      <c r="H561" s="6"/>
      <c r="I561" s="4"/>
      <c r="J561" s="2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2"/>
      <c r="C562" s="3"/>
      <c r="D562" s="4"/>
      <c r="E562" s="5"/>
      <c r="F562" s="5"/>
      <c r="G562" s="2"/>
      <c r="H562" s="6"/>
      <c r="I562" s="4"/>
      <c r="J562" s="2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2"/>
      <c r="C563" s="3"/>
      <c r="D563" s="4"/>
      <c r="E563" s="5"/>
      <c r="F563" s="5"/>
      <c r="G563" s="2"/>
      <c r="H563" s="6"/>
      <c r="I563" s="4"/>
      <c r="J563" s="2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2"/>
      <c r="C564" s="3"/>
      <c r="D564" s="4"/>
      <c r="E564" s="5"/>
      <c r="F564" s="5"/>
      <c r="G564" s="2"/>
      <c r="H564" s="6"/>
      <c r="I564" s="4"/>
      <c r="J564" s="2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2"/>
      <c r="C565" s="3"/>
      <c r="D565" s="4"/>
      <c r="E565" s="5"/>
      <c r="F565" s="5"/>
      <c r="G565" s="2"/>
      <c r="H565" s="6"/>
      <c r="I565" s="4"/>
      <c r="J565" s="2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2"/>
      <c r="C566" s="3"/>
      <c r="D566" s="4"/>
      <c r="E566" s="5"/>
      <c r="F566" s="5"/>
      <c r="G566" s="2"/>
      <c r="H566" s="6"/>
      <c r="I566" s="4"/>
      <c r="J566" s="2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2"/>
      <c r="C567" s="3"/>
      <c r="D567" s="4"/>
      <c r="E567" s="5"/>
      <c r="F567" s="5"/>
      <c r="G567" s="2"/>
      <c r="H567" s="6"/>
      <c r="I567" s="4"/>
      <c r="J567" s="2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2"/>
      <c r="C568" s="3"/>
      <c r="D568" s="4"/>
      <c r="E568" s="5"/>
      <c r="F568" s="5"/>
      <c r="G568" s="2"/>
      <c r="H568" s="6"/>
      <c r="I568" s="4"/>
      <c r="J568" s="2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2"/>
      <c r="C569" s="3"/>
      <c r="D569" s="4"/>
      <c r="E569" s="5"/>
      <c r="F569" s="5"/>
      <c r="G569" s="2"/>
      <c r="H569" s="6"/>
      <c r="I569" s="4"/>
      <c r="J569" s="2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2"/>
      <c r="C570" s="3"/>
      <c r="D570" s="4"/>
      <c r="E570" s="5"/>
      <c r="F570" s="5"/>
      <c r="G570" s="2"/>
      <c r="H570" s="6"/>
      <c r="I570" s="4"/>
      <c r="J570" s="2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2"/>
      <c r="C571" s="3"/>
      <c r="D571" s="4"/>
      <c r="E571" s="5"/>
      <c r="F571" s="5"/>
      <c r="G571" s="2"/>
      <c r="H571" s="6"/>
      <c r="I571" s="4"/>
      <c r="J571" s="2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2"/>
      <c r="C572" s="3"/>
      <c r="D572" s="4"/>
      <c r="E572" s="5"/>
      <c r="F572" s="5"/>
      <c r="G572" s="2"/>
      <c r="H572" s="6"/>
      <c r="I572" s="4"/>
      <c r="J572" s="2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2"/>
      <c r="C573" s="3"/>
      <c r="D573" s="4"/>
      <c r="E573" s="5"/>
      <c r="F573" s="5"/>
      <c r="G573" s="2"/>
      <c r="H573" s="6"/>
      <c r="I573" s="4"/>
      <c r="J573" s="2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2"/>
      <c r="C574" s="3"/>
      <c r="D574" s="4"/>
      <c r="E574" s="5"/>
      <c r="F574" s="5"/>
      <c r="G574" s="2"/>
      <c r="H574" s="6"/>
      <c r="I574" s="4"/>
      <c r="J574" s="2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2"/>
      <c r="C575" s="3"/>
      <c r="D575" s="4"/>
      <c r="E575" s="5"/>
      <c r="F575" s="5"/>
      <c r="G575" s="2"/>
      <c r="H575" s="6"/>
      <c r="I575" s="4"/>
      <c r="J575" s="2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2"/>
      <c r="C576" s="3"/>
      <c r="D576" s="4"/>
      <c r="E576" s="5"/>
      <c r="F576" s="5"/>
      <c r="G576" s="2"/>
      <c r="H576" s="6"/>
      <c r="I576" s="4"/>
      <c r="J576" s="2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2"/>
      <c r="C577" s="3"/>
      <c r="D577" s="4"/>
      <c r="E577" s="5"/>
      <c r="F577" s="5"/>
      <c r="G577" s="2"/>
      <c r="H577" s="6"/>
      <c r="I577" s="4"/>
      <c r="J577" s="2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2"/>
      <c r="C578" s="3"/>
      <c r="D578" s="4"/>
      <c r="E578" s="5"/>
      <c r="F578" s="5"/>
      <c r="G578" s="2"/>
      <c r="H578" s="6"/>
      <c r="I578" s="4"/>
      <c r="J578" s="2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2"/>
      <c r="C579" s="3"/>
      <c r="D579" s="4"/>
      <c r="E579" s="5"/>
      <c r="F579" s="5"/>
      <c r="G579" s="2"/>
      <c r="H579" s="6"/>
      <c r="I579" s="4"/>
      <c r="J579" s="2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2"/>
      <c r="C580" s="3"/>
      <c r="D580" s="4"/>
      <c r="E580" s="5"/>
      <c r="F580" s="5"/>
      <c r="G580" s="2"/>
      <c r="H580" s="6"/>
      <c r="I580" s="4"/>
      <c r="J580" s="2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2"/>
      <c r="C581" s="3"/>
      <c r="D581" s="4"/>
      <c r="E581" s="5"/>
      <c r="F581" s="5"/>
      <c r="G581" s="2"/>
      <c r="H581" s="6"/>
      <c r="I581" s="4"/>
      <c r="J581" s="2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2"/>
      <c r="C582" s="3"/>
      <c r="D582" s="4"/>
      <c r="E582" s="5"/>
      <c r="F582" s="5"/>
      <c r="G582" s="2"/>
      <c r="H582" s="6"/>
      <c r="I582" s="4"/>
      <c r="J582" s="2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2"/>
      <c r="C583" s="3"/>
      <c r="D583" s="4"/>
      <c r="E583" s="5"/>
      <c r="F583" s="5"/>
      <c r="G583" s="2"/>
      <c r="H583" s="6"/>
      <c r="I583" s="4"/>
      <c r="J583" s="2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2"/>
      <c r="C584" s="3"/>
      <c r="D584" s="4"/>
      <c r="E584" s="5"/>
      <c r="F584" s="5"/>
      <c r="G584" s="2"/>
      <c r="H584" s="6"/>
      <c r="I584" s="4"/>
      <c r="J584" s="2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2"/>
      <c r="C585" s="3"/>
      <c r="D585" s="4"/>
      <c r="E585" s="5"/>
      <c r="F585" s="5"/>
      <c r="G585" s="2"/>
      <c r="H585" s="6"/>
      <c r="I585" s="4"/>
      <c r="J585" s="2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2"/>
      <c r="C586" s="3"/>
      <c r="D586" s="4"/>
      <c r="E586" s="5"/>
      <c r="F586" s="5"/>
      <c r="G586" s="2"/>
      <c r="H586" s="6"/>
      <c r="I586" s="4"/>
      <c r="J586" s="2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2"/>
      <c r="C587" s="3"/>
      <c r="D587" s="4"/>
      <c r="E587" s="5"/>
      <c r="F587" s="5"/>
      <c r="G587" s="2"/>
      <c r="H587" s="6"/>
      <c r="I587" s="4"/>
      <c r="J587" s="2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2"/>
      <c r="C588" s="3"/>
      <c r="D588" s="4"/>
      <c r="E588" s="5"/>
      <c r="F588" s="5"/>
      <c r="G588" s="2"/>
      <c r="H588" s="6"/>
      <c r="I588" s="4"/>
      <c r="J588" s="2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2"/>
      <c r="C589" s="3"/>
      <c r="D589" s="4"/>
      <c r="E589" s="5"/>
      <c r="F589" s="5"/>
      <c r="G589" s="2"/>
      <c r="H589" s="6"/>
      <c r="I589" s="4"/>
      <c r="J589" s="2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2"/>
      <c r="C590" s="3"/>
      <c r="D590" s="4"/>
      <c r="E590" s="5"/>
      <c r="F590" s="5"/>
      <c r="G590" s="2"/>
      <c r="H590" s="6"/>
      <c r="I590" s="4"/>
      <c r="J590" s="2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2"/>
      <c r="C591" s="3"/>
      <c r="D591" s="4"/>
      <c r="E591" s="5"/>
      <c r="F591" s="5"/>
      <c r="G591" s="2"/>
      <c r="H591" s="6"/>
      <c r="I591" s="4"/>
      <c r="J591" s="2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2"/>
      <c r="C592" s="3"/>
      <c r="D592" s="4"/>
      <c r="E592" s="5"/>
      <c r="F592" s="5"/>
      <c r="G592" s="2"/>
      <c r="H592" s="6"/>
      <c r="I592" s="4"/>
      <c r="J592" s="2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2"/>
      <c r="C593" s="3"/>
      <c r="D593" s="4"/>
      <c r="E593" s="5"/>
      <c r="F593" s="5"/>
      <c r="G593" s="2"/>
      <c r="H593" s="6"/>
      <c r="I593" s="4"/>
      <c r="J593" s="2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2"/>
      <c r="C594" s="3"/>
      <c r="D594" s="4"/>
      <c r="E594" s="5"/>
      <c r="F594" s="5"/>
      <c r="G594" s="2"/>
      <c r="H594" s="6"/>
      <c r="I594" s="4"/>
      <c r="J594" s="2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2"/>
      <c r="C595" s="3"/>
      <c r="D595" s="4"/>
      <c r="E595" s="5"/>
      <c r="F595" s="5"/>
      <c r="G595" s="2"/>
      <c r="H595" s="6"/>
      <c r="I595" s="4"/>
      <c r="J595" s="2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2"/>
      <c r="C596" s="3"/>
      <c r="D596" s="4"/>
      <c r="E596" s="5"/>
      <c r="F596" s="5"/>
      <c r="G596" s="2"/>
      <c r="H596" s="6"/>
      <c r="I596" s="4"/>
      <c r="J596" s="2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2"/>
      <c r="C597" s="3"/>
      <c r="D597" s="4"/>
      <c r="E597" s="5"/>
      <c r="F597" s="5"/>
      <c r="G597" s="2"/>
      <c r="H597" s="6"/>
      <c r="I597" s="4"/>
      <c r="J597" s="2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2"/>
      <c r="C598" s="3"/>
      <c r="D598" s="4"/>
      <c r="E598" s="5"/>
      <c r="F598" s="5"/>
      <c r="G598" s="2"/>
      <c r="H598" s="6"/>
      <c r="I598" s="4"/>
      <c r="J598" s="2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2"/>
      <c r="C599" s="3"/>
      <c r="D599" s="4"/>
      <c r="E599" s="5"/>
      <c r="F599" s="5"/>
      <c r="G599" s="2"/>
      <c r="H599" s="6"/>
      <c r="I599" s="4"/>
      <c r="J599" s="2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2"/>
      <c r="C600" s="3"/>
      <c r="D600" s="4"/>
      <c r="E600" s="5"/>
      <c r="F600" s="5"/>
      <c r="G600" s="2"/>
      <c r="H600" s="6"/>
      <c r="I600" s="4"/>
      <c r="J600" s="2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2"/>
      <c r="C601" s="3"/>
      <c r="D601" s="4"/>
      <c r="E601" s="5"/>
      <c r="F601" s="5"/>
      <c r="G601" s="2"/>
      <c r="H601" s="6"/>
      <c r="I601" s="4"/>
      <c r="J601" s="2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2"/>
      <c r="C602" s="3"/>
      <c r="D602" s="4"/>
      <c r="E602" s="5"/>
      <c r="F602" s="5"/>
      <c r="G602" s="2"/>
      <c r="H602" s="6"/>
      <c r="I602" s="4"/>
      <c r="J602" s="2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2"/>
      <c r="C603" s="3"/>
      <c r="D603" s="4"/>
      <c r="E603" s="5"/>
      <c r="F603" s="5"/>
      <c r="G603" s="2"/>
      <c r="H603" s="6"/>
      <c r="I603" s="4"/>
      <c r="J603" s="2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2"/>
      <c r="C604" s="3"/>
      <c r="D604" s="4"/>
      <c r="E604" s="5"/>
      <c r="F604" s="5"/>
      <c r="G604" s="2"/>
      <c r="H604" s="6"/>
      <c r="I604" s="4"/>
      <c r="J604" s="2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2"/>
      <c r="C605" s="3"/>
      <c r="D605" s="4"/>
      <c r="E605" s="5"/>
      <c r="F605" s="5"/>
      <c r="G605" s="2"/>
      <c r="H605" s="6"/>
      <c r="I605" s="4"/>
      <c r="J605" s="2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2"/>
      <c r="C606" s="3"/>
      <c r="D606" s="4"/>
      <c r="E606" s="5"/>
      <c r="F606" s="5"/>
      <c r="G606" s="2"/>
      <c r="H606" s="6"/>
      <c r="I606" s="4"/>
      <c r="J606" s="2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2"/>
      <c r="C607" s="3"/>
      <c r="D607" s="4"/>
      <c r="E607" s="5"/>
      <c r="F607" s="5"/>
      <c r="G607" s="2"/>
      <c r="H607" s="6"/>
      <c r="I607" s="4"/>
      <c r="J607" s="2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2"/>
      <c r="C608" s="3"/>
      <c r="D608" s="4"/>
      <c r="E608" s="5"/>
      <c r="F608" s="5"/>
      <c r="G608" s="2"/>
      <c r="H608" s="6"/>
      <c r="I608" s="4"/>
      <c r="J608" s="2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2"/>
      <c r="C609" s="3"/>
      <c r="D609" s="4"/>
      <c r="E609" s="5"/>
      <c r="F609" s="5"/>
      <c r="G609" s="2"/>
      <c r="H609" s="6"/>
      <c r="I609" s="4"/>
      <c r="J609" s="2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2"/>
      <c r="C610" s="3"/>
      <c r="D610" s="4"/>
      <c r="E610" s="5"/>
      <c r="F610" s="5"/>
      <c r="G610" s="2"/>
      <c r="H610" s="6"/>
      <c r="I610" s="4"/>
      <c r="J610" s="2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2"/>
      <c r="C611" s="3"/>
      <c r="D611" s="4"/>
      <c r="E611" s="5"/>
      <c r="F611" s="5"/>
      <c r="G611" s="2"/>
      <c r="H611" s="6"/>
      <c r="I611" s="4"/>
      <c r="J611" s="2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2"/>
      <c r="C612" s="3"/>
      <c r="D612" s="4"/>
      <c r="E612" s="5"/>
      <c r="F612" s="5"/>
      <c r="G612" s="2"/>
      <c r="H612" s="6"/>
      <c r="I612" s="4"/>
      <c r="J612" s="2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2"/>
      <c r="C613" s="3"/>
      <c r="D613" s="4"/>
      <c r="E613" s="5"/>
      <c r="F613" s="5"/>
      <c r="G613" s="2"/>
      <c r="H613" s="6"/>
      <c r="I613" s="4"/>
      <c r="J613" s="2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2"/>
      <c r="C614" s="3"/>
      <c r="D614" s="4"/>
      <c r="E614" s="5"/>
      <c r="F614" s="5"/>
      <c r="G614" s="2"/>
      <c r="H614" s="6"/>
      <c r="I614" s="4"/>
      <c r="J614" s="2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2"/>
      <c r="C615" s="3"/>
      <c r="D615" s="4"/>
      <c r="E615" s="5"/>
      <c r="F615" s="5"/>
      <c r="G615" s="2"/>
      <c r="H615" s="6"/>
      <c r="I615" s="4"/>
      <c r="J615" s="2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2"/>
      <c r="C616" s="3"/>
      <c r="D616" s="4"/>
      <c r="E616" s="5"/>
      <c r="F616" s="5"/>
      <c r="G616" s="2"/>
      <c r="H616" s="6"/>
      <c r="I616" s="4"/>
      <c r="J616" s="2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2"/>
      <c r="C617" s="3"/>
      <c r="D617" s="4"/>
      <c r="E617" s="5"/>
      <c r="F617" s="5"/>
      <c r="G617" s="2"/>
      <c r="H617" s="6"/>
      <c r="I617" s="4"/>
      <c r="J617" s="2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2"/>
      <c r="C618" s="3"/>
      <c r="D618" s="4"/>
      <c r="E618" s="5"/>
      <c r="F618" s="5"/>
      <c r="G618" s="2"/>
      <c r="H618" s="6"/>
      <c r="I618" s="4"/>
      <c r="J618" s="2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2"/>
      <c r="C619" s="3"/>
      <c r="D619" s="4"/>
      <c r="E619" s="5"/>
      <c r="F619" s="5"/>
      <c r="G619" s="2"/>
      <c r="H619" s="6"/>
      <c r="I619" s="4"/>
      <c r="J619" s="2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2"/>
      <c r="C620" s="3"/>
      <c r="D620" s="4"/>
      <c r="E620" s="5"/>
      <c r="F620" s="5"/>
      <c r="G620" s="2"/>
      <c r="H620" s="6"/>
      <c r="I620" s="4"/>
      <c r="J620" s="2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2"/>
      <c r="C621" s="3"/>
      <c r="D621" s="4"/>
      <c r="E621" s="5"/>
      <c r="F621" s="5"/>
      <c r="G621" s="2"/>
      <c r="H621" s="6"/>
      <c r="I621" s="4"/>
      <c r="J621" s="2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2"/>
      <c r="C622" s="3"/>
      <c r="D622" s="4"/>
      <c r="E622" s="5"/>
      <c r="F622" s="5"/>
      <c r="G622" s="2"/>
      <c r="H622" s="6"/>
      <c r="I622" s="4"/>
      <c r="J622" s="2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2"/>
      <c r="C623" s="3"/>
      <c r="D623" s="4"/>
      <c r="E623" s="5"/>
      <c r="F623" s="5"/>
      <c r="G623" s="2"/>
      <c r="H623" s="6"/>
      <c r="I623" s="4"/>
      <c r="J623" s="2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2"/>
      <c r="C624" s="3"/>
      <c r="D624" s="4"/>
      <c r="E624" s="5"/>
      <c r="F624" s="5"/>
      <c r="G624" s="2"/>
      <c r="H624" s="6"/>
      <c r="I624" s="4"/>
      <c r="J624" s="2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2"/>
      <c r="C625" s="3"/>
      <c r="D625" s="4"/>
      <c r="E625" s="5"/>
      <c r="F625" s="5"/>
      <c r="G625" s="2"/>
      <c r="H625" s="6"/>
      <c r="I625" s="4"/>
      <c r="J625" s="2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2"/>
      <c r="C626" s="3"/>
      <c r="D626" s="4"/>
      <c r="E626" s="5"/>
      <c r="F626" s="5"/>
      <c r="G626" s="2"/>
      <c r="H626" s="6"/>
      <c r="I626" s="4"/>
      <c r="J626" s="2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2"/>
      <c r="C627" s="3"/>
      <c r="D627" s="4"/>
      <c r="E627" s="5"/>
      <c r="F627" s="5"/>
      <c r="G627" s="2"/>
      <c r="H627" s="6"/>
      <c r="I627" s="4"/>
      <c r="J627" s="2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2"/>
      <c r="C628" s="3"/>
      <c r="D628" s="4"/>
      <c r="E628" s="5"/>
      <c r="F628" s="5"/>
      <c r="G628" s="2"/>
      <c r="H628" s="6"/>
      <c r="I628" s="4"/>
      <c r="J628" s="2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2"/>
      <c r="C629" s="3"/>
      <c r="D629" s="4"/>
      <c r="E629" s="5"/>
      <c r="F629" s="5"/>
      <c r="G629" s="2"/>
      <c r="H629" s="6"/>
      <c r="I629" s="4"/>
      <c r="J629" s="2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2"/>
      <c r="C630" s="3"/>
      <c r="D630" s="4"/>
      <c r="E630" s="5"/>
      <c r="F630" s="5"/>
      <c r="G630" s="2"/>
      <c r="H630" s="6"/>
      <c r="I630" s="4"/>
      <c r="J630" s="2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2"/>
      <c r="C631" s="3"/>
      <c r="D631" s="4"/>
      <c r="E631" s="5"/>
      <c r="F631" s="5"/>
      <c r="G631" s="2"/>
      <c r="H631" s="6"/>
      <c r="I631" s="4"/>
      <c r="J631" s="2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2"/>
      <c r="C632" s="3"/>
      <c r="D632" s="4"/>
      <c r="E632" s="5"/>
      <c r="F632" s="5"/>
      <c r="G632" s="2"/>
      <c r="H632" s="6"/>
      <c r="I632" s="4"/>
      <c r="J632" s="2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2"/>
      <c r="C633" s="3"/>
      <c r="D633" s="4"/>
      <c r="E633" s="5"/>
      <c r="F633" s="5"/>
      <c r="G633" s="2"/>
      <c r="H633" s="6"/>
      <c r="I633" s="4"/>
      <c r="J633" s="2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2"/>
      <c r="C634" s="3"/>
      <c r="D634" s="4"/>
      <c r="E634" s="5"/>
      <c r="F634" s="5"/>
      <c r="G634" s="2"/>
      <c r="H634" s="6"/>
      <c r="I634" s="4"/>
      <c r="J634" s="2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2"/>
      <c r="C635" s="3"/>
      <c r="D635" s="4"/>
      <c r="E635" s="5"/>
      <c r="F635" s="5"/>
      <c r="G635" s="2"/>
      <c r="H635" s="6"/>
      <c r="I635" s="4"/>
      <c r="J635" s="2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2"/>
      <c r="C636" s="3"/>
      <c r="D636" s="4"/>
      <c r="E636" s="5"/>
      <c r="F636" s="5"/>
      <c r="G636" s="2"/>
      <c r="H636" s="6"/>
      <c r="I636" s="4"/>
      <c r="J636" s="2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2"/>
      <c r="C637" s="3"/>
      <c r="D637" s="4"/>
      <c r="E637" s="5"/>
      <c r="F637" s="5"/>
      <c r="G637" s="2"/>
      <c r="H637" s="6"/>
      <c r="I637" s="4"/>
      <c r="J637" s="2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2"/>
      <c r="C638" s="3"/>
      <c r="D638" s="4"/>
      <c r="E638" s="5"/>
      <c r="F638" s="5"/>
      <c r="G638" s="2"/>
      <c r="H638" s="6"/>
      <c r="I638" s="4"/>
      <c r="J638" s="2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2"/>
      <c r="C639" s="3"/>
      <c r="D639" s="4"/>
      <c r="E639" s="5"/>
      <c r="F639" s="5"/>
      <c r="G639" s="2"/>
      <c r="H639" s="6"/>
      <c r="I639" s="4"/>
      <c r="J639" s="2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2"/>
      <c r="C640" s="3"/>
      <c r="D640" s="4"/>
      <c r="E640" s="5"/>
      <c r="F640" s="5"/>
      <c r="G640" s="2"/>
      <c r="H640" s="6"/>
      <c r="I640" s="4"/>
      <c r="J640" s="2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2"/>
      <c r="C641" s="3"/>
      <c r="D641" s="4"/>
      <c r="E641" s="5"/>
      <c r="F641" s="5"/>
      <c r="G641" s="2"/>
      <c r="H641" s="6"/>
      <c r="I641" s="4"/>
      <c r="J641" s="2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2"/>
      <c r="C642" s="3"/>
      <c r="D642" s="4"/>
      <c r="E642" s="5"/>
      <c r="F642" s="5"/>
      <c r="G642" s="2"/>
      <c r="H642" s="6"/>
      <c r="I642" s="4"/>
      <c r="J642" s="2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2"/>
      <c r="C643" s="3"/>
      <c r="D643" s="4"/>
      <c r="E643" s="5"/>
      <c r="F643" s="5"/>
      <c r="G643" s="2"/>
      <c r="H643" s="6"/>
      <c r="I643" s="4"/>
      <c r="J643" s="2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2"/>
      <c r="C644" s="3"/>
      <c r="D644" s="4"/>
      <c r="E644" s="5"/>
      <c r="F644" s="5"/>
      <c r="G644" s="2"/>
      <c r="H644" s="6"/>
      <c r="I644" s="4"/>
      <c r="J644" s="2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2"/>
      <c r="C645" s="3"/>
      <c r="D645" s="4"/>
      <c r="E645" s="5"/>
      <c r="F645" s="5"/>
      <c r="G645" s="2"/>
      <c r="H645" s="6"/>
      <c r="I645" s="4"/>
      <c r="J645" s="2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2"/>
      <c r="C646" s="3"/>
      <c r="D646" s="4"/>
      <c r="E646" s="5"/>
      <c r="F646" s="5"/>
      <c r="G646" s="2"/>
      <c r="H646" s="6"/>
      <c r="I646" s="4"/>
      <c r="J646" s="2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2"/>
      <c r="C647" s="3"/>
      <c r="D647" s="4"/>
      <c r="E647" s="5"/>
      <c r="F647" s="5"/>
      <c r="G647" s="2"/>
      <c r="H647" s="6"/>
      <c r="I647" s="4"/>
      <c r="J647" s="2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2"/>
      <c r="C648" s="3"/>
      <c r="D648" s="4"/>
      <c r="E648" s="5"/>
      <c r="F648" s="5"/>
      <c r="G648" s="2"/>
      <c r="H648" s="6"/>
      <c r="I648" s="4"/>
      <c r="J648" s="2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2"/>
      <c r="C649" s="3"/>
      <c r="D649" s="4"/>
      <c r="E649" s="5"/>
      <c r="F649" s="5"/>
      <c r="G649" s="2"/>
      <c r="H649" s="6"/>
      <c r="I649" s="4"/>
      <c r="J649" s="2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2"/>
      <c r="C650" s="3"/>
      <c r="D650" s="4"/>
      <c r="E650" s="5"/>
      <c r="F650" s="5"/>
      <c r="G650" s="2"/>
      <c r="H650" s="6"/>
      <c r="I650" s="4"/>
      <c r="J650" s="2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2"/>
      <c r="C651" s="3"/>
      <c r="D651" s="4"/>
      <c r="E651" s="5"/>
      <c r="F651" s="5"/>
      <c r="G651" s="2"/>
      <c r="H651" s="6"/>
      <c r="I651" s="4"/>
      <c r="J651" s="2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2"/>
      <c r="C652" s="3"/>
      <c r="D652" s="4"/>
      <c r="E652" s="5"/>
      <c r="F652" s="5"/>
      <c r="G652" s="2"/>
      <c r="H652" s="6"/>
      <c r="I652" s="4"/>
      <c r="J652" s="2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2"/>
      <c r="C653" s="3"/>
      <c r="D653" s="4"/>
      <c r="E653" s="5"/>
      <c r="F653" s="5"/>
      <c r="G653" s="2"/>
      <c r="H653" s="6"/>
      <c r="I653" s="4"/>
      <c r="J653" s="2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2"/>
      <c r="C654" s="3"/>
      <c r="D654" s="4"/>
      <c r="E654" s="5"/>
      <c r="F654" s="5"/>
      <c r="G654" s="2"/>
      <c r="H654" s="6"/>
      <c r="I654" s="4"/>
      <c r="J654" s="2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2"/>
      <c r="C655" s="3"/>
      <c r="D655" s="4"/>
      <c r="E655" s="5"/>
      <c r="F655" s="5"/>
      <c r="G655" s="2"/>
      <c r="H655" s="6"/>
      <c r="I655" s="4"/>
      <c r="J655" s="2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2"/>
      <c r="C656" s="3"/>
      <c r="D656" s="4"/>
      <c r="E656" s="5"/>
      <c r="F656" s="5"/>
      <c r="G656" s="2"/>
      <c r="H656" s="6"/>
      <c r="I656" s="4"/>
      <c r="J656" s="2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2"/>
      <c r="C657" s="3"/>
      <c r="D657" s="4"/>
      <c r="E657" s="5"/>
      <c r="F657" s="5"/>
      <c r="G657" s="2"/>
      <c r="H657" s="6"/>
      <c r="I657" s="4"/>
      <c r="J657" s="2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2"/>
      <c r="C658" s="3"/>
      <c r="D658" s="4"/>
      <c r="E658" s="5"/>
      <c r="F658" s="5"/>
      <c r="G658" s="2"/>
      <c r="H658" s="6"/>
      <c r="I658" s="4"/>
      <c r="J658" s="2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2"/>
      <c r="C659" s="3"/>
      <c r="D659" s="4"/>
      <c r="E659" s="5"/>
      <c r="F659" s="5"/>
      <c r="G659" s="2"/>
      <c r="H659" s="6"/>
      <c r="I659" s="4"/>
      <c r="J659" s="2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2"/>
      <c r="C660" s="3"/>
      <c r="D660" s="4"/>
      <c r="E660" s="5"/>
      <c r="F660" s="5"/>
      <c r="G660" s="2"/>
      <c r="H660" s="6"/>
      <c r="I660" s="4"/>
      <c r="J660" s="2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2"/>
      <c r="C661" s="3"/>
      <c r="D661" s="4"/>
      <c r="E661" s="5"/>
      <c r="F661" s="5"/>
      <c r="G661" s="2"/>
      <c r="H661" s="6"/>
      <c r="I661" s="4"/>
      <c r="J661" s="2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2"/>
      <c r="C662" s="3"/>
      <c r="D662" s="4"/>
      <c r="E662" s="5"/>
      <c r="F662" s="5"/>
      <c r="G662" s="2"/>
      <c r="H662" s="6"/>
      <c r="I662" s="4"/>
      <c r="J662" s="2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2"/>
      <c r="C663" s="3"/>
      <c r="D663" s="4"/>
      <c r="E663" s="5"/>
      <c r="F663" s="5"/>
      <c r="G663" s="2"/>
      <c r="H663" s="6"/>
      <c r="I663" s="4"/>
      <c r="J663" s="2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2"/>
      <c r="C664" s="3"/>
      <c r="D664" s="4"/>
      <c r="E664" s="5"/>
      <c r="F664" s="5"/>
      <c r="G664" s="2"/>
      <c r="H664" s="6"/>
      <c r="I664" s="4"/>
      <c r="J664" s="2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2"/>
      <c r="C665" s="3"/>
      <c r="D665" s="4"/>
      <c r="E665" s="5"/>
      <c r="F665" s="5"/>
      <c r="G665" s="2"/>
      <c r="H665" s="6"/>
      <c r="I665" s="4"/>
      <c r="J665" s="2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2"/>
      <c r="C666" s="3"/>
      <c r="D666" s="4"/>
      <c r="E666" s="5"/>
      <c r="F666" s="5"/>
      <c r="G666" s="2"/>
      <c r="H666" s="6"/>
      <c r="I666" s="4"/>
      <c r="J666" s="2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2"/>
      <c r="C667" s="3"/>
      <c r="D667" s="4"/>
      <c r="E667" s="5"/>
      <c r="F667" s="5"/>
      <c r="G667" s="2"/>
      <c r="H667" s="6"/>
      <c r="I667" s="4"/>
      <c r="J667" s="2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2"/>
      <c r="C668" s="3"/>
      <c r="D668" s="4"/>
      <c r="E668" s="5"/>
      <c r="F668" s="5"/>
      <c r="G668" s="2"/>
      <c r="H668" s="6"/>
      <c r="I668" s="4"/>
      <c r="J668" s="2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2"/>
      <c r="C669" s="3"/>
      <c r="D669" s="4"/>
      <c r="E669" s="5"/>
      <c r="F669" s="5"/>
      <c r="G669" s="2"/>
      <c r="H669" s="6"/>
      <c r="I669" s="4"/>
      <c r="J669" s="2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2"/>
      <c r="C670" s="3"/>
      <c r="D670" s="4"/>
      <c r="E670" s="5"/>
      <c r="F670" s="5"/>
      <c r="G670" s="2"/>
      <c r="H670" s="6"/>
      <c r="I670" s="4"/>
      <c r="J670" s="2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2"/>
      <c r="C671" s="3"/>
      <c r="D671" s="4"/>
      <c r="E671" s="5"/>
      <c r="F671" s="5"/>
      <c r="G671" s="2"/>
      <c r="H671" s="6"/>
      <c r="I671" s="4"/>
      <c r="J671" s="2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2"/>
      <c r="C672" s="3"/>
      <c r="D672" s="4"/>
      <c r="E672" s="5"/>
      <c r="F672" s="5"/>
      <c r="G672" s="2"/>
      <c r="H672" s="6"/>
      <c r="I672" s="4"/>
      <c r="J672" s="2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2"/>
      <c r="C673" s="3"/>
      <c r="D673" s="4"/>
      <c r="E673" s="5"/>
      <c r="F673" s="5"/>
      <c r="G673" s="2"/>
      <c r="H673" s="6"/>
      <c r="I673" s="4"/>
      <c r="J673" s="2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2"/>
      <c r="C674" s="3"/>
      <c r="D674" s="4"/>
      <c r="E674" s="5"/>
      <c r="F674" s="5"/>
      <c r="G674" s="2"/>
      <c r="H674" s="6"/>
      <c r="I674" s="4"/>
      <c r="J674" s="2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2"/>
      <c r="C675" s="3"/>
      <c r="D675" s="4"/>
      <c r="E675" s="5"/>
      <c r="F675" s="5"/>
      <c r="G675" s="2"/>
      <c r="H675" s="6"/>
      <c r="I675" s="4"/>
      <c r="J675" s="2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2"/>
      <c r="C676" s="3"/>
      <c r="D676" s="4"/>
      <c r="E676" s="5"/>
      <c r="F676" s="5"/>
      <c r="G676" s="2"/>
      <c r="H676" s="6"/>
      <c r="I676" s="4"/>
      <c r="J676" s="2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2"/>
      <c r="C677" s="3"/>
      <c r="D677" s="4"/>
      <c r="E677" s="5"/>
      <c r="F677" s="5"/>
      <c r="G677" s="2"/>
      <c r="H677" s="6"/>
      <c r="I677" s="4"/>
      <c r="J677" s="2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2"/>
      <c r="C678" s="3"/>
      <c r="D678" s="4"/>
      <c r="E678" s="5"/>
      <c r="F678" s="5"/>
      <c r="G678" s="2"/>
      <c r="H678" s="6"/>
      <c r="I678" s="4"/>
      <c r="J678" s="2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2"/>
      <c r="C679" s="3"/>
      <c r="D679" s="4"/>
      <c r="E679" s="5"/>
      <c r="F679" s="5"/>
      <c r="G679" s="2"/>
      <c r="H679" s="6"/>
      <c r="I679" s="4"/>
      <c r="J679" s="2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2"/>
      <c r="C680" s="3"/>
      <c r="D680" s="4"/>
      <c r="E680" s="5"/>
      <c r="F680" s="5"/>
      <c r="G680" s="2"/>
      <c r="H680" s="6"/>
      <c r="I680" s="4"/>
      <c r="J680" s="2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2"/>
      <c r="C681" s="3"/>
      <c r="D681" s="4"/>
      <c r="E681" s="5"/>
      <c r="F681" s="5"/>
      <c r="G681" s="2"/>
      <c r="H681" s="6"/>
      <c r="I681" s="4"/>
      <c r="J681" s="2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2"/>
      <c r="C682" s="3"/>
      <c r="D682" s="4"/>
      <c r="E682" s="5"/>
      <c r="F682" s="5"/>
      <c r="G682" s="2"/>
      <c r="H682" s="6"/>
      <c r="I682" s="4"/>
      <c r="J682" s="2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2"/>
      <c r="C683" s="3"/>
      <c r="D683" s="4"/>
      <c r="E683" s="5"/>
      <c r="F683" s="5"/>
      <c r="G683" s="2"/>
      <c r="H683" s="6"/>
      <c r="I683" s="4"/>
      <c r="J683" s="2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2"/>
      <c r="C684" s="3"/>
      <c r="D684" s="4"/>
      <c r="E684" s="5"/>
      <c r="F684" s="5"/>
      <c r="G684" s="2"/>
      <c r="H684" s="6"/>
      <c r="I684" s="4"/>
      <c r="J684" s="2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2"/>
      <c r="C685" s="3"/>
      <c r="D685" s="4"/>
      <c r="E685" s="5"/>
      <c r="F685" s="5"/>
      <c r="G685" s="2"/>
      <c r="H685" s="6"/>
      <c r="I685" s="4"/>
      <c r="J685" s="2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2"/>
      <c r="C686" s="3"/>
      <c r="D686" s="4"/>
      <c r="E686" s="5"/>
      <c r="F686" s="5"/>
      <c r="G686" s="2"/>
      <c r="H686" s="6"/>
      <c r="I686" s="4"/>
      <c r="J686" s="2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2"/>
      <c r="C687" s="3"/>
      <c r="D687" s="4"/>
      <c r="E687" s="5"/>
      <c r="F687" s="5"/>
      <c r="G687" s="2"/>
      <c r="H687" s="6"/>
      <c r="I687" s="4"/>
      <c r="J687" s="2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2"/>
      <c r="C688" s="3"/>
      <c r="D688" s="4"/>
      <c r="E688" s="5"/>
      <c r="F688" s="5"/>
      <c r="G688" s="2"/>
      <c r="H688" s="6"/>
      <c r="I688" s="4"/>
      <c r="J688" s="2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2"/>
      <c r="C689" s="3"/>
      <c r="D689" s="4"/>
      <c r="E689" s="5"/>
      <c r="F689" s="5"/>
      <c r="G689" s="2"/>
      <c r="H689" s="6"/>
      <c r="I689" s="4"/>
      <c r="J689" s="2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2"/>
      <c r="C690" s="3"/>
      <c r="D690" s="4"/>
      <c r="E690" s="5"/>
      <c r="F690" s="5"/>
      <c r="G690" s="2"/>
      <c r="H690" s="6"/>
      <c r="I690" s="4"/>
      <c r="J690" s="2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2"/>
      <c r="C691" s="3"/>
      <c r="D691" s="4"/>
      <c r="E691" s="5"/>
      <c r="F691" s="5"/>
      <c r="G691" s="2"/>
      <c r="H691" s="6"/>
      <c r="I691" s="4"/>
      <c r="J691" s="2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2"/>
      <c r="C692" s="3"/>
      <c r="D692" s="4"/>
      <c r="E692" s="5"/>
      <c r="F692" s="5"/>
      <c r="G692" s="2"/>
      <c r="H692" s="6"/>
      <c r="I692" s="4"/>
      <c r="J692" s="2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2"/>
      <c r="C693" s="3"/>
      <c r="D693" s="4"/>
      <c r="E693" s="5"/>
      <c r="F693" s="5"/>
      <c r="G693" s="2"/>
      <c r="H693" s="6"/>
      <c r="I693" s="4"/>
      <c r="J693" s="2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2"/>
      <c r="C694" s="3"/>
      <c r="D694" s="4"/>
      <c r="E694" s="5"/>
      <c r="F694" s="5"/>
      <c r="G694" s="2"/>
      <c r="H694" s="6"/>
      <c r="I694" s="4"/>
      <c r="J694" s="2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2"/>
      <c r="C695" s="3"/>
      <c r="D695" s="4"/>
      <c r="E695" s="5"/>
      <c r="F695" s="5"/>
      <c r="G695" s="2"/>
      <c r="H695" s="6"/>
      <c r="I695" s="4"/>
      <c r="J695" s="2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2"/>
      <c r="C696" s="3"/>
      <c r="D696" s="4"/>
      <c r="E696" s="5"/>
      <c r="F696" s="5"/>
      <c r="G696" s="2"/>
      <c r="H696" s="6"/>
      <c r="I696" s="4"/>
      <c r="J696" s="2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2"/>
      <c r="C697" s="3"/>
      <c r="D697" s="4"/>
      <c r="E697" s="5"/>
      <c r="F697" s="5"/>
      <c r="G697" s="2"/>
      <c r="H697" s="6"/>
      <c r="I697" s="4"/>
      <c r="J697" s="2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2"/>
      <c r="C698" s="3"/>
      <c r="D698" s="4"/>
      <c r="E698" s="5"/>
      <c r="F698" s="5"/>
      <c r="G698" s="2"/>
      <c r="H698" s="6"/>
      <c r="I698" s="4"/>
      <c r="J698" s="2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2"/>
      <c r="C699" s="3"/>
      <c r="D699" s="4"/>
      <c r="E699" s="5"/>
      <c r="F699" s="5"/>
      <c r="G699" s="2"/>
      <c r="H699" s="6"/>
      <c r="I699" s="4"/>
      <c r="J699" s="2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2"/>
      <c r="C700" s="3"/>
      <c r="D700" s="4"/>
      <c r="E700" s="5"/>
      <c r="F700" s="5"/>
      <c r="G700" s="2"/>
      <c r="H700" s="6"/>
      <c r="I700" s="4"/>
      <c r="J700" s="2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2"/>
      <c r="C701" s="3"/>
      <c r="D701" s="4"/>
      <c r="E701" s="5"/>
      <c r="F701" s="5"/>
      <c r="G701" s="2"/>
      <c r="H701" s="6"/>
      <c r="I701" s="4"/>
      <c r="J701" s="2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2"/>
      <c r="C702" s="3"/>
      <c r="D702" s="4"/>
      <c r="E702" s="5"/>
      <c r="F702" s="5"/>
      <c r="G702" s="2"/>
      <c r="H702" s="6"/>
      <c r="I702" s="4"/>
      <c r="J702" s="2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2"/>
      <c r="C703" s="3"/>
      <c r="D703" s="4"/>
      <c r="E703" s="5"/>
      <c r="F703" s="5"/>
      <c r="G703" s="2"/>
      <c r="H703" s="6"/>
      <c r="I703" s="4"/>
      <c r="J703" s="2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2"/>
      <c r="C704" s="3"/>
      <c r="D704" s="4"/>
      <c r="E704" s="5"/>
      <c r="F704" s="5"/>
      <c r="G704" s="2"/>
      <c r="H704" s="6"/>
      <c r="I704" s="4"/>
      <c r="J704" s="2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2"/>
      <c r="C705" s="3"/>
      <c r="D705" s="4"/>
      <c r="E705" s="5"/>
      <c r="F705" s="5"/>
      <c r="G705" s="2"/>
      <c r="H705" s="6"/>
      <c r="I705" s="4"/>
      <c r="J705" s="2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2"/>
      <c r="C706" s="3"/>
      <c r="D706" s="4"/>
      <c r="E706" s="5"/>
      <c r="F706" s="5"/>
      <c r="G706" s="2"/>
      <c r="H706" s="6"/>
      <c r="I706" s="4"/>
      <c r="J706" s="2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2"/>
      <c r="C707" s="3"/>
      <c r="D707" s="4"/>
      <c r="E707" s="5"/>
      <c r="F707" s="5"/>
      <c r="G707" s="2"/>
      <c r="H707" s="6"/>
      <c r="I707" s="4"/>
      <c r="J707" s="2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2"/>
      <c r="C708" s="3"/>
      <c r="D708" s="4"/>
      <c r="E708" s="5"/>
      <c r="F708" s="5"/>
      <c r="G708" s="2"/>
      <c r="H708" s="6"/>
      <c r="I708" s="4"/>
      <c r="J708" s="2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2"/>
      <c r="C709" s="3"/>
      <c r="D709" s="4"/>
      <c r="E709" s="5"/>
      <c r="F709" s="5"/>
      <c r="G709" s="2"/>
      <c r="H709" s="6"/>
      <c r="I709" s="4"/>
      <c r="J709" s="2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2"/>
      <c r="C710" s="3"/>
      <c r="D710" s="4"/>
      <c r="E710" s="5"/>
      <c r="F710" s="5"/>
      <c r="G710" s="2"/>
      <c r="H710" s="6"/>
      <c r="I710" s="4"/>
      <c r="J710" s="2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2"/>
      <c r="C711" s="3"/>
      <c r="D711" s="4"/>
      <c r="E711" s="5"/>
      <c r="F711" s="5"/>
      <c r="G711" s="2"/>
      <c r="H711" s="6"/>
      <c r="I711" s="4"/>
      <c r="J711" s="2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2"/>
      <c r="C712" s="3"/>
      <c r="D712" s="4"/>
      <c r="E712" s="5"/>
      <c r="F712" s="5"/>
      <c r="G712" s="2"/>
      <c r="H712" s="6"/>
      <c r="I712" s="4"/>
      <c r="J712" s="2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2"/>
      <c r="C713" s="3"/>
      <c r="D713" s="4"/>
      <c r="E713" s="5"/>
      <c r="F713" s="5"/>
      <c r="G713" s="2"/>
      <c r="H713" s="6"/>
      <c r="I713" s="4"/>
      <c r="J713" s="2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2"/>
      <c r="C714" s="3"/>
      <c r="D714" s="4"/>
      <c r="E714" s="5"/>
      <c r="F714" s="5"/>
      <c r="G714" s="2"/>
      <c r="H714" s="6"/>
      <c r="I714" s="4"/>
      <c r="J714" s="2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2"/>
      <c r="C715" s="3"/>
      <c r="D715" s="4"/>
      <c r="E715" s="5"/>
      <c r="F715" s="5"/>
      <c r="G715" s="2"/>
      <c r="H715" s="6"/>
      <c r="I715" s="4"/>
      <c r="J715" s="2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2"/>
      <c r="C716" s="3"/>
      <c r="D716" s="4"/>
      <c r="E716" s="5"/>
      <c r="F716" s="5"/>
      <c r="G716" s="2"/>
      <c r="H716" s="6"/>
      <c r="I716" s="4"/>
      <c r="J716" s="2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2"/>
      <c r="C717" s="3"/>
      <c r="D717" s="4"/>
      <c r="E717" s="5"/>
      <c r="F717" s="5"/>
      <c r="G717" s="2"/>
      <c r="H717" s="6"/>
      <c r="I717" s="4"/>
      <c r="J717" s="2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2"/>
      <c r="C718" s="3"/>
      <c r="D718" s="4"/>
      <c r="E718" s="5"/>
      <c r="F718" s="5"/>
      <c r="G718" s="2"/>
      <c r="H718" s="6"/>
      <c r="I718" s="4"/>
      <c r="J718" s="2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2"/>
      <c r="C719" s="3"/>
      <c r="D719" s="4"/>
      <c r="E719" s="5"/>
      <c r="F719" s="5"/>
      <c r="G719" s="2"/>
      <c r="H719" s="6"/>
      <c r="I719" s="4"/>
      <c r="J719" s="2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2"/>
      <c r="C720" s="3"/>
      <c r="D720" s="4"/>
      <c r="E720" s="5"/>
      <c r="F720" s="5"/>
      <c r="G720" s="2"/>
      <c r="H720" s="6"/>
      <c r="I720" s="4"/>
      <c r="J720" s="2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2"/>
      <c r="C721" s="3"/>
      <c r="D721" s="4"/>
      <c r="E721" s="5"/>
      <c r="F721" s="5"/>
      <c r="G721" s="2"/>
      <c r="H721" s="6"/>
      <c r="I721" s="4"/>
      <c r="J721" s="2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2"/>
      <c r="C722" s="3"/>
      <c r="D722" s="4"/>
      <c r="E722" s="5"/>
      <c r="F722" s="5"/>
      <c r="G722" s="2"/>
      <c r="H722" s="6"/>
      <c r="I722" s="4"/>
      <c r="J722" s="2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2"/>
      <c r="C723" s="3"/>
      <c r="D723" s="4"/>
      <c r="E723" s="5"/>
      <c r="F723" s="5"/>
      <c r="G723" s="2"/>
      <c r="H723" s="6"/>
      <c r="I723" s="4"/>
      <c r="J723" s="2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2"/>
      <c r="C724" s="3"/>
      <c r="D724" s="4"/>
      <c r="E724" s="5"/>
      <c r="F724" s="5"/>
      <c r="G724" s="2"/>
      <c r="H724" s="6"/>
      <c r="I724" s="4"/>
      <c r="J724" s="2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2"/>
      <c r="C725" s="3"/>
      <c r="D725" s="4"/>
      <c r="E725" s="5"/>
      <c r="F725" s="5"/>
      <c r="G725" s="2"/>
      <c r="H725" s="6"/>
      <c r="I725" s="4"/>
      <c r="J725" s="2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2"/>
      <c r="C726" s="3"/>
      <c r="D726" s="4"/>
      <c r="E726" s="5"/>
      <c r="F726" s="5"/>
      <c r="G726" s="2"/>
      <c r="H726" s="6"/>
      <c r="I726" s="4"/>
      <c r="J726" s="2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2"/>
      <c r="C727" s="3"/>
      <c r="D727" s="4"/>
      <c r="E727" s="5"/>
      <c r="F727" s="5"/>
      <c r="G727" s="2"/>
      <c r="H727" s="6"/>
      <c r="I727" s="4"/>
      <c r="J727" s="2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2"/>
      <c r="C728" s="3"/>
      <c r="D728" s="4"/>
      <c r="E728" s="5"/>
      <c r="F728" s="5"/>
      <c r="G728" s="2"/>
      <c r="H728" s="6"/>
      <c r="I728" s="4"/>
      <c r="J728" s="2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2"/>
      <c r="C729" s="3"/>
      <c r="D729" s="4"/>
      <c r="E729" s="5"/>
      <c r="F729" s="5"/>
      <c r="G729" s="2"/>
      <c r="H729" s="6"/>
      <c r="I729" s="4"/>
      <c r="J729" s="2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2"/>
      <c r="C730" s="3"/>
      <c r="D730" s="4"/>
      <c r="E730" s="5"/>
      <c r="F730" s="5"/>
      <c r="G730" s="2"/>
      <c r="H730" s="6"/>
      <c r="I730" s="4"/>
      <c r="J730" s="2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2"/>
      <c r="C731" s="3"/>
      <c r="D731" s="4"/>
      <c r="E731" s="5"/>
      <c r="F731" s="5"/>
      <c r="G731" s="2"/>
      <c r="H731" s="6"/>
      <c r="I731" s="4"/>
      <c r="J731" s="2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2"/>
      <c r="C732" s="3"/>
      <c r="D732" s="4"/>
      <c r="E732" s="5"/>
      <c r="F732" s="5"/>
      <c r="G732" s="2"/>
      <c r="H732" s="6"/>
      <c r="I732" s="4"/>
      <c r="J732" s="2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2"/>
      <c r="C733" s="3"/>
      <c r="D733" s="4"/>
      <c r="E733" s="5"/>
      <c r="F733" s="5"/>
      <c r="G733" s="2"/>
      <c r="H733" s="6"/>
      <c r="I733" s="4"/>
      <c r="J733" s="2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2"/>
      <c r="C734" s="3"/>
      <c r="D734" s="4"/>
      <c r="E734" s="5"/>
      <c r="F734" s="5"/>
      <c r="G734" s="2"/>
      <c r="H734" s="6"/>
      <c r="I734" s="4"/>
      <c r="J734" s="2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2"/>
      <c r="C735" s="3"/>
      <c r="D735" s="4"/>
      <c r="E735" s="5"/>
      <c r="F735" s="5"/>
      <c r="G735" s="2"/>
      <c r="H735" s="6"/>
      <c r="I735" s="4"/>
      <c r="J735" s="2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2"/>
      <c r="C736" s="3"/>
      <c r="D736" s="4"/>
      <c r="E736" s="5"/>
      <c r="F736" s="5"/>
      <c r="G736" s="2"/>
      <c r="H736" s="6"/>
      <c r="I736" s="4"/>
      <c r="J736" s="2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2"/>
      <c r="C737" s="3"/>
      <c r="D737" s="4"/>
      <c r="E737" s="5"/>
      <c r="F737" s="5"/>
      <c r="G737" s="2"/>
      <c r="H737" s="6"/>
      <c r="I737" s="4"/>
      <c r="J737" s="2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2"/>
      <c r="C738" s="3"/>
      <c r="D738" s="4"/>
      <c r="E738" s="5"/>
      <c r="F738" s="5"/>
      <c r="G738" s="2"/>
      <c r="H738" s="6"/>
      <c r="I738" s="4"/>
      <c r="J738" s="2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2"/>
      <c r="C739" s="3"/>
      <c r="D739" s="4"/>
      <c r="E739" s="5"/>
      <c r="F739" s="5"/>
      <c r="G739" s="2"/>
      <c r="H739" s="6"/>
      <c r="I739" s="4"/>
      <c r="J739" s="2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2"/>
      <c r="C740" s="3"/>
      <c r="D740" s="4"/>
      <c r="E740" s="5"/>
      <c r="F740" s="5"/>
      <c r="G740" s="2"/>
      <c r="H740" s="6"/>
      <c r="I740" s="4"/>
      <c r="J740" s="2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2"/>
      <c r="C741" s="3"/>
      <c r="D741" s="4"/>
      <c r="E741" s="5"/>
      <c r="F741" s="5"/>
      <c r="G741" s="2"/>
      <c r="H741" s="6"/>
      <c r="I741" s="4"/>
      <c r="J741" s="2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2"/>
      <c r="C742" s="3"/>
      <c r="D742" s="4"/>
      <c r="E742" s="5"/>
      <c r="F742" s="5"/>
      <c r="G742" s="2"/>
      <c r="H742" s="6"/>
      <c r="I742" s="4"/>
      <c r="J742" s="2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2"/>
      <c r="C743" s="3"/>
      <c r="D743" s="4"/>
      <c r="E743" s="5"/>
      <c r="F743" s="5"/>
      <c r="G743" s="2"/>
      <c r="H743" s="6"/>
      <c r="I743" s="4"/>
      <c r="J743" s="2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2"/>
      <c r="C744" s="3"/>
      <c r="D744" s="4"/>
      <c r="E744" s="5"/>
      <c r="F744" s="5"/>
      <c r="G744" s="2"/>
      <c r="H744" s="6"/>
      <c r="I744" s="4"/>
      <c r="J744" s="2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2"/>
      <c r="C745" s="3"/>
      <c r="D745" s="4"/>
      <c r="E745" s="5"/>
      <c r="F745" s="5"/>
      <c r="G745" s="2"/>
      <c r="H745" s="6"/>
      <c r="I745" s="4"/>
      <c r="J745" s="2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2"/>
      <c r="C746" s="3"/>
      <c r="D746" s="4"/>
      <c r="E746" s="5"/>
      <c r="F746" s="5"/>
      <c r="G746" s="2"/>
      <c r="H746" s="6"/>
      <c r="I746" s="4"/>
      <c r="J746" s="2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2"/>
      <c r="C747" s="3"/>
      <c r="D747" s="4"/>
      <c r="E747" s="5"/>
      <c r="F747" s="5"/>
      <c r="G747" s="2"/>
      <c r="H747" s="6"/>
      <c r="I747" s="4"/>
      <c r="J747" s="2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2"/>
      <c r="C748" s="3"/>
      <c r="D748" s="4"/>
      <c r="E748" s="5"/>
      <c r="F748" s="5"/>
      <c r="G748" s="2"/>
      <c r="H748" s="6"/>
      <c r="I748" s="4"/>
      <c r="J748" s="2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2"/>
      <c r="C749" s="3"/>
      <c r="D749" s="4"/>
      <c r="E749" s="5"/>
      <c r="F749" s="5"/>
      <c r="G749" s="2"/>
      <c r="H749" s="6"/>
      <c r="I749" s="4"/>
      <c r="J749" s="2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2"/>
      <c r="C750" s="3"/>
      <c r="D750" s="4"/>
      <c r="E750" s="5"/>
      <c r="F750" s="5"/>
      <c r="G750" s="2"/>
      <c r="H750" s="6"/>
      <c r="I750" s="4"/>
      <c r="J750" s="2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2"/>
      <c r="C751" s="3"/>
      <c r="D751" s="4"/>
      <c r="E751" s="5"/>
      <c r="F751" s="5"/>
      <c r="G751" s="2"/>
      <c r="H751" s="6"/>
      <c r="I751" s="4"/>
      <c r="J751" s="2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2"/>
      <c r="C752" s="3"/>
      <c r="D752" s="4"/>
      <c r="E752" s="5"/>
      <c r="F752" s="5"/>
      <c r="G752" s="2"/>
      <c r="H752" s="6"/>
      <c r="I752" s="4"/>
      <c r="J752" s="2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2"/>
      <c r="C753" s="3"/>
      <c r="D753" s="4"/>
      <c r="E753" s="5"/>
      <c r="F753" s="5"/>
      <c r="G753" s="2"/>
      <c r="H753" s="6"/>
      <c r="I753" s="4"/>
      <c r="J753" s="2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2"/>
      <c r="C754" s="3"/>
      <c r="D754" s="4"/>
      <c r="E754" s="5"/>
      <c r="F754" s="5"/>
      <c r="G754" s="2"/>
      <c r="H754" s="6"/>
      <c r="I754" s="4"/>
      <c r="J754" s="2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2"/>
      <c r="C755" s="3"/>
      <c r="D755" s="4"/>
      <c r="E755" s="5"/>
      <c r="F755" s="5"/>
      <c r="G755" s="2"/>
      <c r="H755" s="6"/>
      <c r="I755" s="4"/>
      <c r="J755" s="2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2"/>
      <c r="C756" s="3"/>
      <c r="D756" s="4"/>
      <c r="E756" s="5"/>
      <c r="F756" s="5"/>
      <c r="G756" s="2"/>
      <c r="H756" s="6"/>
      <c r="I756" s="4"/>
      <c r="J756" s="2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2"/>
      <c r="C757" s="3"/>
      <c r="D757" s="4"/>
      <c r="E757" s="5"/>
      <c r="F757" s="5"/>
      <c r="G757" s="2"/>
      <c r="H757" s="6"/>
      <c r="I757" s="4"/>
      <c r="J757" s="2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2"/>
      <c r="C758" s="3"/>
      <c r="D758" s="4"/>
      <c r="E758" s="5"/>
      <c r="F758" s="5"/>
      <c r="G758" s="2"/>
      <c r="H758" s="6"/>
      <c r="I758" s="4"/>
      <c r="J758" s="2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2"/>
      <c r="C759" s="3"/>
      <c r="D759" s="4"/>
      <c r="E759" s="5"/>
      <c r="F759" s="5"/>
      <c r="G759" s="2"/>
      <c r="H759" s="6"/>
      <c r="I759" s="4"/>
      <c r="J759" s="2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2"/>
      <c r="C760" s="3"/>
      <c r="D760" s="4"/>
      <c r="E760" s="5"/>
      <c r="F760" s="5"/>
      <c r="G760" s="2"/>
      <c r="H760" s="6"/>
      <c r="I760" s="4"/>
      <c r="J760" s="2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2"/>
      <c r="C761" s="3"/>
      <c r="D761" s="4"/>
      <c r="E761" s="5"/>
      <c r="F761" s="5"/>
      <c r="G761" s="2"/>
      <c r="H761" s="6"/>
      <c r="I761" s="4"/>
      <c r="J761" s="2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2"/>
      <c r="C762" s="3"/>
      <c r="D762" s="4"/>
      <c r="E762" s="5"/>
      <c r="F762" s="5"/>
      <c r="G762" s="2"/>
      <c r="H762" s="6"/>
      <c r="I762" s="4"/>
      <c r="J762" s="2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2"/>
      <c r="C763" s="3"/>
      <c r="D763" s="4"/>
      <c r="E763" s="5"/>
      <c r="F763" s="5"/>
      <c r="G763" s="2"/>
      <c r="H763" s="6"/>
      <c r="I763" s="4"/>
      <c r="J763" s="2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2"/>
      <c r="C764" s="3"/>
      <c r="D764" s="4"/>
      <c r="E764" s="5"/>
      <c r="F764" s="5"/>
      <c r="G764" s="2"/>
      <c r="H764" s="6"/>
      <c r="I764" s="4"/>
      <c r="J764" s="2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2"/>
      <c r="C765" s="3"/>
      <c r="D765" s="4"/>
      <c r="E765" s="5"/>
      <c r="F765" s="5"/>
      <c r="G765" s="2"/>
      <c r="H765" s="6"/>
      <c r="I765" s="4"/>
      <c r="J765" s="2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2"/>
      <c r="C766" s="3"/>
      <c r="D766" s="4"/>
      <c r="E766" s="5"/>
      <c r="F766" s="5"/>
      <c r="G766" s="2"/>
      <c r="H766" s="6"/>
      <c r="I766" s="4"/>
      <c r="J766" s="2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2"/>
      <c r="C767" s="3"/>
      <c r="D767" s="4"/>
      <c r="E767" s="5"/>
      <c r="F767" s="5"/>
      <c r="G767" s="2"/>
      <c r="H767" s="6"/>
      <c r="I767" s="4"/>
      <c r="J767" s="2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2"/>
      <c r="C768" s="3"/>
      <c r="D768" s="4"/>
      <c r="E768" s="5"/>
      <c r="F768" s="5"/>
      <c r="G768" s="2"/>
      <c r="H768" s="6"/>
      <c r="I768" s="4"/>
      <c r="J768" s="2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2"/>
      <c r="C769" s="3"/>
      <c r="D769" s="4"/>
      <c r="E769" s="5"/>
      <c r="F769" s="5"/>
      <c r="G769" s="2"/>
      <c r="H769" s="6"/>
      <c r="I769" s="4"/>
      <c r="J769" s="2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2"/>
      <c r="C770" s="3"/>
      <c r="D770" s="4"/>
      <c r="E770" s="5"/>
      <c r="F770" s="5"/>
      <c r="G770" s="2"/>
      <c r="H770" s="6"/>
      <c r="I770" s="4"/>
      <c r="J770" s="2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2"/>
      <c r="C771" s="3"/>
      <c r="D771" s="4"/>
      <c r="E771" s="5"/>
      <c r="F771" s="5"/>
      <c r="G771" s="2"/>
      <c r="H771" s="6"/>
      <c r="I771" s="4"/>
      <c r="J771" s="2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2"/>
      <c r="C772" s="3"/>
      <c r="D772" s="4"/>
      <c r="E772" s="5"/>
      <c r="F772" s="5"/>
      <c r="G772" s="2"/>
      <c r="H772" s="6"/>
      <c r="I772" s="4"/>
      <c r="J772" s="2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2"/>
      <c r="C773" s="3"/>
      <c r="D773" s="4"/>
      <c r="E773" s="5"/>
      <c r="F773" s="5"/>
      <c r="G773" s="2"/>
      <c r="H773" s="6"/>
      <c r="I773" s="4"/>
      <c r="J773" s="2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2"/>
      <c r="C774" s="3"/>
      <c r="D774" s="4"/>
      <c r="E774" s="5"/>
      <c r="F774" s="5"/>
      <c r="G774" s="2"/>
      <c r="H774" s="6"/>
      <c r="I774" s="4"/>
      <c r="J774" s="2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2"/>
      <c r="C775" s="3"/>
      <c r="D775" s="4"/>
      <c r="E775" s="5"/>
      <c r="F775" s="5"/>
      <c r="G775" s="2"/>
      <c r="H775" s="6"/>
      <c r="I775" s="4"/>
      <c r="J775" s="2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2"/>
      <c r="C776" s="3"/>
      <c r="D776" s="4"/>
      <c r="E776" s="5"/>
      <c r="F776" s="5"/>
      <c r="G776" s="2"/>
      <c r="H776" s="6"/>
      <c r="I776" s="4"/>
      <c r="J776" s="2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2"/>
      <c r="C777" s="3"/>
      <c r="D777" s="4"/>
      <c r="E777" s="5"/>
      <c r="F777" s="5"/>
      <c r="G777" s="2"/>
      <c r="H777" s="6"/>
      <c r="I777" s="4"/>
      <c r="J777" s="2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2"/>
      <c r="C778" s="3"/>
      <c r="D778" s="4"/>
      <c r="E778" s="5"/>
      <c r="F778" s="5"/>
      <c r="G778" s="2"/>
      <c r="H778" s="6"/>
      <c r="I778" s="4"/>
      <c r="J778" s="2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2"/>
      <c r="C779" s="3"/>
      <c r="D779" s="4"/>
      <c r="E779" s="5"/>
      <c r="F779" s="5"/>
      <c r="G779" s="2"/>
      <c r="H779" s="6"/>
      <c r="I779" s="4"/>
      <c r="J779" s="2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2"/>
      <c r="C780" s="3"/>
      <c r="D780" s="4"/>
      <c r="E780" s="5"/>
      <c r="F780" s="5"/>
      <c r="G780" s="2"/>
      <c r="H780" s="6"/>
      <c r="I780" s="4"/>
      <c r="J780" s="2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2"/>
      <c r="C781" s="3"/>
      <c r="D781" s="4"/>
      <c r="E781" s="5"/>
      <c r="F781" s="5"/>
      <c r="G781" s="2"/>
      <c r="H781" s="6"/>
      <c r="I781" s="4"/>
      <c r="J781" s="2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2"/>
      <c r="C782" s="3"/>
      <c r="D782" s="4"/>
      <c r="E782" s="5"/>
      <c r="F782" s="5"/>
      <c r="G782" s="2"/>
      <c r="H782" s="6"/>
      <c r="I782" s="4"/>
      <c r="J782" s="2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2"/>
      <c r="C783" s="3"/>
      <c r="D783" s="4"/>
      <c r="E783" s="5"/>
      <c r="F783" s="5"/>
      <c r="G783" s="2"/>
      <c r="H783" s="6"/>
      <c r="I783" s="4"/>
      <c r="J783" s="2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2"/>
      <c r="C784" s="3"/>
      <c r="D784" s="4"/>
      <c r="E784" s="5"/>
      <c r="F784" s="5"/>
      <c r="G784" s="2"/>
      <c r="H784" s="6"/>
      <c r="I784" s="4"/>
      <c r="J784" s="2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2"/>
      <c r="C785" s="3"/>
      <c r="D785" s="4"/>
      <c r="E785" s="5"/>
      <c r="F785" s="5"/>
      <c r="G785" s="2"/>
      <c r="H785" s="6"/>
      <c r="I785" s="4"/>
      <c r="J785" s="2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2"/>
      <c r="C786" s="3"/>
      <c r="D786" s="4"/>
      <c r="E786" s="5"/>
      <c r="F786" s="5"/>
      <c r="G786" s="2"/>
      <c r="H786" s="6"/>
      <c r="I786" s="4"/>
      <c r="J786" s="2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2"/>
      <c r="C787" s="3"/>
      <c r="D787" s="4"/>
      <c r="E787" s="5"/>
      <c r="F787" s="5"/>
      <c r="G787" s="2"/>
      <c r="H787" s="6"/>
      <c r="I787" s="4"/>
      <c r="J787" s="2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2"/>
      <c r="C788" s="3"/>
      <c r="D788" s="4"/>
      <c r="E788" s="5"/>
      <c r="F788" s="5"/>
      <c r="G788" s="2"/>
      <c r="H788" s="6"/>
      <c r="I788" s="4"/>
      <c r="J788" s="2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2"/>
      <c r="C789" s="3"/>
      <c r="D789" s="4"/>
      <c r="E789" s="5"/>
      <c r="F789" s="5"/>
      <c r="G789" s="2"/>
      <c r="H789" s="6"/>
      <c r="I789" s="4"/>
      <c r="J789" s="2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2"/>
      <c r="C790" s="3"/>
      <c r="D790" s="4"/>
      <c r="E790" s="5"/>
      <c r="F790" s="5"/>
      <c r="G790" s="2"/>
      <c r="H790" s="6"/>
      <c r="I790" s="4"/>
      <c r="J790" s="2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2"/>
      <c r="C791" s="3"/>
      <c r="D791" s="4"/>
      <c r="E791" s="5"/>
      <c r="F791" s="5"/>
      <c r="G791" s="2"/>
      <c r="H791" s="6"/>
      <c r="I791" s="4"/>
      <c r="J791" s="2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2"/>
      <c r="C792" s="3"/>
      <c r="D792" s="4"/>
      <c r="E792" s="5"/>
      <c r="F792" s="5"/>
      <c r="G792" s="2"/>
      <c r="H792" s="6"/>
      <c r="I792" s="4"/>
      <c r="J792" s="2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2"/>
      <c r="C793" s="3"/>
      <c r="D793" s="4"/>
      <c r="E793" s="5"/>
      <c r="F793" s="5"/>
      <c r="G793" s="2"/>
      <c r="H793" s="6"/>
      <c r="I793" s="4"/>
      <c r="J793" s="2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2"/>
      <c r="C794" s="3"/>
      <c r="D794" s="4"/>
      <c r="E794" s="5"/>
      <c r="F794" s="5"/>
      <c r="G794" s="2"/>
      <c r="H794" s="6"/>
      <c r="I794" s="4"/>
      <c r="J794" s="2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2"/>
      <c r="C795" s="3"/>
      <c r="D795" s="4"/>
      <c r="E795" s="5"/>
      <c r="F795" s="5"/>
      <c r="G795" s="2"/>
      <c r="H795" s="6"/>
      <c r="I795" s="4"/>
      <c r="J795" s="2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2"/>
      <c r="C796" s="3"/>
      <c r="D796" s="4"/>
      <c r="E796" s="5"/>
      <c r="F796" s="5"/>
      <c r="G796" s="2"/>
      <c r="H796" s="6"/>
      <c r="I796" s="4"/>
      <c r="J796" s="2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2"/>
      <c r="C797" s="3"/>
      <c r="D797" s="4"/>
      <c r="E797" s="5"/>
      <c r="F797" s="5"/>
      <c r="G797" s="2"/>
      <c r="H797" s="6"/>
      <c r="I797" s="4"/>
      <c r="J797" s="2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2"/>
      <c r="C798" s="3"/>
      <c r="D798" s="4"/>
      <c r="E798" s="5"/>
      <c r="F798" s="5"/>
      <c r="G798" s="2"/>
      <c r="H798" s="6"/>
      <c r="I798" s="4"/>
      <c r="J798" s="2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2"/>
      <c r="C799" s="3"/>
      <c r="D799" s="4"/>
      <c r="E799" s="5"/>
      <c r="F799" s="5"/>
      <c r="G799" s="2"/>
      <c r="H799" s="6"/>
      <c r="I799" s="4"/>
      <c r="J799" s="2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2"/>
      <c r="C800" s="3"/>
      <c r="D800" s="4"/>
      <c r="E800" s="5"/>
      <c r="F800" s="5"/>
      <c r="G800" s="2"/>
      <c r="H800" s="6"/>
      <c r="I800" s="4"/>
      <c r="J800" s="2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2"/>
      <c r="C801" s="3"/>
      <c r="D801" s="4"/>
      <c r="E801" s="5"/>
      <c r="F801" s="5"/>
      <c r="G801" s="2"/>
      <c r="H801" s="6"/>
      <c r="I801" s="4"/>
      <c r="J801" s="2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2"/>
      <c r="C802" s="3"/>
      <c r="D802" s="4"/>
      <c r="E802" s="5"/>
      <c r="F802" s="5"/>
      <c r="G802" s="2"/>
      <c r="H802" s="6"/>
      <c r="I802" s="4"/>
      <c r="J802" s="2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2"/>
      <c r="C803" s="3"/>
      <c r="D803" s="4"/>
      <c r="E803" s="5"/>
      <c r="F803" s="5"/>
      <c r="G803" s="2"/>
      <c r="H803" s="6"/>
      <c r="I803" s="4"/>
      <c r="J803" s="2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2"/>
      <c r="C804" s="3"/>
      <c r="D804" s="4"/>
      <c r="E804" s="5"/>
      <c r="F804" s="5"/>
      <c r="G804" s="2"/>
      <c r="H804" s="6"/>
      <c r="I804" s="4"/>
      <c r="J804" s="2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2"/>
      <c r="C805" s="3"/>
      <c r="D805" s="4"/>
      <c r="E805" s="5"/>
      <c r="F805" s="5"/>
      <c r="G805" s="2"/>
      <c r="H805" s="6"/>
      <c r="I805" s="4"/>
      <c r="J805" s="2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2"/>
      <c r="C806" s="3"/>
      <c r="D806" s="4"/>
      <c r="E806" s="5"/>
      <c r="F806" s="5"/>
      <c r="G806" s="2"/>
      <c r="H806" s="6"/>
      <c r="I806" s="4"/>
      <c r="J806" s="2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2"/>
      <c r="C807" s="3"/>
      <c r="D807" s="4"/>
      <c r="E807" s="5"/>
      <c r="F807" s="5"/>
      <c r="G807" s="2"/>
      <c r="H807" s="6"/>
      <c r="I807" s="4"/>
      <c r="J807" s="2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2"/>
      <c r="C808" s="3"/>
      <c r="D808" s="4"/>
      <c r="E808" s="5"/>
      <c r="F808" s="5"/>
      <c r="G808" s="2"/>
      <c r="H808" s="6"/>
      <c r="I808" s="4"/>
      <c r="J808" s="2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2"/>
      <c r="C809" s="3"/>
      <c r="D809" s="4"/>
      <c r="E809" s="5"/>
      <c r="F809" s="5"/>
      <c r="G809" s="2"/>
      <c r="H809" s="6"/>
      <c r="I809" s="4"/>
      <c r="J809" s="2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2"/>
      <c r="C810" s="3"/>
      <c r="D810" s="4"/>
      <c r="E810" s="5"/>
      <c r="F810" s="5"/>
      <c r="G810" s="2"/>
      <c r="H810" s="6"/>
      <c r="I810" s="4"/>
      <c r="J810" s="2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2"/>
      <c r="C811" s="3"/>
      <c r="D811" s="4"/>
      <c r="E811" s="5"/>
      <c r="F811" s="5"/>
      <c r="G811" s="2"/>
      <c r="H811" s="6"/>
      <c r="I811" s="4"/>
      <c r="J811" s="2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2"/>
      <c r="C812" s="3"/>
      <c r="D812" s="4"/>
      <c r="E812" s="5"/>
      <c r="F812" s="5"/>
      <c r="G812" s="2"/>
      <c r="H812" s="6"/>
      <c r="I812" s="4"/>
      <c r="J812" s="2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2"/>
      <c r="C813" s="3"/>
      <c r="D813" s="4"/>
      <c r="E813" s="5"/>
      <c r="F813" s="5"/>
      <c r="G813" s="2"/>
      <c r="H813" s="6"/>
      <c r="I813" s="4"/>
      <c r="J813" s="2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2"/>
      <c r="C814" s="3"/>
      <c r="D814" s="4"/>
      <c r="E814" s="5"/>
      <c r="F814" s="5"/>
      <c r="G814" s="2"/>
      <c r="H814" s="6"/>
      <c r="I814" s="4"/>
      <c r="J814" s="2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2"/>
      <c r="C815" s="3"/>
      <c r="D815" s="4"/>
      <c r="E815" s="5"/>
      <c r="F815" s="5"/>
      <c r="G815" s="2"/>
      <c r="H815" s="6"/>
      <c r="I815" s="4"/>
      <c r="J815" s="2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2"/>
      <c r="C816" s="3"/>
      <c r="D816" s="4"/>
      <c r="E816" s="5"/>
      <c r="F816" s="5"/>
      <c r="G816" s="2"/>
      <c r="H816" s="6"/>
      <c r="I816" s="4"/>
      <c r="J816" s="2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2"/>
      <c r="C817" s="3"/>
      <c r="D817" s="4"/>
      <c r="E817" s="5"/>
      <c r="F817" s="5"/>
      <c r="G817" s="2"/>
      <c r="H817" s="6"/>
      <c r="I817" s="4"/>
      <c r="J817" s="2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2"/>
      <c r="C818" s="3"/>
      <c r="D818" s="4"/>
      <c r="E818" s="5"/>
      <c r="F818" s="5"/>
      <c r="G818" s="2"/>
      <c r="H818" s="6"/>
      <c r="I818" s="4"/>
      <c r="J818" s="2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2"/>
      <c r="C819" s="3"/>
      <c r="D819" s="4"/>
      <c r="E819" s="5"/>
      <c r="F819" s="5"/>
      <c r="G819" s="2"/>
      <c r="H819" s="6"/>
      <c r="I819" s="4"/>
      <c r="J819" s="2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2"/>
      <c r="C820" s="3"/>
      <c r="D820" s="4"/>
      <c r="E820" s="5"/>
      <c r="F820" s="5"/>
      <c r="G820" s="2"/>
      <c r="H820" s="6"/>
      <c r="I820" s="4"/>
      <c r="J820" s="2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2"/>
      <c r="C821" s="3"/>
      <c r="D821" s="4"/>
      <c r="E821" s="5"/>
      <c r="F821" s="5"/>
      <c r="G821" s="2"/>
      <c r="H821" s="6"/>
      <c r="I821" s="4"/>
      <c r="J821" s="2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2"/>
      <c r="C822" s="3"/>
      <c r="D822" s="4"/>
      <c r="E822" s="5"/>
      <c r="F822" s="5"/>
      <c r="G822" s="2"/>
      <c r="H822" s="6"/>
      <c r="I822" s="4"/>
      <c r="J822" s="2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2"/>
      <c r="C823" s="3"/>
      <c r="D823" s="4"/>
      <c r="E823" s="5"/>
      <c r="F823" s="5"/>
      <c r="G823" s="2"/>
      <c r="H823" s="6"/>
      <c r="I823" s="4"/>
      <c r="J823" s="2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2"/>
      <c r="C824" s="3"/>
      <c r="D824" s="4"/>
      <c r="E824" s="5"/>
      <c r="F824" s="5"/>
      <c r="G824" s="2"/>
      <c r="H824" s="6"/>
      <c r="I824" s="4"/>
      <c r="J824" s="2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2"/>
      <c r="C825" s="3"/>
      <c r="D825" s="4"/>
      <c r="E825" s="5"/>
      <c r="F825" s="5"/>
      <c r="G825" s="2"/>
      <c r="H825" s="6"/>
      <c r="I825" s="4"/>
      <c r="J825" s="2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2"/>
      <c r="C826" s="3"/>
      <c r="D826" s="4"/>
      <c r="E826" s="5"/>
      <c r="F826" s="5"/>
      <c r="G826" s="2"/>
      <c r="H826" s="6"/>
      <c r="I826" s="4"/>
      <c r="J826" s="2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2"/>
      <c r="C827" s="3"/>
      <c r="D827" s="4"/>
      <c r="E827" s="5"/>
      <c r="F827" s="5"/>
      <c r="G827" s="2"/>
      <c r="H827" s="6"/>
      <c r="I827" s="4"/>
      <c r="J827" s="2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2"/>
      <c r="C828" s="3"/>
      <c r="D828" s="4"/>
      <c r="E828" s="5"/>
      <c r="F828" s="5"/>
      <c r="G828" s="2"/>
      <c r="H828" s="6"/>
      <c r="I828" s="4"/>
      <c r="J828" s="2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2"/>
      <c r="C829" s="3"/>
      <c r="D829" s="4"/>
      <c r="E829" s="5"/>
      <c r="F829" s="5"/>
      <c r="G829" s="2"/>
      <c r="H829" s="6"/>
      <c r="I829" s="4"/>
      <c r="J829" s="2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2"/>
      <c r="C830" s="3"/>
      <c r="D830" s="4"/>
      <c r="E830" s="5"/>
      <c r="F830" s="5"/>
      <c r="G830" s="2"/>
      <c r="H830" s="6"/>
      <c r="I830" s="4"/>
      <c r="J830" s="2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2"/>
      <c r="C831" s="3"/>
      <c r="D831" s="4"/>
      <c r="E831" s="5"/>
      <c r="F831" s="5"/>
      <c r="G831" s="2"/>
      <c r="H831" s="6"/>
      <c r="I831" s="4"/>
      <c r="J831" s="2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2"/>
      <c r="C832" s="3"/>
      <c r="D832" s="4"/>
      <c r="E832" s="5"/>
      <c r="F832" s="5"/>
      <c r="G832" s="2"/>
      <c r="H832" s="6"/>
      <c r="I832" s="4"/>
      <c r="J832" s="2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2"/>
      <c r="C833" s="3"/>
      <c r="D833" s="4"/>
      <c r="E833" s="5"/>
      <c r="F833" s="5"/>
      <c r="G833" s="2"/>
      <c r="H833" s="6"/>
      <c r="I833" s="4"/>
      <c r="J833" s="2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2"/>
      <c r="C834" s="3"/>
      <c r="D834" s="4"/>
      <c r="E834" s="5"/>
      <c r="F834" s="5"/>
      <c r="G834" s="2"/>
      <c r="H834" s="6"/>
      <c r="I834" s="4"/>
      <c r="J834" s="2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2"/>
      <c r="C835" s="3"/>
      <c r="D835" s="4"/>
      <c r="E835" s="5"/>
      <c r="F835" s="5"/>
      <c r="G835" s="2"/>
      <c r="H835" s="6"/>
      <c r="I835" s="4"/>
      <c r="J835" s="2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2"/>
      <c r="C836" s="3"/>
      <c r="D836" s="4"/>
      <c r="E836" s="5"/>
      <c r="F836" s="5"/>
      <c r="G836" s="2"/>
      <c r="H836" s="6"/>
      <c r="I836" s="4"/>
      <c r="J836" s="2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2"/>
      <c r="C837" s="3"/>
      <c r="D837" s="4"/>
      <c r="E837" s="5"/>
      <c r="F837" s="5"/>
      <c r="G837" s="2"/>
      <c r="H837" s="6"/>
      <c r="I837" s="4"/>
      <c r="J837" s="2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2"/>
      <c r="C838" s="3"/>
      <c r="D838" s="4"/>
      <c r="E838" s="5"/>
      <c r="F838" s="5"/>
      <c r="G838" s="2"/>
      <c r="H838" s="6"/>
      <c r="I838" s="4"/>
      <c r="J838" s="2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2"/>
      <c r="C839" s="3"/>
      <c r="D839" s="4"/>
      <c r="E839" s="5"/>
      <c r="F839" s="5"/>
      <c r="G839" s="2"/>
      <c r="H839" s="6"/>
      <c r="I839" s="4"/>
      <c r="J839" s="2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2"/>
      <c r="C840" s="3"/>
      <c r="D840" s="4"/>
      <c r="E840" s="5"/>
      <c r="F840" s="5"/>
      <c r="G840" s="2"/>
      <c r="H840" s="6"/>
      <c r="I840" s="4"/>
      <c r="J840" s="2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2"/>
      <c r="C841" s="3"/>
      <c r="D841" s="4"/>
      <c r="E841" s="5"/>
      <c r="F841" s="5"/>
      <c r="G841" s="2"/>
      <c r="H841" s="6"/>
      <c r="I841" s="4"/>
      <c r="J841" s="2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2"/>
      <c r="C842" s="3"/>
      <c r="D842" s="4"/>
      <c r="E842" s="5"/>
      <c r="F842" s="5"/>
      <c r="G842" s="2"/>
      <c r="H842" s="6"/>
      <c r="I842" s="4"/>
      <c r="J842" s="2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2"/>
      <c r="C843" s="3"/>
      <c r="D843" s="4"/>
      <c r="E843" s="5"/>
      <c r="F843" s="5"/>
      <c r="G843" s="2"/>
      <c r="H843" s="6"/>
      <c r="I843" s="4"/>
      <c r="J843" s="2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2"/>
      <c r="C844" s="3"/>
      <c r="D844" s="4"/>
      <c r="E844" s="5"/>
      <c r="F844" s="5"/>
      <c r="G844" s="2"/>
      <c r="H844" s="6"/>
      <c r="I844" s="4"/>
      <c r="J844" s="2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2"/>
      <c r="C845" s="3"/>
      <c r="D845" s="4"/>
      <c r="E845" s="5"/>
      <c r="F845" s="5"/>
      <c r="G845" s="2"/>
      <c r="H845" s="6"/>
      <c r="I845" s="4"/>
      <c r="J845" s="2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2"/>
      <c r="C846" s="3"/>
      <c r="D846" s="4"/>
      <c r="E846" s="5"/>
      <c r="F846" s="5"/>
      <c r="G846" s="2"/>
      <c r="H846" s="6"/>
      <c r="I846" s="4"/>
      <c r="J846" s="2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2"/>
      <c r="C847" s="3"/>
      <c r="D847" s="4"/>
      <c r="E847" s="5"/>
      <c r="F847" s="5"/>
      <c r="G847" s="2"/>
      <c r="H847" s="6"/>
      <c r="I847" s="4"/>
      <c r="J847" s="2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2"/>
      <c r="C848" s="3"/>
      <c r="D848" s="4"/>
      <c r="E848" s="5"/>
      <c r="F848" s="5"/>
      <c r="G848" s="2"/>
      <c r="H848" s="6"/>
      <c r="I848" s="4"/>
      <c r="J848" s="2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2"/>
      <c r="C849" s="3"/>
      <c r="D849" s="4"/>
      <c r="E849" s="5"/>
      <c r="F849" s="5"/>
      <c r="G849" s="2"/>
      <c r="H849" s="6"/>
      <c r="I849" s="4"/>
      <c r="J849" s="2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2"/>
      <c r="C850" s="3"/>
      <c r="D850" s="4"/>
      <c r="E850" s="5"/>
      <c r="F850" s="5"/>
      <c r="G850" s="2"/>
      <c r="H850" s="6"/>
      <c r="I850" s="4"/>
      <c r="J850" s="2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2"/>
      <c r="C851" s="3"/>
      <c r="D851" s="4"/>
      <c r="E851" s="5"/>
      <c r="F851" s="5"/>
      <c r="G851" s="2"/>
      <c r="H851" s="6"/>
      <c r="I851" s="4"/>
      <c r="J851" s="2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2"/>
      <c r="C852" s="3"/>
      <c r="D852" s="4"/>
      <c r="E852" s="5"/>
      <c r="F852" s="5"/>
      <c r="G852" s="2"/>
      <c r="H852" s="6"/>
      <c r="I852" s="4"/>
      <c r="J852" s="2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2"/>
      <c r="C853" s="3"/>
      <c r="D853" s="4"/>
      <c r="E853" s="5"/>
      <c r="F853" s="5"/>
      <c r="G853" s="2"/>
      <c r="H853" s="6"/>
      <c r="I853" s="4"/>
      <c r="J853" s="2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2"/>
      <c r="C854" s="3"/>
      <c r="D854" s="4"/>
      <c r="E854" s="5"/>
      <c r="F854" s="5"/>
      <c r="G854" s="2"/>
      <c r="H854" s="6"/>
      <c r="I854" s="4"/>
      <c r="J854" s="2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2"/>
      <c r="C855" s="3"/>
      <c r="D855" s="4"/>
      <c r="E855" s="5"/>
      <c r="F855" s="5"/>
      <c r="G855" s="2"/>
      <c r="H855" s="6"/>
      <c r="I855" s="4"/>
      <c r="J855" s="2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2"/>
      <c r="C856" s="3"/>
      <c r="D856" s="4"/>
      <c r="E856" s="5"/>
      <c r="F856" s="5"/>
      <c r="G856" s="2"/>
      <c r="H856" s="6"/>
      <c r="I856" s="4"/>
      <c r="J856" s="2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2"/>
      <c r="C857" s="3"/>
      <c r="D857" s="4"/>
      <c r="E857" s="5"/>
      <c r="F857" s="5"/>
      <c r="G857" s="2"/>
      <c r="H857" s="6"/>
      <c r="I857" s="4"/>
      <c r="J857" s="2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2"/>
      <c r="C858" s="3"/>
      <c r="D858" s="4"/>
      <c r="E858" s="5"/>
      <c r="F858" s="5"/>
      <c r="G858" s="2"/>
      <c r="H858" s="6"/>
      <c r="I858" s="4"/>
      <c r="J858" s="2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2"/>
      <c r="C859" s="3"/>
      <c r="D859" s="4"/>
      <c r="E859" s="5"/>
      <c r="F859" s="5"/>
      <c r="G859" s="2"/>
      <c r="H859" s="6"/>
      <c r="I859" s="4"/>
      <c r="J859" s="2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2"/>
      <c r="C860" s="3"/>
      <c r="D860" s="4"/>
      <c r="E860" s="5"/>
      <c r="F860" s="5"/>
      <c r="G860" s="2"/>
      <c r="H860" s="6"/>
      <c r="I860" s="4"/>
      <c r="J860" s="2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2"/>
      <c r="C861" s="3"/>
      <c r="D861" s="4"/>
      <c r="E861" s="5"/>
      <c r="F861" s="5"/>
      <c r="G861" s="2"/>
      <c r="H861" s="6"/>
      <c r="I861" s="4"/>
      <c r="J861" s="2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2"/>
      <c r="C862" s="3"/>
      <c r="D862" s="4"/>
      <c r="E862" s="5"/>
      <c r="F862" s="5"/>
      <c r="G862" s="2"/>
      <c r="H862" s="6"/>
      <c r="I862" s="4"/>
      <c r="J862" s="2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2"/>
      <c r="C863" s="3"/>
      <c r="D863" s="4"/>
      <c r="E863" s="5"/>
      <c r="F863" s="5"/>
      <c r="G863" s="2"/>
      <c r="H863" s="6"/>
      <c r="I863" s="4"/>
      <c r="J863" s="2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2"/>
      <c r="C864" s="3"/>
      <c r="D864" s="4"/>
      <c r="E864" s="5"/>
      <c r="F864" s="5"/>
      <c r="G864" s="2"/>
      <c r="H864" s="6"/>
      <c r="I864" s="4"/>
      <c r="J864" s="2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2"/>
      <c r="C865" s="3"/>
      <c r="D865" s="4"/>
      <c r="E865" s="5"/>
      <c r="F865" s="5"/>
      <c r="G865" s="2"/>
      <c r="H865" s="6"/>
      <c r="I865" s="4"/>
      <c r="J865" s="2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2"/>
      <c r="C866" s="3"/>
      <c r="D866" s="4"/>
      <c r="E866" s="5"/>
      <c r="F866" s="5"/>
      <c r="G866" s="2"/>
      <c r="H866" s="6"/>
      <c r="I866" s="4"/>
      <c r="J866" s="2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2"/>
      <c r="C867" s="3"/>
      <c r="D867" s="4"/>
      <c r="E867" s="5"/>
      <c r="F867" s="5"/>
      <c r="G867" s="2"/>
      <c r="H867" s="6"/>
      <c r="I867" s="4"/>
      <c r="J867" s="2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2"/>
      <c r="C868" s="3"/>
      <c r="D868" s="4"/>
      <c r="E868" s="5"/>
      <c r="F868" s="5"/>
      <c r="G868" s="2"/>
      <c r="H868" s="6"/>
      <c r="I868" s="4"/>
      <c r="J868" s="2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2"/>
      <c r="C869" s="3"/>
      <c r="D869" s="4"/>
      <c r="E869" s="5"/>
      <c r="F869" s="5"/>
      <c r="G869" s="2"/>
      <c r="H869" s="6"/>
      <c r="I869" s="4"/>
      <c r="J869" s="2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2"/>
      <c r="C870" s="3"/>
      <c r="D870" s="4"/>
      <c r="E870" s="5"/>
      <c r="F870" s="5"/>
      <c r="G870" s="2"/>
      <c r="H870" s="6"/>
      <c r="I870" s="4"/>
      <c r="J870" s="2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2"/>
      <c r="C871" s="3"/>
      <c r="D871" s="4"/>
      <c r="E871" s="5"/>
      <c r="F871" s="5"/>
      <c r="G871" s="2"/>
      <c r="H871" s="6"/>
      <c r="I871" s="4"/>
      <c r="J871" s="2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2"/>
      <c r="C872" s="3"/>
      <c r="D872" s="4"/>
      <c r="E872" s="5"/>
      <c r="F872" s="5"/>
      <c r="G872" s="2"/>
      <c r="H872" s="6"/>
      <c r="I872" s="4"/>
      <c r="J872" s="2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2"/>
      <c r="C873" s="3"/>
      <c r="D873" s="4"/>
      <c r="E873" s="5"/>
      <c r="F873" s="5"/>
      <c r="G873" s="2"/>
      <c r="H873" s="6"/>
      <c r="I873" s="4"/>
      <c r="J873" s="2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2"/>
      <c r="C874" s="3"/>
      <c r="D874" s="4"/>
      <c r="E874" s="5"/>
      <c r="F874" s="5"/>
      <c r="G874" s="2"/>
      <c r="H874" s="6"/>
      <c r="I874" s="4"/>
      <c r="J874" s="2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2"/>
      <c r="C875" s="3"/>
      <c r="D875" s="4"/>
      <c r="E875" s="5"/>
      <c r="F875" s="5"/>
      <c r="G875" s="2"/>
      <c r="H875" s="6"/>
      <c r="I875" s="4"/>
      <c r="J875" s="2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2"/>
      <c r="C876" s="3"/>
      <c r="D876" s="4"/>
      <c r="E876" s="5"/>
      <c r="F876" s="5"/>
      <c r="G876" s="2"/>
      <c r="H876" s="6"/>
      <c r="I876" s="4"/>
      <c r="J876" s="2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2"/>
      <c r="C877" s="3"/>
      <c r="D877" s="4"/>
      <c r="E877" s="5"/>
      <c r="F877" s="5"/>
      <c r="G877" s="2"/>
      <c r="H877" s="6"/>
      <c r="I877" s="4"/>
      <c r="J877" s="2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2"/>
      <c r="C878" s="3"/>
      <c r="D878" s="4"/>
      <c r="E878" s="5"/>
      <c r="F878" s="5"/>
      <c r="G878" s="2"/>
      <c r="H878" s="6"/>
      <c r="I878" s="4"/>
      <c r="J878" s="2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2"/>
      <c r="C879" s="3"/>
      <c r="D879" s="4"/>
      <c r="E879" s="5"/>
      <c r="F879" s="5"/>
      <c r="G879" s="2"/>
      <c r="H879" s="6"/>
      <c r="I879" s="4"/>
      <c r="J879" s="2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2"/>
      <c r="C880" s="3"/>
      <c r="D880" s="4"/>
      <c r="E880" s="5"/>
      <c r="F880" s="5"/>
      <c r="G880" s="2"/>
      <c r="H880" s="6"/>
      <c r="I880" s="4"/>
      <c r="J880" s="2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2"/>
      <c r="C881" s="3"/>
      <c r="D881" s="4"/>
      <c r="E881" s="5"/>
      <c r="F881" s="5"/>
      <c r="G881" s="2"/>
      <c r="H881" s="6"/>
      <c r="I881" s="4"/>
      <c r="J881" s="2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2"/>
      <c r="C882" s="3"/>
      <c r="D882" s="4"/>
      <c r="E882" s="5"/>
      <c r="F882" s="5"/>
      <c r="G882" s="2"/>
      <c r="H882" s="6"/>
      <c r="I882" s="4"/>
      <c r="J882" s="2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2"/>
      <c r="C883" s="3"/>
      <c r="D883" s="4"/>
      <c r="E883" s="5"/>
      <c r="F883" s="5"/>
      <c r="G883" s="2"/>
      <c r="H883" s="6"/>
      <c r="I883" s="4"/>
      <c r="J883" s="2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2"/>
      <c r="C884" s="3"/>
      <c r="D884" s="4"/>
      <c r="E884" s="5"/>
      <c r="F884" s="5"/>
      <c r="G884" s="2"/>
      <c r="H884" s="6"/>
      <c r="I884" s="4"/>
      <c r="J884" s="2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2"/>
      <c r="C885" s="3"/>
      <c r="D885" s="4"/>
      <c r="E885" s="5"/>
      <c r="F885" s="5"/>
      <c r="G885" s="2"/>
      <c r="H885" s="6"/>
      <c r="I885" s="4"/>
      <c r="J885" s="2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2"/>
      <c r="C886" s="3"/>
      <c r="D886" s="4"/>
      <c r="E886" s="5"/>
      <c r="F886" s="5"/>
      <c r="G886" s="2"/>
      <c r="H886" s="6"/>
      <c r="I886" s="4"/>
      <c r="J886" s="2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2"/>
      <c r="C887" s="3"/>
      <c r="D887" s="4"/>
      <c r="E887" s="5"/>
      <c r="F887" s="5"/>
      <c r="G887" s="2"/>
      <c r="H887" s="6"/>
      <c r="I887" s="4"/>
      <c r="J887" s="2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2"/>
      <c r="C888" s="3"/>
      <c r="D888" s="4"/>
      <c r="E888" s="5"/>
      <c r="F888" s="5"/>
      <c r="G888" s="2"/>
      <c r="H888" s="6"/>
      <c r="I888" s="4"/>
      <c r="J888" s="2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2"/>
      <c r="C889" s="3"/>
      <c r="D889" s="4"/>
      <c r="E889" s="5"/>
      <c r="F889" s="5"/>
      <c r="G889" s="2"/>
      <c r="H889" s="6"/>
      <c r="I889" s="4"/>
      <c r="J889" s="2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2"/>
      <c r="C890" s="3"/>
      <c r="D890" s="4"/>
      <c r="E890" s="5"/>
      <c r="F890" s="5"/>
      <c r="G890" s="2"/>
      <c r="H890" s="6"/>
      <c r="I890" s="4"/>
      <c r="J890" s="2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2"/>
      <c r="C891" s="3"/>
      <c r="D891" s="4"/>
      <c r="E891" s="5"/>
      <c r="F891" s="5"/>
      <c r="G891" s="2"/>
      <c r="H891" s="6"/>
      <c r="I891" s="4"/>
      <c r="J891" s="2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2"/>
      <c r="C892" s="3"/>
      <c r="D892" s="4"/>
      <c r="E892" s="5"/>
      <c r="F892" s="5"/>
      <c r="G892" s="2"/>
      <c r="H892" s="6"/>
      <c r="I892" s="4"/>
      <c r="J892" s="2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2"/>
      <c r="C893" s="3"/>
      <c r="D893" s="4"/>
      <c r="E893" s="5"/>
      <c r="F893" s="5"/>
      <c r="G893" s="2"/>
      <c r="H893" s="6"/>
      <c r="I893" s="4"/>
      <c r="J893" s="2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2"/>
      <c r="C894" s="3"/>
      <c r="D894" s="4"/>
      <c r="E894" s="5"/>
      <c r="F894" s="5"/>
      <c r="G894" s="2"/>
      <c r="H894" s="6"/>
      <c r="I894" s="4"/>
      <c r="J894" s="2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2"/>
      <c r="C895" s="3"/>
      <c r="D895" s="4"/>
      <c r="E895" s="5"/>
      <c r="F895" s="5"/>
      <c r="G895" s="2"/>
      <c r="H895" s="6"/>
      <c r="I895" s="4"/>
      <c r="J895" s="2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2"/>
      <c r="C896" s="3"/>
      <c r="D896" s="4"/>
      <c r="E896" s="5"/>
      <c r="F896" s="5"/>
      <c r="G896" s="2"/>
      <c r="H896" s="6"/>
      <c r="I896" s="4"/>
      <c r="J896" s="2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2"/>
      <c r="C897" s="3"/>
      <c r="D897" s="4"/>
      <c r="E897" s="5"/>
      <c r="F897" s="5"/>
      <c r="G897" s="2"/>
      <c r="H897" s="6"/>
      <c r="I897" s="4"/>
      <c r="J897" s="2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2"/>
      <c r="C898" s="3"/>
      <c r="D898" s="4"/>
      <c r="E898" s="5"/>
      <c r="F898" s="5"/>
      <c r="G898" s="2"/>
      <c r="H898" s="6"/>
      <c r="I898" s="4"/>
      <c r="J898" s="2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2"/>
      <c r="C899" s="3"/>
      <c r="D899" s="4"/>
      <c r="E899" s="5"/>
      <c r="F899" s="5"/>
      <c r="G899" s="2"/>
      <c r="H899" s="6"/>
      <c r="I899" s="4"/>
      <c r="J899" s="2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2"/>
      <c r="C900" s="3"/>
      <c r="D900" s="4"/>
      <c r="E900" s="5"/>
      <c r="F900" s="5"/>
      <c r="G900" s="2"/>
      <c r="H900" s="6"/>
      <c r="I900" s="4"/>
      <c r="J900" s="2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2"/>
      <c r="C901" s="3"/>
      <c r="D901" s="4"/>
      <c r="E901" s="5"/>
      <c r="F901" s="5"/>
      <c r="G901" s="2"/>
      <c r="H901" s="6"/>
      <c r="I901" s="4"/>
      <c r="J901" s="2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2"/>
      <c r="C902" s="3"/>
      <c r="D902" s="4"/>
      <c r="E902" s="5"/>
      <c r="F902" s="5"/>
      <c r="G902" s="2"/>
      <c r="H902" s="6"/>
      <c r="I902" s="4"/>
      <c r="J902" s="2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2"/>
      <c r="C903" s="3"/>
      <c r="D903" s="4"/>
      <c r="E903" s="5"/>
      <c r="F903" s="5"/>
      <c r="G903" s="2"/>
      <c r="H903" s="6"/>
      <c r="I903" s="4"/>
      <c r="J903" s="2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2"/>
      <c r="C904" s="3"/>
      <c r="D904" s="4"/>
      <c r="E904" s="5"/>
      <c r="F904" s="5"/>
      <c r="G904" s="2"/>
      <c r="H904" s="6"/>
      <c r="I904" s="4"/>
      <c r="J904" s="2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2"/>
      <c r="C905" s="3"/>
      <c r="D905" s="4"/>
      <c r="E905" s="5"/>
      <c r="F905" s="5"/>
      <c r="G905" s="2"/>
      <c r="H905" s="6"/>
      <c r="I905" s="4"/>
      <c r="J905" s="2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2"/>
      <c r="C906" s="3"/>
      <c r="D906" s="4"/>
      <c r="E906" s="5"/>
      <c r="F906" s="5"/>
      <c r="G906" s="2"/>
      <c r="H906" s="6"/>
      <c r="I906" s="4"/>
      <c r="J906" s="2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2"/>
      <c r="C907" s="3"/>
      <c r="D907" s="4"/>
      <c r="E907" s="5"/>
      <c r="F907" s="5"/>
      <c r="G907" s="2"/>
      <c r="H907" s="6"/>
      <c r="I907" s="4"/>
      <c r="J907" s="2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2"/>
      <c r="C908" s="3"/>
      <c r="D908" s="4"/>
      <c r="E908" s="5"/>
      <c r="F908" s="5"/>
      <c r="G908" s="2"/>
      <c r="H908" s="6"/>
      <c r="I908" s="4"/>
      <c r="J908" s="2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2"/>
      <c r="C909" s="3"/>
      <c r="D909" s="4"/>
      <c r="E909" s="5"/>
      <c r="F909" s="5"/>
      <c r="G909" s="2"/>
      <c r="H909" s="6"/>
      <c r="I909" s="4"/>
      <c r="J909" s="2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2"/>
      <c r="C910" s="3"/>
      <c r="D910" s="4"/>
      <c r="E910" s="5"/>
      <c r="F910" s="5"/>
      <c r="G910" s="2"/>
      <c r="H910" s="6"/>
      <c r="I910" s="4"/>
      <c r="J910" s="2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2"/>
      <c r="C911" s="3"/>
      <c r="D911" s="4"/>
      <c r="E911" s="5"/>
      <c r="F911" s="5"/>
      <c r="G911" s="2"/>
      <c r="H911" s="6"/>
      <c r="I911" s="4"/>
      <c r="J911" s="2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2"/>
      <c r="C912" s="3"/>
      <c r="D912" s="4"/>
      <c r="E912" s="5"/>
      <c r="F912" s="5"/>
      <c r="G912" s="2"/>
      <c r="H912" s="6"/>
      <c r="I912" s="4"/>
      <c r="J912" s="2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2"/>
      <c r="C913" s="3"/>
      <c r="D913" s="4"/>
      <c r="E913" s="5"/>
      <c r="F913" s="5"/>
      <c r="G913" s="2"/>
      <c r="H913" s="6"/>
      <c r="I913" s="4"/>
      <c r="J913" s="2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2"/>
      <c r="C914" s="3"/>
      <c r="D914" s="4"/>
      <c r="E914" s="5"/>
      <c r="F914" s="5"/>
      <c r="G914" s="2"/>
      <c r="H914" s="6"/>
      <c r="I914" s="4"/>
      <c r="J914" s="2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2"/>
      <c r="C915" s="3"/>
      <c r="D915" s="4"/>
      <c r="E915" s="5"/>
      <c r="F915" s="5"/>
      <c r="G915" s="2"/>
      <c r="H915" s="6"/>
      <c r="I915" s="4"/>
      <c r="J915" s="2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2"/>
      <c r="C916" s="3"/>
      <c r="D916" s="4"/>
      <c r="E916" s="5"/>
      <c r="F916" s="5"/>
      <c r="G916" s="2"/>
      <c r="H916" s="6"/>
      <c r="I916" s="4"/>
      <c r="J916" s="2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2"/>
      <c r="C917" s="3"/>
      <c r="D917" s="4"/>
      <c r="E917" s="5"/>
      <c r="F917" s="5"/>
      <c r="G917" s="2"/>
      <c r="H917" s="6"/>
      <c r="I917" s="4"/>
      <c r="J917" s="2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2"/>
      <c r="C918" s="3"/>
      <c r="D918" s="4"/>
      <c r="E918" s="5"/>
      <c r="F918" s="5"/>
      <c r="G918" s="2"/>
      <c r="H918" s="6"/>
      <c r="I918" s="4"/>
      <c r="J918" s="2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2"/>
      <c r="C919" s="3"/>
      <c r="D919" s="4"/>
      <c r="E919" s="5"/>
      <c r="F919" s="5"/>
      <c r="G919" s="2"/>
      <c r="H919" s="6"/>
      <c r="I919" s="4"/>
      <c r="J919" s="2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2"/>
      <c r="C920" s="3"/>
      <c r="D920" s="4"/>
      <c r="E920" s="5"/>
      <c r="F920" s="5"/>
      <c r="G920" s="2"/>
      <c r="H920" s="6"/>
      <c r="I920" s="4"/>
      <c r="J920" s="2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2"/>
      <c r="C921" s="3"/>
      <c r="D921" s="4"/>
      <c r="E921" s="5"/>
      <c r="F921" s="5"/>
      <c r="G921" s="2"/>
      <c r="H921" s="6"/>
      <c r="I921" s="4"/>
      <c r="J921" s="2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2"/>
      <c r="C922" s="3"/>
      <c r="D922" s="4"/>
      <c r="E922" s="5"/>
      <c r="F922" s="5"/>
      <c r="G922" s="2"/>
      <c r="H922" s="6"/>
      <c r="I922" s="4"/>
      <c r="J922" s="2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2"/>
      <c r="C923" s="3"/>
      <c r="D923" s="4"/>
      <c r="E923" s="5"/>
      <c r="F923" s="5"/>
      <c r="G923" s="2"/>
      <c r="H923" s="6"/>
      <c r="I923" s="4"/>
      <c r="J923" s="2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2"/>
      <c r="C924" s="3"/>
      <c r="D924" s="4"/>
      <c r="E924" s="5"/>
      <c r="F924" s="5"/>
      <c r="G924" s="2"/>
      <c r="H924" s="6"/>
      <c r="I924" s="4"/>
      <c r="J924" s="2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2"/>
      <c r="C925" s="3"/>
      <c r="D925" s="4"/>
      <c r="E925" s="5"/>
      <c r="F925" s="5"/>
      <c r="G925" s="2"/>
      <c r="H925" s="6"/>
      <c r="I925" s="4"/>
      <c r="J925" s="2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2"/>
      <c r="C926" s="3"/>
      <c r="D926" s="4"/>
      <c r="E926" s="5"/>
      <c r="F926" s="5"/>
      <c r="G926" s="2"/>
      <c r="H926" s="6"/>
      <c r="I926" s="4"/>
      <c r="J926" s="2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2"/>
      <c r="C927" s="3"/>
      <c r="D927" s="4"/>
      <c r="E927" s="5"/>
      <c r="F927" s="5"/>
      <c r="G927" s="2"/>
      <c r="H927" s="6"/>
      <c r="I927" s="4"/>
      <c r="J927" s="2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2"/>
      <c r="C928" s="3"/>
      <c r="D928" s="4"/>
      <c r="E928" s="5"/>
      <c r="F928" s="5"/>
      <c r="G928" s="2"/>
      <c r="H928" s="6"/>
      <c r="I928" s="4"/>
      <c r="J928" s="2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2"/>
      <c r="C929" s="3"/>
      <c r="D929" s="4"/>
      <c r="E929" s="5"/>
      <c r="F929" s="5"/>
      <c r="G929" s="2"/>
      <c r="H929" s="6"/>
      <c r="I929" s="4"/>
      <c r="J929" s="2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2"/>
      <c r="C930" s="3"/>
      <c r="D930" s="4"/>
      <c r="E930" s="5"/>
      <c r="F930" s="5"/>
      <c r="G930" s="2"/>
      <c r="H930" s="6"/>
      <c r="I930" s="4"/>
      <c r="J930" s="2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2"/>
      <c r="C931" s="3"/>
      <c r="D931" s="4"/>
      <c r="E931" s="5"/>
      <c r="F931" s="5"/>
      <c r="G931" s="2"/>
      <c r="H931" s="6"/>
      <c r="I931" s="4"/>
      <c r="J931" s="2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2"/>
      <c r="C932" s="3"/>
      <c r="D932" s="4"/>
      <c r="E932" s="5"/>
      <c r="F932" s="5"/>
      <c r="G932" s="2"/>
      <c r="H932" s="6"/>
      <c r="I932" s="4"/>
      <c r="J932" s="2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2"/>
      <c r="C933" s="3"/>
      <c r="D933" s="4"/>
      <c r="E933" s="5"/>
      <c r="F933" s="5"/>
      <c r="G933" s="2"/>
      <c r="H933" s="6"/>
      <c r="I933" s="4"/>
      <c r="J933" s="2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2"/>
      <c r="C934" s="3"/>
      <c r="D934" s="4"/>
      <c r="E934" s="5"/>
      <c r="F934" s="5"/>
      <c r="G934" s="2"/>
      <c r="H934" s="6"/>
      <c r="I934" s="4"/>
      <c r="J934" s="2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2"/>
      <c r="C935" s="3"/>
      <c r="D935" s="4"/>
      <c r="E935" s="5"/>
      <c r="F935" s="5"/>
      <c r="G935" s="2"/>
      <c r="H935" s="6"/>
      <c r="I935" s="4"/>
      <c r="J935" s="2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2"/>
      <c r="C936" s="3"/>
      <c r="D936" s="4"/>
      <c r="E936" s="5"/>
      <c r="F936" s="5"/>
      <c r="G936" s="2"/>
      <c r="H936" s="6"/>
      <c r="I936" s="4"/>
      <c r="J936" s="2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2"/>
      <c r="C937" s="3"/>
      <c r="D937" s="4"/>
      <c r="E937" s="5"/>
      <c r="F937" s="5"/>
      <c r="G937" s="2"/>
      <c r="H937" s="6"/>
      <c r="I937" s="4"/>
      <c r="J937" s="2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2"/>
      <c r="C938" s="3"/>
      <c r="D938" s="4"/>
      <c r="E938" s="5"/>
      <c r="F938" s="5"/>
      <c r="G938" s="2"/>
      <c r="H938" s="6"/>
      <c r="I938" s="4"/>
      <c r="J938" s="2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2"/>
      <c r="C939" s="3"/>
      <c r="D939" s="4"/>
      <c r="E939" s="5"/>
      <c r="F939" s="5"/>
      <c r="G939" s="2"/>
      <c r="H939" s="6"/>
      <c r="I939" s="4"/>
      <c r="J939" s="2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2"/>
      <c r="C940" s="3"/>
      <c r="D940" s="4"/>
      <c r="E940" s="5"/>
      <c r="F940" s="5"/>
      <c r="G940" s="2"/>
      <c r="H940" s="6"/>
      <c r="I940" s="4"/>
      <c r="J940" s="2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2"/>
      <c r="C941" s="3"/>
      <c r="D941" s="4"/>
      <c r="E941" s="5"/>
      <c r="F941" s="5"/>
      <c r="G941" s="2"/>
      <c r="H941" s="6"/>
      <c r="I941" s="4"/>
      <c r="J941" s="2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2"/>
      <c r="C942" s="3"/>
      <c r="D942" s="4"/>
      <c r="E942" s="5"/>
      <c r="F942" s="5"/>
      <c r="G942" s="2"/>
      <c r="H942" s="6"/>
      <c r="I942" s="4"/>
      <c r="J942" s="2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2"/>
      <c r="C943" s="3"/>
      <c r="D943" s="4"/>
      <c r="E943" s="5"/>
      <c r="F943" s="5"/>
      <c r="G943" s="2"/>
      <c r="H943" s="6"/>
      <c r="I943" s="4"/>
      <c r="J943" s="2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2"/>
      <c r="C944" s="3"/>
      <c r="D944" s="4"/>
      <c r="E944" s="5"/>
      <c r="F944" s="5"/>
      <c r="G944" s="2"/>
      <c r="H944" s="6"/>
      <c r="I944" s="4"/>
      <c r="J944" s="2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2"/>
      <c r="C945" s="3"/>
      <c r="D945" s="4"/>
      <c r="E945" s="5"/>
      <c r="F945" s="5"/>
      <c r="G945" s="2"/>
      <c r="H945" s="6"/>
      <c r="I945" s="4"/>
      <c r="J945" s="2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2"/>
      <c r="C946" s="3"/>
      <c r="D946" s="4"/>
      <c r="E946" s="5"/>
      <c r="F946" s="5"/>
      <c r="G946" s="2"/>
      <c r="H946" s="6"/>
      <c r="I946" s="4"/>
      <c r="J946" s="2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2"/>
      <c r="C947" s="3"/>
      <c r="D947" s="4"/>
      <c r="E947" s="5"/>
      <c r="F947" s="5"/>
      <c r="G947" s="2"/>
      <c r="H947" s="6"/>
      <c r="I947" s="4"/>
      <c r="J947" s="2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2"/>
      <c r="C948" s="3"/>
      <c r="D948" s="4"/>
      <c r="E948" s="5"/>
      <c r="F948" s="5"/>
      <c r="G948" s="2"/>
      <c r="H948" s="6"/>
      <c r="I948" s="4"/>
      <c r="J948" s="2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2"/>
      <c r="C949" s="3"/>
      <c r="D949" s="4"/>
      <c r="E949" s="5"/>
      <c r="F949" s="5"/>
      <c r="G949" s="2"/>
      <c r="H949" s="6"/>
      <c r="I949" s="4"/>
      <c r="J949" s="2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2"/>
      <c r="C950" s="3"/>
      <c r="D950" s="4"/>
      <c r="E950" s="5"/>
      <c r="F950" s="5"/>
      <c r="G950" s="2"/>
      <c r="H950" s="6"/>
      <c r="I950" s="4"/>
      <c r="J950" s="2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2"/>
      <c r="C951" s="3"/>
      <c r="D951" s="4"/>
      <c r="E951" s="5"/>
      <c r="F951" s="5"/>
      <c r="G951" s="2"/>
      <c r="H951" s="6"/>
      <c r="I951" s="4"/>
      <c r="J951" s="2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2"/>
      <c r="C952" s="3"/>
      <c r="D952" s="4"/>
      <c r="E952" s="5"/>
      <c r="F952" s="5"/>
      <c r="G952" s="2"/>
      <c r="H952" s="6"/>
      <c r="I952" s="4"/>
      <c r="J952" s="2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2"/>
      <c r="C953" s="3"/>
      <c r="D953" s="4"/>
      <c r="E953" s="5"/>
      <c r="F953" s="5"/>
      <c r="G953" s="2"/>
      <c r="H953" s="6"/>
      <c r="I953" s="4"/>
      <c r="J953" s="2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2"/>
      <c r="C954" s="3"/>
      <c r="D954" s="4"/>
      <c r="E954" s="5"/>
      <c r="F954" s="5"/>
      <c r="G954" s="2"/>
      <c r="H954" s="6"/>
      <c r="I954" s="4"/>
      <c r="J954" s="2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2"/>
      <c r="C955" s="3"/>
      <c r="D955" s="4"/>
      <c r="E955" s="5"/>
      <c r="F955" s="5"/>
      <c r="G955" s="2"/>
      <c r="H955" s="6"/>
      <c r="I955" s="4"/>
      <c r="J955" s="2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2"/>
      <c r="C956" s="3"/>
      <c r="D956" s="4"/>
      <c r="E956" s="5"/>
      <c r="F956" s="5"/>
      <c r="G956" s="2"/>
      <c r="H956" s="6"/>
      <c r="I956" s="4"/>
      <c r="J956" s="2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2"/>
      <c r="C957" s="3"/>
      <c r="D957" s="4"/>
      <c r="E957" s="5"/>
      <c r="F957" s="5"/>
      <c r="G957" s="2"/>
      <c r="H957" s="6"/>
      <c r="I957" s="4"/>
      <c r="J957" s="2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2"/>
      <c r="C958" s="3"/>
      <c r="D958" s="4"/>
      <c r="E958" s="5"/>
      <c r="F958" s="5"/>
      <c r="G958" s="2"/>
      <c r="H958" s="6"/>
      <c r="I958" s="4"/>
      <c r="J958" s="2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2"/>
      <c r="C959" s="3"/>
      <c r="D959" s="4"/>
      <c r="E959" s="5"/>
      <c r="F959" s="5"/>
      <c r="G959" s="2"/>
      <c r="H959" s="6"/>
      <c r="I959" s="4"/>
      <c r="J959" s="2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2"/>
      <c r="C960" s="3"/>
      <c r="D960" s="4"/>
      <c r="E960" s="5"/>
      <c r="F960" s="5"/>
      <c r="G960" s="2"/>
      <c r="H960" s="6"/>
      <c r="I960" s="4"/>
      <c r="J960" s="2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2"/>
      <c r="C961" s="3"/>
      <c r="D961" s="4"/>
      <c r="E961" s="5"/>
      <c r="F961" s="5"/>
      <c r="G961" s="2"/>
      <c r="H961" s="6"/>
      <c r="I961" s="4"/>
      <c r="J961" s="2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2"/>
      <c r="C962" s="3"/>
      <c r="D962" s="4"/>
      <c r="E962" s="5"/>
      <c r="F962" s="5"/>
      <c r="G962" s="2"/>
      <c r="H962" s="6"/>
      <c r="I962" s="4"/>
      <c r="J962" s="2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2"/>
      <c r="C963" s="3"/>
      <c r="D963" s="4"/>
      <c r="E963" s="5"/>
      <c r="F963" s="5"/>
      <c r="G963" s="2"/>
      <c r="H963" s="6"/>
      <c r="I963" s="4"/>
      <c r="J963" s="2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2"/>
      <c r="C964" s="3"/>
      <c r="D964" s="4"/>
      <c r="E964" s="5"/>
      <c r="F964" s="5"/>
      <c r="G964" s="2"/>
      <c r="H964" s="6"/>
      <c r="I964" s="4"/>
      <c r="J964" s="2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2"/>
      <c r="C965" s="3"/>
      <c r="D965" s="4"/>
      <c r="E965" s="5"/>
      <c r="F965" s="5"/>
      <c r="G965" s="2"/>
      <c r="H965" s="6"/>
      <c r="I965" s="4"/>
      <c r="J965" s="2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2"/>
      <c r="C966" s="3"/>
      <c r="D966" s="4"/>
      <c r="E966" s="5"/>
      <c r="F966" s="5"/>
      <c r="G966" s="2"/>
      <c r="H966" s="6"/>
      <c r="I966" s="4"/>
      <c r="J966" s="2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2"/>
      <c r="C967" s="3"/>
      <c r="D967" s="4"/>
      <c r="E967" s="5"/>
      <c r="F967" s="5"/>
      <c r="G967" s="2"/>
      <c r="H967" s="6"/>
      <c r="I967" s="4"/>
      <c r="J967" s="2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2"/>
      <c r="C968" s="3"/>
      <c r="D968" s="4"/>
      <c r="E968" s="5"/>
      <c r="F968" s="5"/>
      <c r="G968" s="2"/>
      <c r="H968" s="6"/>
      <c r="I968" s="4"/>
      <c r="J968" s="2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2"/>
      <c r="C969" s="3"/>
      <c r="D969" s="4"/>
      <c r="E969" s="5"/>
      <c r="F969" s="5"/>
      <c r="G969" s="2"/>
      <c r="H969" s="6"/>
      <c r="I969" s="4"/>
      <c r="J969" s="2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2"/>
      <c r="C970" s="3"/>
      <c r="D970" s="4"/>
      <c r="E970" s="5"/>
      <c r="F970" s="5"/>
      <c r="G970" s="2"/>
      <c r="H970" s="6"/>
      <c r="I970" s="4"/>
      <c r="J970" s="2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2"/>
      <c r="C971" s="3"/>
      <c r="D971" s="4"/>
      <c r="E971" s="5"/>
      <c r="F971" s="5"/>
      <c r="G971" s="2"/>
      <c r="H971" s="6"/>
      <c r="I971" s="4"/>
      <c r="J971" s="2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2"/>
      <c r="C972" s="3"/>
      <c r="D972" s="4"/>
      <c r="E972" s="5"/>
      <c r="F972" s="5"/>
      <c r="G972" s="2"/>
      <c r="H972" s="6"/>
      <c r="I972" s="4"/>
      <c r="J972" s="2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2"/>
      <c r="C973" s="3"/>
      <c r="D973" s="4"/>
      <c r="E973" s="5"/>
      <c r="F973" s="5"/>
      <c r="G973" s="2"/>
      <c r="H973" s="6"/>
      <c r="I973" s="4"/>
      <c r="J973" s="2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2"/>
      <c r="C974" s="3"/>
      <c r="D974" s="4"/>
      <c r="E974" s="5"/>
      <c r="F974" s="5"/>
      <c r="G974" s="2"/>
      <c r="H974" s="6"/>
      <c r="I974" s="4"/>
      <c r="J974" s="2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2"/>
      <c r="C975" s="3"/>
      <c r="D975" s="4"/>
      <c r="E975" s="5"/>
      <c r="F975" s="5"/>
      <c r="G975" s="2"/>
      <c r="H975" s="6"/>
      <c r="I975" s="4"/>
      <c r="J975" s="2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2"/>
      <c r="C976" s="3"/>
      <c r="D976" s="4"/>
      <c r="E976" s="5"/>
      <c r="F976" s="5"/>
      <c r="G976" s="2"/>
      <c r="H976" s="6"/>
      <c r="I976" s="4"/>
      <c r="J976" s="2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2"/>
      <c r="C977" s="3"/>
      <c r="D977" s="4"/>
      <c r="E977" s="5"/>
      <c r="F977" s="5"/>
      <c r="G977" s="2"/>
      <c r="H977" s="6"/>
      <c r="I977" s="4"/>
      <c r="J977" s="2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2"/>
      <c r="C978" s="3"/>
      <c r="D978" s="4"/>
      <c r="E978" s="5"/>
      <c r="F978" s="5"/>
      <c r="G978" s="2"/>
      <c r="H978" s="6"/>
      <c r="I978" s="4"/>
      <c r="J978" s="2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2"/>
      <c r="C979" s="3"/>
      <c r="D979" s="4"/>
      <c r="E979" s="5"/>
      <c r="F979" s="5"/>
      <c r="G979" s="2"/>
      <c r="H979" s="6"/>
      <c r="I979" s="4"/>
      <c r="J979" s="2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2"/>
      <c r="C980" s="3"/>
      <c r="D980" s="4"/>
      <c r="E980" s="5"/>
      <c r="F980" s="5"/>
      <c r="G980" s="2"/>
      <c r="H980" s="6"/>
      <c r="I980" s="4"/>
      <c r="J980" s="2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2"/>
      <c r="C981" s="3"/>
      <c r="D981" s="4"/>
      <c r="E981" s="5"/>
      <c r="F981" s="5"/>
      <c r="G981" s="2"/>
      <c r="H981" s="6"/>
      <c r="I981" s="4"/>
      <c r="J981" s="2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2"/>
      <c r="C982" s="3"/>
      <c r="D982" s="4"/>
      <c r="E982" s="5"/>
      <c r="F982" s="5"/>
      <c r="G982" s="2"/>
      <c r="H982" s="6"/>
      <c r="I982" s="4"/>
      <c r="J982" s="2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2"/>
      <c r="C983" s="3"/>
      <c r="D983" s="4"/>
      <c r="E983" s="5"/>
      <c r="F983" s="5"/>
      <c r="G983" s="2"/>
      <c r="H983" s="6"/>
      <c r="I983" s="4"/>
      <c r="J983" s="2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2"/>
      <c r="C984" s="3"/>
      <c r="D984" s="4"/>
      <c r="E984" s="5"/>
      <c r="F984" s="5"/>
      <c r="G984" s="2"/>
      <c r="H984" s="6"/>
      <c r="I984" s="4"/>
      <c r="J984" s="2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2"/>
      <c r="C985" s="3"/>
      <c r="D985" s="4"/>
      <c r="E985" s="5"/>
      <c r="F985" s="5"/>
      <c r="G985" s="2"/>
      <c r="H985" s="6"/>
      <c r="I985" s="4"/>
      <c r="J985" s="2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2"/>
      <c r="C986" s="3"/>
      <c r="D986" s="4"/>
      <c r="E986" s="5"/>
      <c r="F986" s="5"/>
      <c r="G986" s="2"/>
      <c r="H986" s="6"/>
      <c r="I986" s="4"/>
      <c r="J986" s="2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2"/>
      <c r="C987" s="3"/>
      <c r="D987" s="4"/>
      <c r="E987" s="5"/>
      <c r="F987" s="5"/>
      <c r="G987" s="2"/>
      <c r="H987" s="6"/>
      <c r="I987" s="4"/>
      <c r="J987" s="2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2"/>
      <c r="C988" s="3"/>
      <c r="D988" s="4"/>
      <c r="E988" s="5"/>
      <c r="F988" s="5"/>
      <c r="G988" s="2"/>
      <c r="H988" s="6"/>
      <c r="I988" s="4"/>
      <c r="J988" s="2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2"/>
      <c r="C989" s="3"/>
      <c r="D989" s="4"/>
      <c r="E989" s="5"/>
      <c r="F989" s="5"/>
      <c r="G989" s="2"/>
      <c r="H989" s="6"/>
      <c r="I989" s="4"/>
      <c r="J989" s="2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2"/>
      <c r="C990" s="3"/>
      <c r="D990" s="4"/>
      <c r="E990" s="5"/>
      <c r="F990" s="5"/>
      <c r="G990" s="2"/>
      <c r="H990" s="6"/>
      <c r="I990" s="4"/>
      <c r="J990" s="2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2"/>
      <c r="C991" s="3"/>
      <c r="D991" s="4"/>
      <c r="E991" s="5"/>
      <c r="F991" s="5"/>
      <c r="G991" s="2"/>
      <c r="H991" s="6"/>
      <c r="I991" s="4"/>
      <c r="J991" s="2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2"/>
      <c r="C992" s="3"/>
      <c r="D992" s="4"/>
      <c r="E992" s="5"/>
      <c r="F992" s="5"/>
      <c r="G992" s="2"/>
      <c r="H992" s="6"/>
      <c r="I992" s="4"/>
      <c r="J992" s="2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2"/>
      <c r="C993" s="3"/>
      <c r="D993" s="4"/>
      <c r="E993" s="5"/>
      <c r="F993" s="5"/>
      <c r="G993" s="2"/>
      <c r="H993" s="6"/>
      <c r="I993" s="4"/>
      <c r="J993" s="2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2"/>
      <c r="C994" s="3"/>
      <c r="D994" s="4"/>
      <c r="E994" s="5"/>
      <c r="F994" s="5"/>
      <c r="G994" s="2"/>
      <c r="H994" s="6"/>
      <c r="I994" s="4"/>
      <c r="J994" s="2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2"/>
      <c r="C995" s="3"/>
      <c r="D995" s="4"/>
      <c r="E995" s="5"/>
      <c r="F995" s="5"/>
      <c r="G995" s="2"/>
      <c r="H995" s="6"/>
      <c r="I995" s="4"/>
      <c r="J995" s="2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2"/>
      <c r="C996" s="3"/>
      <c r="D996" s="4"/>
      <c r="E996" s="5"/>
      <c r="F996" s="5"/>
      <c r="G996" s="2"/>
      <c r="H996" s="6"/>
      <c r="I996" s="4"/>
      <c r="J996" s="2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2"/>
      <c r="C997" s="3"/>
      <c r="D997" s="4"/>
      <c r="E997" s="5"/>
      <c r="F997" s="5"/>
      <c r="G997" s="2"/>
      <c r="H997" s="6"/>
      <c r="I997" s="4"/>
      <c r="J997" s="2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2"/>
      <c r="C998" s="3"/>
      <c r="D998" s="4"/>
      <c r="E998" s="5"/>
      <c r="F998" s="5"/>
      <c r="G998" s="2"/>
      <c r="H998" s="6"/>
      <c r="I998" s="4"/>
      <c r="J998" s="2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2"/>
      <c r="C999" s="3"/>
      <c r="D999" s="4"/>
      <c r="E999" s="5"/>
      <c r="F999" s="5"/>
      <c r="G999" s="2"/>
      <c r="H999" s="6"/>
      <c r="I999" s="4"/>
      <c r="J999" s="2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2"/>
      <c r="C1000" s="3"/>
      <c r="D1000" s="4"/>
      <c r="E1000" s="5"/>
      <c r="F1000" s="5"/>
      <c r="G1000" s="2"/>
      <c r="H1000" s="6"/>
      <c r="I1000" s="4"/>
      <c r="J1000" s="2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2"/>
      <c r="C1001" s="3"/>
      <c r="D1001" s="4"/>
      <c r="E1001" s="5"/>
      <c r="F1001" s="5"/>
      <c r="G1001" s="2"/>
      <c r="H1001" s="6"/>
      <c r="I1001" s="4"/>
      <c r="J1001" s="2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2"/>
      <c r="C1002" s="3"/>
      <c r="D1002" s="4"/>
      <c r="E1002" s="5"/>
      <c r="F1002" s="5"/>
      <c r="G1002" s="2"/>
      <c r="H1002" s="6"/>
      <c r="I1002" s="4"/>
      <c r="J1002" s="2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2"/>
      <c r="C1003" s="3"/>
      <c r="D1003" s="4"/>
      <c r="E1003" s="5"/>
      <c r="F1003" s="5"/>
      <c r="G1003" s="2"/>
      <c r="H1003" s="6"/>
      <c r="I1003" s="4"/>
      <c r="J1003" s="2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2"/>
      <c r="C1004" s="3"/>
      <c r="D1004" s="4"/>
      <c r="E1004" s="5"/>
      <c r="F1004" s="5"/>
      <c r="G1004" s="2"/>
      <c r="H1004" s="6"/>
      <c r="I1004" s="4"/>
      <c r="J1004" s="2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2"/>
      <c r="C1005" s="3"/>
      <c r="D1005" s="4"/>
      <c r="E1005" s="5"/>
      <c r="F1005" s="5"/>
      <c r="G1005" s="2"/>
      <c r="H1005" s="6"/>
      <c r="I1005" s="4"/>
      <c r="J1005" s="2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2"/>
      <c r="C1006" s="3"/>
      <c r="D1006" s="4"/>
      <c r="E1006" s="5"/>
      <c r="F1006" s="5"/>
      <c r="G1006" s="2"/>
      <c r="H1006" s="6"/>
      <c r="I1006" s="4"/>
      <c r="J1006" s="2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2"/>
      <c r="C1007" s="3"/>
      <c r="D1007" s="4"/>
      <c r="E1007" s="5"/>
      <c r="F1007" s="5"/>
      <c r="G1007" s="2"/>
      <c r="H1007" s="6"/>
      <c r="I1007" s="4"/>
      <c r="J1007" s="2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2"/>
      <c r="C1008" s="3"/>
      <c r="D1008" s="4"/>
      <c r="E1008" s="5"/>
      <c r="F1008" s="5"/>
      <c r="G1008" s="2"/>
      <c r="H1008" s="6"/>
      <c r="I1008" s="4"/>
      <c r="J1008" s="2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2"/>
      <c r="C1009" s="3"/>
      <c r="D1009" s="4"/>
      <c r="E1009" s="5"/>
      <c r="F1009" s="5"/>
      <c r="G1009" s="2"/>
      <c r="H1009" s="6"/>
      <c r="I1009" s="4"/>
      <c r="J1009" s="2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2"/>
      <c r="C1010" s="3"/>
      <c r="D1010" s="4"/>
      <c r="E1010" s="5"/>
      <c r="F1010" s="5"/>
      <c r="G1010" s="2"/>
      <c r="H1010" s="6"/>
      <c r="I1010" s="4"/>
      <c r="J1010" s="2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2"/>
      <c r="C1011" s="3"/>
      <c r="D1011" s="4"/>
      <c r="E1011" s="5"/>
      <c r="F1011" s="5"/>
      <c r="G1011" s="2"/>
      <c r="H1011" s="6"/>
      <c r="I1011" s="4"/>
      <c r="J1011" s="2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2"/>
      <c r="C1012" s="3"/>
      <c r="D1012" s="4"/>
      <c r="E1012" s="5"/>
      <c r="F1012" s="5"/>
      <c r="G1012" s="2"/>
      <c r="H1012" s="6"/>
      <c r="I1012" s="4"/>
      <c r="J1012" s="2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2"/>
      <c r="C1013" s="3"/>
      <c r="D1013" s="4"/>
      <c r="E1013" s="5"/>
      <c r="F1013" s="5"/>
      <c r="G1013" s="2"/>
      <c r="H1013" s="6"/>
      <c r="I1013" s="4"/>
      <c r="J1013" s="2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2"/>
      <c r="C1014" s="3"/>
      <c r="D1014" s="4"/>
      <c r="E1014" s="5"/>
      <c r="F1014" s="5"/>
      <c r="G1014" s="2"/>
      <c r="H1014" s="6"/>
      <c r="I1014" s="4"/>
      <c r="J1014" s="2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2"/>
      <c r="C1015" s="3"/>
      <c r="D1015" s="4"/>
      <c r="E1015" s="5"/>
      <c r="F1015" s="5"/>
      <c r="G1015" s="2"/>
      <c r="H1015" s="6"/>
      <c r="I1015" s="4"/>
      <c r="J1015" s="2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2"/>
      <c r="C1016" s="3"/>
      <c r="D1016" s="4"/>
      <c r="E1016" s="5"/>
      <c r="F1016" s="5"/>
      <c r="G1016" s="2"/>
      <c r="H1016" s="6"/>
      <c r="I1016" s="4"/>
      <c r="J1016" s="2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2"/>
      <c r="C1017" s="3"/>
      <c r="D1017" s="4"/>
      <c r="E1017" s="5"/>
      <c r="F1017" s="5"/>
      <c r="G1017" s="2"/>
      <c r="H1017" s="6"/>
      <c r="I1017" s="4"/>
      <c r="J1017" s="2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2"/>
      <c r="C1018" s="3"/>
      <c r="D1018" s="4"/>
      <c r="E1018" s="5"/>
      <c r="F1018" s="5"/>
      <c r="G1018" s="2"/>
      <c r="H1018" s="6"/>
      <c r="I1018" s="4"/>
      <c r="J1018" s="2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2"/>
      <c r="C1019" s="3"/>
      <c r="D1019" s="4"/>
      <c r="E1019" s="5"/>
      <c r="F1019" s="5"/>
      <c r="G1019" s="2"/>
      <c r="H1019" s="6"/>
      <c r="I1019" s="4"/>
      <c r="J1019" s="2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2"/>
      <c r="C1020" s="3"/>
      <c r="D1020" s="4"/>
      <c r="E1020" s="5"/>
      <c r="F1020" s="5"/>
      <c r="G1020" s="2"/>
      <c r="H1020" s="6"/>
      <c r="I1020" s="4"/>
      <c r="J1020" s="2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2"/>
      <c r="C1021" s="3"/>
      <c r="D1021" s="4"/>
      <c r="E1021" s="5"/>
      <c r="F1021" s="5"/>
      <c r="G1021" s="2"/>
      <c r="H1021" s="6"/>
      <c r="I1021" s="4"/>
      <c r="J1021" s="2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2"/>
      <c r="C1022" s="3"/>
      <c r="D1022" s="4"/>
      <c r="E1022" s="5"/>
      <c r="F1022" s="5"/>
      <c r="G1022" s="2"/>
      <c r="H1022" s="6"/>
      <c r="I1022" s="4"/>
      <c r="J1022" s="2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2"/>
      <c r="C1023" s="3"/>
      <c r="D1023" s="4"/>
      <c r="E1023" s="5"/>
      <c r="F1023" s="5"/>
      <c r="G1023" s="2"/>
      <c r="H1023" s="6"/>
      <c r="I1023" s="4"/>
      <c r="J1023" s="2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/>
      <c r="B1024" s="2"/>
      <c r="C1024" s="3"/>
      <c r="D1024" s="4"/>
      <c r="E1024" s="5"/>
      <c r="F1024" s="5"/>
      <c r="G1024" s="2"/>
      <c r="H1024" s="6"/>
      <c r="I1024" s="4"/>
      <c r="J1024" s="2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5"/>
      <c r="B1025" s="2"/>
      <c r="C1025" s="3"/>
      <c r="D1025" s="4"/>
      <c r="E1025" s="5"/>
      <c r="F1025" s="5"/>
      <c r="G1025" s="2"/>
      <c r="H1025" s="6"/>
      <c r="I1025" s="4"/>
      <c r="J1025" s="2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5"/>
      <c r="B1026" s="2"/>
      <c r="C1026" s="3"/>
      <c r="D1026" s="4"/>
      <c r="E1026" s="5"/>
      <c r="F1026" s="5"/>
      <c r="G1026" s="2"/>
      <c r="H1026" s="6"/>
      <c r="I1026" s="4"/>
      <c r="J1026" s="2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5"/>
      <c r="B1027" s="2"/>
      <c r="C1027" s="3"/>
      <c r="D1027" s="4"/>
      <c r="E1027" s="5"/>
      <c r="F1027" s="5"/>
      <c r="G1027" s="2"/>
      <c r="H1027" s="6"/>
      <c r="I1027" s="4"/>
      <c r="J1027" s="2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5"/>
      <c r="B1028" s="2"/>
      <c r="C1028" s="3"/>
      <c r="D1028" s="4"/>
      <c r="E1028" s="5"/>
      <c r="F1028" s="5"/>
      <c r="G1028" s="2"/>
      <c r="H1028" s="6"/>
      <c r="I1028" s="4"/>
      <c r="J1028" s="2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5"/>
      <c r="B1029" s="2"/>
      <c r="C1029" s="3"/>
      <c r="D1029" s="4"/>
      <c r="E1029" s="5"/>
      <c r="F1029" s="5"/>
      <c r="G1029" s="2"/>
      <c r="H1029" s="6"/>
      <c r="I1029" s="4"/>
      <c r="J1029" s="2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5"/>
      <c r="B1030" s="2"/>
      <c r="C1030" s="3"/>
      <c r="D1030" s="4"/>
      <c r="E1030" s="5"/>
      <c r="F1030" s="5"/>
      <c r="G1030" s="2"/>
      <c r="H1030" s="6"/>
      <c r="I1030" s="4"/>
      <c r="J1030" s="2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5"/>
      <c r="B1031" s="2"/>
      <c r="C1031" s="3"/>
      <c r="D1031" s="4"/>
      <c r="E1031" s="5"/>
      <c r="F1031" s="5"/>
      <c r="G1031" s="2"/>
      <c r="H1031" s="6"/>
      <c r="I1031" s="4"/>
      <c r="J1031" s="2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5"/>
      <c r="B1032" s="2"/>
      <c r="C1032" s="3"/>
      <c r="D1032" s="4"/>
      <c r="E1032" s="5"/>
      <c r="F1032" s="5"/>
      <c r="G1032" s="2"/>
      <c r="H1032" s="6"/>
      <c r="I1032" s="4"/>
      <c r="J1032" s="2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5"/>
      <c r="B1033" s="2"/>
      <c r="C1033" s="3"/>
      <c r="D1033" s="4"/>
      <c r="E1033" s="5"/>
      <c r="F1033" s="5"/>
      <c r="G1033" s="2"/>
      <c r="H1033" s="6"/>
      <c r="I1033" s="4"/>
      <c r="J1033" s="2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5"/>
      <c r="B1034" s="2"/>
      <c r="C1034" s="3"/>
      <c r="D1034" s="4"/>
      <c r="E1034" s="5"/>
      <c r="F1034" s="5"/>
      <c r="G1034" s="2"/>
      <c r="H1034" s="6"/>
      <c r="I1034" s="4"/>
      <c r="J1034" s="2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5"/>
      <c r="B1035" s="2"/>
      <c r="C1035" s="3"/>
      <c r="D1035" s="4"/>
      <c r="E1035" s="5"/>
      <c r="F1035" s="5"/>
      <c r="G1035" s="2"/>
      <c r="H1035" s="6"/>
      <c r="I1035" s="4"/>
      <c r="J1035" s="2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5"/>
      <c r="B1036" s="2"/>
      <c r="C1036" s="3"/>
      <c r="D1036" s="4"/>
      <c r="E1036" s="5"/>
      <c r="F1036" s="5"/>
      <c r="G1036" s="2"/>
      <c r="H1036" s="6"/>
      <c r="I1036" s="4"/>
      <c r="J1036" s="2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5"/>
      <c r="B1037" s="2"/>
      <c r="C1037" s="3"/>
      <c r="D1037" s="4"/>
      <c r="E1037" s="5"/>
      <c r="F1037" s="5"/>
      <c r="G1037" s="2"/>
      <c r="H1037" s="6"/>
      <c r="I1037" s="4"/>
      <c r="J1037" s="2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5"/>
      <c r="B1038" s="2"/>
      <c r="C1038" s="3"/>
      <c r="D1038" s="4"/>
      <c r="E1038" s="5"/>
      <c r="F1038" s="5"/>
      <c r="G1038" s="2"/>
      <c r="H1038" s="6"/>
      <c r="I1038" s="4"/>
      <c r="J1038" s="2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5"/>
      <c r="B1039" s="2"/>
      <c r="C1039" s="3"/>
      <c r="D1039" s="4"/>
      <c r="E1039" s="5"/>
      <c r="F1039" s="5"/>
      <c r="G1039" s="2"/>
      <c r="H1039" s="6"/>
      <c r="I1039" s="4"/>
      <c r="J1039" s="2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5"/>
      <c r="B1040" s="2"/>
      <c r="C1040" s="3"/>
      <c r="D1040" s="4"/>
      <c r="E1040" s="5"/>
      <c r="F1040" s="5"/>
      <c r="G1040" s="2"/>
      <c r="H1040" s="6"/>
      <c r="I1040" s="4"/>
      <c r="J1040" s="2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5"/>
      <c r="B1041" s="2"/>
      <c r="C1041" s="3"/>
      <c r="D1041" s="4"/>
      <c r="E1041" s="5"/>
      <c r="F1041" s="5"/>
      <c r="G1041" s="2"/>
      <c r="H1041" s="6"/>
      <c r="I1041" s="4"/>
      <c r="J1041" s="2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5"/>
      <c r="B1042" s="2"/>
      <c r="C1042" s="3"/>
      <c r="D1042" s="4"/>
      <c r="E1042" s="5"/>
      <c r="F1042" s="5"/>
      <c r="G1042" s="2"/>
      <c r="H1042" s="6"/>
      <c r="I1042" s="4"/>
      <c r="J1042" s="2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5"/>
      <c r="B1043" s="2"/>
      <c r="C1043" s="3"/>
      <c r="D1043" s="4"/>
      <c r="E1043" s="5"/>
      <c r="F1043" s="5"/>
      <c r="G1043" s="2"/>
      <c r="H1043" s="6"/>
      <c r="I1043" s="4"/>
      <c r="J1043" s="2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5"/>
      <c r="B1044" s="2"/>
      <c r="C1044" s="3"/>
      <c r="D1044" s="4"/>
      <c r="E1044" s="5"/>
      <c r="F1044" s="5"/>
      <c r="G1044" s="2"/>
      <c r="H1044" s="6"/>
      <c r="I1044" s="4"/>
      <c r="J1044" s="2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5"/>
      <c r="B1045" s="2"/>
      <c r="C1045" s="3"/>
      <c r="D1045" s="4"/>
      <c r="E1045" s="5"/>
      <c r="F1045" s="5"/>
      <c r="G1045" s="2"/>
      <c r="H1045" s="6"/>
      <c r="I1045" s="4"/>
      <c r="J1045" s="2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5"/>
      <c r="B1046" s="2"/>
      <c r="C1046" s="3"/>
      <c r="D1046" s="4"/>
      <c r="E1046" s="5"/>
      <c r="F1046" s="5"/>
      <c r="G1046" s="2"/>
      <c r="H1046" s="6"/>
      <c r="I1046" s="4"/>
      <c r="J1046" s="2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5"/>
      <c r="B1047" s="2"/>
      <c r="C1047" s="3"/>
      <c r="D1047" s="4"/>
      <c r="E1047" s="5"/>
      <c r="F1047" s="5"/>
      <c r="G1047" s="2"/>
      <c r="H1047" s="6"/>
      <c r="I1047" s="4"/>
      <c r="J1047" s="2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5"/>
      <c r="B1048" s="2"/>
      <c r="C1048" s="3"/>
      <c r="D1048" s="4"/>
      <c r="E1048" s="5"/>
      <c r="F1048" s="5"/>
      <c r="G1048" s="2"/>
      <c r="H1048" s="6"/>
      <c r="I1048" s="4"/>
      <c r="J1048" s="2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5"/>
      <c r="B1049" s="2"/>
      <c r="C1049" s="3"/>
      <c r="D1049" s="4"/>
      <c r="E1049" s="5"/>
      <c r="F1049" s="5"/>
      <c r="G1049" s="2"/>
      <c r="H1049" s="6"/>
      <c r="I1049" s="4"/>
      <c r="J1049" s="2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5"/>
      <c r="B1050" s="2"/>
      <c r="C1050" s="3"/>
      <c r="D1050" s="4"/>
      <c r="E1050" s="5"/>
      <c r="F1050" s="5"/>
      <c r="G1050" s="2"/>
      <c r="H1050" s="6"/>
      <c r="I1050" s="4"/>
      <c r="J1050" s="2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5"/>
      <c r="B1051" s="2"/>
      <c r="C1051" s="3"/>
      <c r="D1051" s="4"/>
      <c r="E1051" s="5"/>
      <c r="F1051" s="5"/>
      <c r="G1051" s="2"/>
      <c r="H1051" s="6"/>
      <c r="I1051" s="4"/>
      <c r="J1051" s="2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5"/>
      <c r="B1052" s="2"/>
      <c r="C1052" s="3"/>
      <c r="D1052" s="4"/>
      <c r="E1052" s="5"/>
      <c r="F1052" s="5"/>
      <c r="G1052" s="2"/>
      <c r="H1052" s="6"/>
      <c r="I1052" s="4"/>
      <c r="J1052" s="2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5"/>
      <c r="B1053" s="2"/>
      <c r="C1053" s="3"/>
      <c r="D1053" s="4"/>
      <c r="E1053" s="5"/>
      <c r="F1053" s="5"/>
      <c r="G1053" s="2"/>
      <c r="H1053" s="6"/>
      <c r="I1053" s="4"/>
      <c r="J1053" s="2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5"/>
      <c r="B1054" s="2"/>
      <c r="C1054" s="3"/>
      <c r="D1054" s="4"/>
      <c r="E1054" s="5"/>
      <c r="F1054" s="5"/>
      <c r="G1054" s="2"/>
      <c r="H1054" s="6"/>
      <c r="I1054" s="4"/>
      <c r="J1054" s="2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5"/>
      <c r="B1055" s="2"/>
      <c r="C1055" s="3"/>
      <c r="D1055" s="4"/>
      <c r="E1055" s="5"/>
      <c r="F1055" s="5"/>
      <c r="G1055" s="2"/>
      <c r="H1055" s="6"/>
      <c r="I1055" s="4"/>
      <c r="J1055" s="2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5"/>
      <c r="B1056" s="2"/>
      <c r="C1056" s="3"/>
      <c r="D1056" s="4"/>
      <c r="E1056" s="5"/>
      <c r="F1056" s="5"/>
      <c r="G1056" s="2"/>
      <c r="H1056" s="6"/>
      <c r="I1056" s="4"/>
      <c r="J1056" s="2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5"/>
      <c r="B1057" s="2"/>
      <c r="C1057" s="3"/>
      <c r="D1057" s="4"/>
      <c r="E1057" s="5"/>
      <c r="F1057" s="5"/>
      <c r="G1057" s="2"/>
      <c r="H1057" s="6"/>
      <c r="I1057" s="4"/>
      <c r="J1057" s="2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5"/>
      <c r="B1058" s="2"/>
      <c r="C1058" s="3"/>
      <c r="D1058" s="4"/>
      <c r="E1058" s="5"/>
      <c r="F1058" s="5"/>
      <c r="G1058" s="2"/>
      <c r="H1058" s="6"/>
      <c r="I1058" s="4"/>
      <c r="J1058" s="2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5"/>
      <c r="B1059" s="2"/>
      <c r="C1059" s="3"/>
      <c r="D1059" s="4"/>
      <c r="E1059" s="5"/>
      <c r="F1059" s="5"/>
      <c r="G1059" s="2"/>
      <c r="H1059" s="6"/>
      <c r="I1059" s="4"/>
      <c r="J1059" s="2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5"/>
      <c r="B1060" s="2"/>
      <c r="C1060" s="3"/>
      <c r="D1060" s="4"/>
      <c r="E1060" s="5"/>
      <c r="F1060" s="5"/>
      <c r="G1060" s="2"/>
      <c r="H1060" s="6"/>
      <c r="I1060" s="4"/>
      <c r="J1060" s="2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5"/>
      <c r="B1061" s="2"/>
      <c r="C1061" s="3"/>
      <c r="D1061" s="4"/>
      <c r="E1061" s="5"/>
      <c r="F1061" s="5"/>
      <c r="G1061" s="2"/>
      <c r="H1061" s="6"/>
      <c r="I1061" s="4"/>
      <c r="J1061" s="2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5"/>
      <c r="B1062" s="2"/>
      <c r="C1062" s="3"/>
      <c r="D1062" s="4"/>
      <c r="E1062" s="5"/>
      <c r="F1062" s="5"/>
      <c r="G1062" s="2"/>
      <c r="H1062" s="6"/>
      <c r="I1062" s="4"/>
      <c r="J1062" s="2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>
      <c r="A1063" s="5"/>
      <c r="B1063" s="2"/>
      <c r="C1063" s="3"/>
      <c r="D1063" s="4"/>
      <c r="E1063" s="5"/>
      <c r="F1063" s="5"/>
      <c r="G1063" s="2"/>
      <c r="H1063" s="6"/>
      <c r="I1063" s="4"/>
      <c r="J1063" s="2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>
      <c r="A1064" s="5"/>
      <c r="B1064" s="2"/>
      <c r="C1064" s="3"/>
      <c r="D1064" s="4"/>
      <c r="E1064" s="5"/>
      <c r="F1064" s="5"/>
      <c r="G1064" s="2"/>
      <c r="H1064" s="6"/>
      <c r="I1064" s="4"/>
      <c r="J1064" s="2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>
      <c r="A1065" s="5"/>
      <c r="B1065" s="2"/>
      <c r="C1065" s="3"/>
      <c r="D1065" s="4"/>
      <c r="E1065" s="5"/>
      <c r="F1065" s="5"/>
      <c r="G1065" s="2"/>
      <c r="H1065" s="6"/>
      <c r="I1065" s="4"/>
      <c r="J1065" s="2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>
      <c r="A1066" s="5"/>
      <c r="B1066" s="2"/>
      <c r="C1066" s="3"/>
      <c r="D1066" s="4"/>
      <c r="E1066" s="5"/>
      <c r="F1066" s="5"/>
      <c r="G1066" s="2"/>
      <c r="H1066" s="6"/>
      <c r="I1066" s="4"/>
      <c r="J1066" s="2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>
      <c r="A1067" s="5"/>
      <c r="B1067" s="2"/>
      <c r="C1067" s="3"/>
      <c r="D1067" s="4"/>
      <c r="E1067" s="5"/>
      <c r="F1067" s="5"/>
      <c r="G1067" s="2"/>
      <c r="H1067" s="6"/>
      <c r="I1067" s="4"/>
      <c r="J1067" s="2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>
      <c r="A1068" s="5"/>
      <c r="B1068" s="2"/>
      <c r="C1068" s="3"/>
      <c r="D1068" s="4"/>
      <c r="E1068" s="5"/>
      <c r="F1068" s="5"/>
      <c r="G1068" s="2"/>
      <c r="H1068" s="6"/>
      <c r="I1068" s="4"/>
      <c r="J1068" s="2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>
      <c r="A1069" s="5"/>
      <c r="B1069" s="2"/>
      <c r="C1069" s="3"/>
      <c r="D1069" s="4"/>
      <c r="E1069" s="5"/>
      <c r="F1069" s="5"/>
      <c r="G1069" s="2"/>
      <c r="H1069" s="6"/>
      <c r="I1069" s="4"/>
      <c r="J1069" s="2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>
      <c r="A1070" s="5"/>
      <c r="B1070" s="2"/>
      <c r="C1070" s="3"/>
      <c r="D1070" s="4"/>
      <c r="E1070" s="5"/>
      <c r="F1070" s="5"/>
      <c r="G1070" s="2"/>
      <c r="H1070" s="6"/>
      <c r="I1070" s="4"/>
      <c r="J1070" s="2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>
      <c r="A1071" s="5"/>
      <c r="B1071" s="2"/>
      <c r="C1071" s="3"/>
      <c r="D1071" s="4"/>
      <c r="E1071" s="5"/>
      <c r="F1071" s="5"/>
      <c r="G1071" s="2"/>
      <c r="H1071" s="6"/>
      <c r="I1071" s="4"/>
      <c r="J1071" s="2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>
      <c r="A1072" s="5"/>
      <c r="B1072" s="2"/>
      <c r="C1072" s="3"/>
      <c r="D1072" s="4"/>
      <c r="E1072" s="5"/>
      <c r="F1072" s="5"/>
      <c r="G1072" s="2"/>
      <c r="H1072" s="6"/>
      <c r="I1072" s="4"/>
      <c r="J1072" s="2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>
      <c r="A1073" s="5"/>
      <c r="B1073" s="2"/>
      <c r="C1073" s="3"/>
      <c r="D1073" s="4"/>
      <c r="E1073" s="5"/>
      <c r="F1073" s="5"/>
      <c r="G1073" s="2"/>
      <c r="H1073" s="6"/>
      <c r="I1073" s="4"/>
      <c r="J1073" s="2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>
      <c r="A1074" s="5"/>
      <c r="B1074" s="2"/>
      <c r="C1074" s="3"/>
      <c r="D1074" s="4"/>
      <c r="E1074" s="5"/>
      <c r="F1074" s="5"/>
      <c r="G1074" s="2"/>
      <c r="H1074" s="6"/>
      <c r="I1074" s="4"/>
      <c r="J1074" s="2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>
      <c r="A1075" s="5"/>
      <c r="B1075" s="2"/>
      <c r="C1075" s="3"/>
      <c r="D1075" s="4"/>
      <c r="E1075" s="5"/>
      <c r="F1075" s="5"/>
      <c r="G1075" s="2"/>
      <c r="H1075" s="6"/>
      <c r="I1075" s="4"/>
      <c r="J1075" s="2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>
      <c r="A1076" s="5"/>
      <c r="B1076" s="2"/>
      <c r="C1076" s="3"/>
      <c r="D1076" s="4"/>
      <c r="E1076" s="5"/>
      <c r="F1076" s="5"/>
      <c r="G1076" s="2"/>
      <c r="H1076" s="6"/>
      <c r="I1076" s="4"/>
      <c r="J1076" s="2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>
      <c r="A1077" s="5"/>
      <c r="B1077" s="2"/>
      <c r="C1077" s="3"/>
      <c r="D1077" s="4"/>
      <c r="E1077" s="5"/>
      <c r="F1077" s="5"/>
      <c r="G1077" s="2"/>
      <c r="H1077" s="6"/>
      <c r="I1077" s="4"/>
      <c r="J1077" s="2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>
      <c r="A1078" s="5"/>
      <c r="B1078" s="2"/>
      <c r="C1078" s="3"/>
      <c r="D1078" s="4"/>
      <c r="E1078" s="5"/>
      <c r="F1078" s="5"/>
      <c r="G1078" s="2"/>
      <c r="H1078" s="6"/>
      <c r="I1078" s="4"/>
      <c r="J1078" s="2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>
      <c r="A1079" s="5"/>
      <c r="B1079" s="2"/>
      <c r="C1079" s="3"/>
      <c r="D1079" s="4"/>
      <c r="E1079" s="5"/>
      <c r="F1079" s="5"/>
      <c r="G1079" s="2"/>
      <c r="H1079" s="6"/>
      <c r="I1079" s="4"/>
      <c r="J1079" s="2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>
      <c r="A1080" s="5"/>
      <c r="B1080" s="2"/>
      <c r="C1080" s="3"/>
      <c r="D1080" s="4"/>
      <c r="E1080" s="5"/>
      <c r="F1080" s="5"/>
      <c r="G1080" s="2"/>
      <c r="H1080" s="6"/>
      <c r="I1080" s="4"/>
      <c r="J1080" s="2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>
      <c r="A1081" s="5"/>
      <c r="B1081" s="2"/>
      <c r="C1081" s="3"/>
      <c r="D1081" s="4"/>
      <c r="E1081" s="5"/>
      <c r="F1081" s="5"/>
      <c r="G1081" s="2"/>
      <c r="H1081" s="6"/>
      <c r="I1081" s="4"/>
      <c r="J1081" s="2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>
      <c r="A1082" s="5"/>
      <c r="B1082" s="2"/>
      <c r="C1082" s="3"/>
      <c r="D1082" s="4"/>
      <c r="E1082" s="5"/>
      <c r="F1082" s="5"/>
      <c r="G1082" s="2"/>
      <c r="H1082" s="6"/>
      <c r="I1082" s="4"/>
      <c r="J1082" s="2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>
      <c r="A1083" s="5"/>
      <c r="B1083" s="2"/>
      <c r="C1083" s="3"/>
      <c r="D1083" s="4"/>
      <c r="E1083" s="5"/>
      <c r="F1083" s="5"/>
      <c r="G1083" s="2"/>
      <c r="H1083" s="6"/>
      <c r="I1083" s="4"/>
      <c r="J1083" s="2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>
      <c r="A1084" s="5"/>
      <c r="B1084" s="2"/>
      <c r="C1084" s="3"/>
      <c r="D1084" s="4"/>
      <c r="E1084" s="5"/>
      <c r="F1084" s="5"/>
      <c r="G1084" s="2"/>
      <c r="H1084" s="6"/>
      <c r="I1084" s="4"/>
      <c r="J1084" s="2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>
      <c r="A1085" s="5"/>
      <c r="B1085" s="2"/>
      <c r="C1085" s="3"/>
      <c r="D1085" s="4"/>
      <c r="E1085" s="5"/>
      <c r="F1085" s="5"/>
      <c r="G1085" s="2"/>
      <c r="H1085" s="6"/>
      <c r="I1085" s="4"/>
      <c r="J1085" s="2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>
      <c r="A1086" s="5"/>
      <c r="B1086" s="2"/>
      <c r="C1086" s="3"/>
      <c r="D1086" s="4"/>
      <c r="E1086" s="5"/>
      <c r="F1086" s="5"/>
      <c r="G1086" s="2"/>
      <c r="H1086" s="6"/>
      <c r="I1086" s="4"/>
      <c r="J1086" s="2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>
      <c r="A1087" s="5"/>
      <c r="B1087" s="2"/>
      <c r="C1087" s="3"/>
      <c r="D1087" s="4"/>
      <c r="E1087" s="5"/>
      <c r="F1087" s="5"/>
      <c r="G1087" s="2"/>
      <c r="H1087" s="6"/>
      <c r="I1087" s="4"/>
      <c r="J1087" s="2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>
      <c r="A1088" s="5"/>
      <c r="B1088" s="2"/>
      <c r="C1088" s="3"/>
      <c r="D1088" s="4"/>
      <c r="E1088" s="5"/>
      <c r="F1088" s="5"/>
      <c r="G1088" s="2"/>
      <c r="H1088" s="6"/>
      <c r="I1088" s="4"/>
      <c r="J1088" s="2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>
      <c r="A1089" s="5"/>
      <c r="B1089" s="2"/>
      <c r="C1089" s="3"/>
      <c r="D1089" s="4"/>
      <c r="E1089" s="5"/>
      <c r="F1089" s="5"/>
      <c r="G1089" s="2"/>
      <c r="H1089" s="6"/>
      <c r="I1089" s="4"/>
      <c r="J1089" s="2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>
      <c r="A1090" s="5"/>
      <c r="B1090" s="2"/>
      <c r="C1090" s="3"/>
      <c r="D1090" s="4"/>
      <c r="E1090" s="5"/>
      <c r="F1090" s="5"/>
      <c r="G1090" s="2"/>
      <c r="H1090" s="6"/>
      <c r="I1090" s="4"/>
      <c r="J1090" s="2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>
      <c r="A1091" s="5"/>
      <c r="B1091" s="2"/>
      <c r="C1091" s="3"/>
      <c r="D1091" s="4"/>
      <c r="E1091" s="5"/>
      <c r="F1091" s="5"/>
      <c r="G1091" s="2"/>
      <c r="H1091" s="6"/>
      <c r="I1091" s="4"/>
      <c r="J1091" s="2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>
      <c r="A1092" s="5"/>
      <c r="B1092" s="2"/>
      <c r="C1092" s="3"/>
      <c r="D1092" s="4"/>
      <c r="E1092" s="5"/>
      <c r="F1092" s="5"/>
      <c r="G1092" s="2"/>
      <c r="H1092" s="6"/>
      <c r="I1092" s="4"/>
      <c r="J1092" s="2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>
      <c r="A1093" s="5"/>
      <c r="B1093" s="2"/>
      <c r="C1093" s="3"/>
      <c r="D1093" s="4"/>
      <c r="E1093" s="5"/>
      <c r="F1093" s="5"/>
      <c r="G1093" s="2"/>
      <c r="H1093" s="6"/>
      <c r="I1093" s="4"/>
      <c r="J1093" s="2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>
      <c r="A1094" s="5"/>
      <c r="B1094" s="2"/>
      <c r="C1094" s="3"/>
      <c r="D1094" s="4"/>
      <c r="E1094" s="5"/>
      <c r="F1094" s="5"/>
      <c r="G1094" s="2"/>
      <c r="H1094" s="6"/>
      <c r="I1094" s="4"/>
      <c r="J1094" s="2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>
      <c r="A1095" s="5"/>
      <c r="B1095" s="2"/>
      <c r="C1095" s="3"/>
      <c r="D1095" s="4"/>
      <c r="E1095" s="5"/>
      <c r="F1095" s="5"/>
      <c r="G1095" s="2"/>
      <c r="H1095" s="6"/>
      <c r="I1095" s="4"/>
      <c r="J1095" s="2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>
      <c r="A1096" s="5"/>
      <c r="B1096" s="2"/>
      <c r="C1096" s="3"/>
      <c r="D1096" s="4"/>
      <c r="E1096" s="5"/>
      <c r="F1096" s="5"/>
      <c r="G1096" s="2"/>
      <c r="H1096" s="6"/>
      <c r="I1096" s="4"/>
      <c r="J1096" s="2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>
      <c r="A1097" s="5"/>
      <c r="B1097" s="2"/>
      <c r="C1097" s="3"/>
      <c r="D1097" s="4"/>
      <c r="E1097" s="5"/>
      <c r="F1097" s="5"/>
      <c r="G1097" s="2"/>
      <c r="H1097" s="6"/>
      <c r="I1097" s="4"/>
      <c r="J1097" s="2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>
      <c r="A1098" s="5"/>
      <c r="B1098" s="2"/>
      <c r="C1098" s="3"/>
      <c r="D1098" s="4"/>
      <c r="E1098" s="5"/>
      <c r="F1098" s="5"/>
      <c r="G1098" s="2"/>
      <c r="H1098" s="6"/>
      <c r="I1098" s="4"/>
      <c r="J1098" s="2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>
      <c r="A1099" s="5"/>
      <c r="B1099" s="2"/>
      <c r="C1099" s="3"/>
      <c r="D1099" s="4"/>
      <c r="E1099" s="5"/>
      <c r="F1099" s="5"/>
      <c r="G1099" s="2"/>
      <c r="H1099" s="6"/>
      <c r="I1099" s="4"/>
      <c r="J1099" s="2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>
      <c r="A1100" s="5"/>
      <c r="B1100" s="2"/>
      <c r="C1100" s="3"/>
      <c r="D1100" s="4"/>
      <c r="E1100" s="5"/>
      <c r="F1100" s="5"/>
      <c r="G1100" s="2"/>
      <c r="H1100" s="6"/>
      <c r="I1100" s="4"/>
      <c r="J1100" s="2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>
      <c r="A1101" s="5"/>
      <c r="B1101" s="2"/>
      <c r="C1101" s="3"/>
      <c r="D1101" s="4"/>
      <c r="E1101" s="5"/>
      <c r="F1101" s="5"/>
      <c r="G1101" s="2"/>
      <c r="H1101" s="6"/>
      <c r="I1101" s="4"/>
      <c r="J1101" s="2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>
      <c r="A1102" s="5"/>
      <c r="B1102" s="2"/>
      <c r="C1102" s="3"/>
      <c r="D1102" s="4"/>
      <c r="E1102" s="5"/>
      <c r="F1102" s="5"/>
      <c r="G1102" s="2"/>
      <c r="H1102" s="6"/>
      <c r="I1102" s="4"/>
      <c r="J1102" s="2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>
      <c r="A1103" s="5"/>
      <c r="B1103" s="2"/>
      <c r="C1103" s="3"/>
      <c r="D1103" s="4"/>
      <c r="E1103" s="5"/>
      <c r="F1103" s="5"/>
      <c r="G1103" s="2"/>
      <c r="H1103" s="6"/>
      <c r="I1103" s="4"/>
      <c r="J1103" s="2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>
      <c r="A1104" s="5"/>
      <c r="B1104" s="2"/>
      <c r="C1104" s="3"/>
      <c r="D1104" s="4"/>
      <c r="E1104" s="5"/>
      <c r="F1104" s="5"/>
      <c r="G1104" s="2"/>
      <c r="H1104" s="6"/>
      <c r="I1104" s="4"/>
      <c r="J1104" s="2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>
      <c r="A1105" s="5"/>
      <c r="B1105" s="2"/>
      <c r="C1105" s="3"/>
      <c r="D1105" s="4"/>
      <c r="E1105" s="5"/>
      <c r="F1105" s="5"/>
      <c r="G1105" s="2"/>
      <c r="H1105" s="6"/>
      <c r="I1105" s="4"/>
      <c r="J1105" s="2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>
      <c r="A1106" s="5"/>
      <c r="B1106" s="2"/>
      <c r="C1106" s="3"/>
      <c r="D1106" s="4"/>
      <c r="E1106" s="5"/>
      <c r="F1106" s="5"/>
      <c r="G1106" s="2"/>
      <c r="H1106" s="6"/>
      <c r="I1106" s="4"/>
      <c r="J1106" s="2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>
      <c r="A1107" s="5"/>
      <c r="B1107" s="2"/>
      <c r="C1107" s="3"/>
      <c r="D1107" s="4"/>
      <c r="E1107" s="5"/>
      <c r="F1107" s="5"/>
      <c r="G1107" s="2"/>
      <c r="H1107" s="6"/>
      <c r="I1107" s="4"/>
      <c r="J1107" s="2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>
      <c r="A1108" s="5"/>
      <c r="B1108" s="2"/>
      <c r="C1108" s="3"/>
      <c r="D1108" s="4"/>
      <c r="E1108" s="5"/>
      <c r="F1108" s="5"/>
      <c r="G1108" s="2"/>
      <c r="H1108" s="6"/>
      <c r="I1108" s="4"/>
      <c r="J1108" s="2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>
      <c r="A1109" s="5"/>
      <c r="B1109" s="2"/>
      <c r="C1109" s="3"/>
      <c r="D1109" s="4"/>
      <c r="E1109" s="5"/>
      <c r="F1109" s="5"/>
      <c r="G1109" s="2"/>
      <c r="H1109" s="6"/>
      <c r="I1109" s="4"/>
      <c r="J1109" s="2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>
      <c r="A1110" s="5"/>
      <c r="B1110" s="2"/>
      <c r="C1110" s="3"/>
      <c r="D1110" s="4"/>
      <c r="E1110" s="5"/>
      <c r="F1110" s="5"/>
      <c r="G1110" s="2"/>
      <c r="H1110" s="6"/>
      <c r="I1110" s="4"/>
      <c r="J1110" s="2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>
      <c r="A1111" s="5"/>
      <c r="B1111" s="2"/>
      <c r="C1111" s="3"/>
      <c r="D1111" s="4"/>
      <c r="E1111" s="5"/>
      <c r="F1111" s="5"/>
      <c r="G1111" s="2"/>
      <c r="H1111" s="6"/>
      <c r="I1111" s="4"/>
      <c r="J1111" s="2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>
      <c r="A1112" s="5"/>
      <c r="B1112" s="2"/>
      <c r="C1112" s="3"/>
      <c r="D1112" s="4"/>
      <c r="E1112" s="5"/>
      <c r="F1112" s="5"/>
      <c r="G1112" s="2"/>
      <c r="H1112" s="6"/>
      <c r="I1112" s="4"/>
      <c r="J1112" s="2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>
      <c r="A1113" s="5"/>
      <c r="B1113" s="2"/>
      <c r="C1113" s="3"/>
      <c r="D1113" s="4"/>
      <c r="E1113" s="5"/>
      <c r="F1113" s="5"/>
      <c r="G1113" s="2"/>
      <c r="H1113" s="6"/>
      <c r="I1113" s="4"/>
      <c r="J1113" s="2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>
      <c r="A1114" s="5"/>
      <c r="B1114" s="2"/>
      <c r="C1114" s="3"/>
      <c r="D1114" s="4"/>
      <c r="E1114" s="5"/>
      <c r="F1114" s="5"/>
      <c r="G1114" s="2"/>
      <c r="H1114" s="6"/>
      <c r="I1114" s="4"/>
      <c r="J1114" s="2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>
      <c r="A1115" s="5"/>
      <c r="B1115" s="2"/>
      <c r="C1115" s="3"/>
      <c r="D1115" s="4"/>
      <c r="E1115" s="5"/>
      <c r="F1115" s="5"/>
      <c r="G1115" s="2"/>
      <c r="H1115" s="6"/>
      <c r="I1115" s="4"/>
      <c r="J1115" s="2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>
      <c r="A1116" s="5"/>
      <c r="B1116" s="2"/>
      <c r="C1116" s="3"/>
      <c r="D1116" s="4"/>
      <c r="E1116" s="5"/>
      <c r="F1116" s="5"/>
      <c r="G1116" s="2"/>
      <c r="H1116" s="6"/>
      <c r="I1116" s="4"/>
      <c r="J1116" s="2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>
      <c r="A1117" s="5"/>
      <c r="B1117" s="2"/>
      <c r="C1117" s="3"/>
      <c r="D1117" s="4"/>
      <c r="E1117" s="5"/>
      <c r="F1117" s="5"/>
      <c r="G1117" s="2"/>
      <c r="H1117" s="6"/>
      <c r="I1117" s="4"/>
      <c r="J1117" s="2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>
      <c r="A1118" s="5"/>
      <c r="B1118" s="2"/>
      <c r="C1118" s="3"/>
      <c r="D1118" s="4"/>
      <c r="E1118" s="5"/>
      <c r="F1118" s="5"/>
      <c r="G1118" s="2"/>
      <c r="H1118" s="6"/>
      <c r="I1118" s="4"/>
      <c r="J1118" s="2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>
      <c r="A1119" s="5"/>
      <c r="B1119" s="2"/>
      <c r="C1119" s="3"/>
      <c r="D1119" s="4"/>
      <c r="E1119" s="5"/>
      <c r="F1119" s="5"/>
      <c r="G1119" s="2"/>
      <c r="H1119" s="6"/>
      <c r="I1119" s="4"/>
      <c r="J1119" s="2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>
      <c r="A1120" s="5"/>
      <c r="B1120" s="2"/>
      <c r="C1120" s="3"/>
      <c r="D1120" s="4"/>
      <c r="E1120" s="5"/>
      <c r="F1120" s="5"/>
      <c r="G1120" s="2"/>
      <c r="H1120" s="6"/>
      <c r="I1120" s="4"/>
      <c r="J1120" s="2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>
      <c r="A1121" s="5"/>
      <c r="B1121" s="2"/>
      <c r="C1121" s="3"/>
      <c r="D1121" s="4"/>
      <c r="E1121" s="5"/>
      <c r="F1121" s="5"/>
      <c r="G1121" s="2"/>
      <c r="H1121" s="6"/>
      <c r="I1121" s="4"/>
      <c r="J1121" s="2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>
      <c r="A1122" s="5"/>
      <c r="B1122" s="2"/>
      <c r="C1122" s="3"/>
      <c r="D1122" s="4"/>
      <c r="E1122" s="5"/>
      <c r="F1122" s="5"/>
      <c r="G1122" s="2"/>
      <c r="H1122" s="6"/>
      <c r="I1122" s="4"/>
      <c r="J1122" s="2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>
      <c r="A1123" s="5"/>
      <c r="B1123" s="2"/>
      <c r="C1123" s="3"/>
      <c r="D1123" s="4"/>
      <c r="E1123" s="5"/>
      <c r="F1123" s="5"/>
      <c r="G1123" s="2"/>
      <c r="H1123" s="6"/>
      <c r="I1123" s="4"/>
      <c r="J1123" s="2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>
      <c r="A1124" s="5"/>
      <c r="B1124" s="2"/>
      <c r="C1124" s="3"/>
      <c r="D1124" s="4"/>
      <c r="E1124" s="5"/>
      <c r="F1124" s="5"/>
      <c r="G1124" s="2"/>
      <c r="H1124" s="6"/>
      <c r="I1124" s="4"/>
      <c r="J1124" s="2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>
      <c r="A1125" s="5"/>
      <c r="B1125" s="2"/>
      <c r="C1125" s="3"/>
      <c r="D1125" s="4"/>
      <c r="E1125" s="5"/>
      <c r="F1125" s="5"/>
      <c r="G1125" s="2"/>
      <c r="H1125" s="6"/>
      <c r="I1125" s="4"/>
      <c r="J1125" s="2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>
      <c r="A1126" s="5"/>
      <c r="B1126" s="2"/>
      <c r="C1126" s="3"/>
      <c r="D1126" s="4"/>
      <c r="E1126" s="5"/>
      <c r="F1126" s="5"/>
      <c r="G1126" s="2"/>
      <c r="H1126" s="6"/>
      <c r="I1126" s="4"/>
      <c r="J1126" s="2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>
      <c r="A1127" s="5"/>
      <c r="B1127" s="2"/>
      <c r="C1127" s="3"/>
      <c r="D1127" s="4"/>
      <c r="E1127" s="5"/>
      <c r="F1127" s="5"/>
      <c r="G1127" s="2"/>
      <c r="H1127" s="6"/>
      <c r="I1127" s="4"/>
      <c r="J1127" s="2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>
      <c r="A1128" s="5"/>
      <c r="B1128" s="2"/>
      <c r="C1128" s="3"/>
      <c r="D1128" s="4"/>
      <c r="E1128" s="5"/>
      <c r="F1128" s="5"/>
      <c r="G1128" s="2"/>
      <c r="H1128" s="6"/>
      <c r="I1128" s="4"/>
      <c r="J1128" s="2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>
      <c r="A1129" s="5"/>
      <c r="B1129" s="2"/>
      <c r="C1129" s="3"/>
      <c r="D1129" s="4"/>
      <c r="E1129" s="5"/>
      <c r="F1129" s="5"/>
      <c r="G1129" s="2"/>
      <c r="H1129" s="6"/>
      <c r="I1129" s="4"/>
      <c r="J1129" s="2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>
      <c r="A1130" s="5"/>
      <c r="B1130" s="2"/>
      <c r="C1130" s="3"/>
      <c r="D1130" s="4"/>
      <c r="E1130" s="5"/>
      <c r="F1130" s="5"/>
      <c r="G1130" s="2"/>
      <c r="H1130" s="6"/>
      <c r="I1130" s="4"/>
      <c r="J1130" s="2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>
      <c r="A1131" s="5"/>
      <c r="B1131" s="2"/>
      <c r="C1131" s="3"/>
      <c r="D1131" s="4"/>
      <c r="E1131" s="5"/>
      <c r="F1131" s="5"/>
      <c r="G1131" s="2"/>
      <c r="H1131" s="6"/>
      <c r="I1131" s="4"/>
      <c r="J1131" s="2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>
      <c r="A1132" s="5"/>
      <c r="B1132" s="2"/>
      <c r="C1132" s="3"/>
      <c r="D1132" s="4"/>
      <c r="E1132" s="5"/>
      <c r="F1132" s="5"/>
      <c r="G1132" s="2"/>
      <c r="H1132" s="6"/>
      <c r="I1132" s="4"/>
      <c r="J1132" s="2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>
      <c r="A1133" s="5"/>
      <c r="B1133" s="2"/>
      <c r="C1133" s="3"/>
      <c r="D1133" s="4"/>
      <c r="E1133" s="5"/>
      <c r="F1133" s="5"/>
      <c r="G1133" s="2"/>
      <c r="H1133" s="6"/>
      <c r="I1133" s="4"/>
      <c r="J1133" s="2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>
      <c r="A1134" s="5"/>
      <c r="B1134" s="2"/>
      <c r="C1134" s="3"/>
      <c r="D1134" s="4"/>
      <c r="E1134" s="5"/>
      <c r="F1134" s="5"/>
      <c r="G1134" s="2"/>
      <c r="H1134" s="6"/>
      <c r="I1134" s="4"/>
      <c r="J1134" s="2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>
      <c r="A1135" s="5"/>
      <c r="B1135" s="2"/>
      <c r="C1135" s="3"/>
      <c r="D1135" s="4"/>
      <c r="E1135" s="5"/>
      <c r="F1135" s="5"/>
      <c r="G1135" s="2"/>
      <c r="H1135" s="6"/>
      <c r="I1135" s="4"/>
      <c r="J1135" s="2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>
      <c r="A1136" s="5"/>
      <c r="B1136" s="2"/>
      <c r="C1136" s="3"/>
      <c r="D1136" s="4"/>
      <c r="E1136" s="5"/>
      <c r="F1136" s="5"/>
      <c r="G1136" s="2"/>
      <c r="H1136" s="6"/>
      <c r="I1136" s="4"/>
      <c r="J1136" s="2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>
      <c r="A1137" s="5"/>
      <c r="B1137" s="2"/>
      <c r="C1137" s="3"/>
      <c r="D1137" s="4"/>
      <c r="E1137" s="5"/>
      <c r="F1137" s="5"/>
      <c r="G1137" s="2"/>
      <c r="H1137" s="6"/>
      <c r="I1137" s="4"/>
      <c r="J1137" s="2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>
      <c r="A1138" s="5"/>
      <c r="B1138" s="2"/>
      <c r="C1138" s="3"/>
      <c r="D1138" s="4"/>
      <c r="E1138" s="5"/>
      <c r="F1138" s="5"/>
      <c r="G1138" s="2"/>
      <c r="H1138" s="6"/>
      <c r="I1138" s="4"/>
      <c r="J1138" s="2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>
      <c r="A1139" s="5"/>
      <c r="B1139" s="2"/>
      <c r="C1139" s="3"/>
      <c r="D1139" s="4"/>
      <c r="E1139" s="5"/>
      <c r="F1139" s="5"/>
      <c r="G1139" s="2"/>
      <c r="H1139" s="6"/>
      <c r="I1139" s="4"/>
      <c r="J1139" s="2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>
      <c r="A1140" s="5"/>
      <c r="B1140" s="2"/>
      <c r="C1140" s="3"/>
      <c r="D1140" s="4"/>
      <c r="E1140" s="5"/>
      <c r="F1140" s="5"/>
      <c r="G1140" s="2"/>
      <c r="H1140" s="6"/>
      <c r="I1140" s="4"/>
      <c r="J1140" s="2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>
      <c r="A1141" s="5"/>
      <c r="B1141" s="2"/>
      <c r="C1141" s="3"/>
      <c r="D1141" s="4"/>
      <c r="E1141" s="5"/>
      <c r="F1141" s="5"/>
      <c r="G1141" s="2"/>
      <c r="H1141" s="6"/>
      <c r="I1141" s="4"/>
      <c r="J1141" s="2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>
      <c r="A1142" s="5"/>
      <c r="B1142" s="2"/>
      <c r="C1142" s="3"/>
      <c r="D1142" s="4"/>
      <c r="E1142" s="5"/>
      <c r="F1142" s="5"/>
      <c r="G1142" s="2"/>
      <c r="H1142" s="6"/>
      <c r="I1142" s="4"/>
      <c r="J1142" s="2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>
      <c r="A1143" s="5"/>
      <c r="B1143" s="2"/>
      <c r="C1143" s="3"/>
      <c r="D1143" s="4"/>
      <c r="E1143" s="5"/>
      <c r="F1143" s="5"/>
      <c r="G1143" s="2"/>
      <c r="H1143" s="6"/>
      <c r="I1143" s="4"/>
      <c r="J1143" s="2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>
      <c r="A1144" s="5"/>
      <c r="B1144" s="2"/>
      <c r="C1144" s="3"/>
      <c r="D1144" s="4"/>
      <c r="E1144" s="5"/>
      <c r="F1144" s="5"/>
      <c r="G1144" s="2"/>
      <c r="H1144" s="6"/>
      <c r="I1144" s="4"/>
      <c r="J1144" s="2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>
      <c r="A1145" s="5"/>
      <c r="B1145" s="2"/>
      <c r="C1145" s="3"/>
      <c r="D1145" s="4"/>
      <c r="E1145" s="5"/>
      <c r="F1145" s="5"/>
      <c r="G1145" s="2"/>
      <c r="H1145" s="6"/>
      <c r="I1145" s="4"/>
      <c r="J1145" s="2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>
      <c r="A1146" s="5"/>
      <c r="B1146" s="2"/>
      <c r="C1146" s="3"/>
      <c r="D1146" s="4"/>
      <c r="E1146" s="5"/>
      <c r="F1146" s="5"/>
      <c r="G1146" s="2"/>
      <c r="H1146" s="6"/>
      <c r="I1146" s="4"/>
      <c r="J1146" s="2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>
      <c r="A1147" s="5"/>
      <c r="B1147" s="2"/>
      <c r="C1147" s="3"/>
      <c r="D1147" s="4"/>
      <c r="E1147" s="5"/>
      <c r="F1147" s="5"/>
      <c r="G1147" s="2"/>
      <c r="H1147" s="6"/>
      <c r="I1147" s="4"/>
      <c r="J1147" s="2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>
      <c r="A1148" s="5"/>
      <c r="B1148" s="2"/>
      <c r="C1148" s="3"/>
      <c r="D1148" s="4"/>
      <c r="E1148" s="5"/>
      <c r="F1148" s="5"/>
      <c r="G1148" s="2"/>
      <c r="H1148" s="6"/>
      <c r="I1148" s="4"/>
      <c r="J1148" s="2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>
      <c r="A1149" s="5"/>
      <c r="B1149" s="2"/>
      <c r="C1149" s="3"/>
      <c r="D1149" s="4"/>
      <c r="E1149" s="5"/>
      <c r="F1149" s="5"/>
      <c r="G1149" s="2"/>
      <c r="H1149" s="6"/>
      <c r="I1149" s="4"/>
      <c r="J1149" s="2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>
      <c r="A1150" s="5"/>
      <c r="B1150" s="2"/>
      <c r="C1150" s="3"/>
      <c r="D1150" s="4"/>
      <c r="E1150" s="5"/>
      <c r="F1150" s="5"/>
      <c r="G1150" s="2"/>
      <c r="H1150" s="6"/>
      <c r="I1150" s="4"/>
      <c r="J1150" s="2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>
      <c r="A1151" s="5"/>
      <c r="B1151" s="2"/>
      <c r="C1151" s="3"/>
      <c r="D1151" s="4"/>
      <c r="E1151" s="5"/>
      <c r="F1151" s="5"/>
      <c r="G1151" s="2"/>
      <c r="H1151" s="6"/>
      <c r="I1151" s="4"/>
      <c r="J1151" s="2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>
      <c r="A1152" s="5"/>
      <c r="B1152" s="2"/>
      <c r="C1152" s="3"/>
      <c r="D1152" s="4"/>
      <c r="E1152" s="5"/>
      <c r="F1152" s="5"/>
      <c r="G1152" s="2"/>
      <c r="H1152" s="6"/>
      <c r="I1152" s="4"/>
      <c r="J1152" s="2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>
      <c r="A1153" s="5"/>
      <c r="B1153" s="2"/>
      <c r="C1153" s="3"/>
      <c r="D1153" s="4"/>
      <c r="E1153" s="5"/>
      <c r="F1153" s="5"/>
      <c r="G1153" s="2"/>
      <c r="H1153" s="6"/>
      <c r="I1153" s="4"/>
      <c r="J1153" s="2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>
      <c r="A1154" s="5"/>
      <c r="B1154" s="2"/>
      <c r="C1154" s="3"/>
      <c r="D1154" s="4"/>
      <c r="E1154" s="5"/>
      <c r="F1154" s="5"/>
      <c r="G1154" s="2"/>
      <c r="H1154" s="6"/>
      <c r="I1154" s="4"/>
      <c r="J1154" s="2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>
      <c r="A1155" s="5"/>
      <c r="B1155" s="2"/>
      <c r="C1155" s="3"/>
      <c r="D1155" s="4"/>
      <c r="E1155" s="5"/>
      <c r="F1155" s="5"/>
      <c r="G1155" s="2"/>
      <c r="H1155" s="6"/>
      <c r="I1155" s="4"/>
      <c r="J1155" s="2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>
      <c r="A1156" s="5"/>
      <c r="B1156" s="2"/>
      <c r="C1156" s="3"/>
      <c r="D1156" s="4"/>
      <c r="E1156" s="5"/>
      <c r="F1156" s="5"/>
      <c r="G1156" s="2"/>
      <c r="H1156" s="6"/>
      <c r="I1156" s="4"/>
      <c r="J1156" s="2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>
      <c r="A1157" s="5"/>
      <c r="B1157" s="2"/>
      <c r="C1157" s="3"/>
      <c r="D1157" s="4"/>
      <c r="E1157" s="5"/>
      <c r="F1157" s="5"/>
      <c r="G1157" s="2"/>
      <c r="H1157" s="6"/>
      <c r="I1157" s="4"/>
      <c r="J1157" s="2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>
      <c r="A1158" s="5"/>
      <c r="B1158" s="2"/>
      <c r="C1158" s="3"/>
      <c r="D1158" s="4"/>
      <c r="E1158" s="5"/>
      <c r="F1158" s="5"/>
      <c r="G1158" s="2"/>
      <c r="H1158" s="6"/>
      <c r="I1158" s="4"/>
      <c r="J1158" s="2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>
      <c r="A1159" s="5"/>
      <c r="B1159" s="2"/>
      <c r="C1159" s="3"/>
      <c r="D1159" s="4"/>
      <c r="E1159" s="5"/>
      <c r="F1159" s="5"/>
      <c r="G1159" s="2"/>
      <c r="H1159" s="6"/>
      <c r="I1159" s="4"/>
      <c r="J1159" s="2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>
      <c r="A1160" s="5"/>
      <c r="B1160" s="2"/>
      <c r="C1160" s="3"/>
      <c r="D1160" s="4"/>
      <c r="E1160" s="5"/>
      <c r="F1160" s="5"/>
      <c r="G1160" s="2"/>
      <c r="H1160" s="6"/>
      <c r="I1160" s="4"/>
      <c r="J1160" s="2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>
      <c r="A1161" s="5"/>
      <c r="B1161" s="2"/>
      <c r="C1161" s="3"/>
      <c r="D1161" s="4"/>
      <c r="E1161" s="5"/>
      <c r="F1161" s="5"/>
      <c r="G1161" s="2"/>
      <c r="H1161" s="6"/>
      <c r="I1161" s="4"/>
      <c r="J1161" s="2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>
      <c r="A1162" s="5"/>
      <c r="B1162" s="2"/>
      <c r="C1162" s="3"/>
      <c r="D1162" s="4"/>
      <c r="E1162" s="5"/>
      <c r="F1162" s="5"/>
      <c r="G1162" s="2"/>
      <c r="H1162" s="6"/>
      <c r="I1162" s="4"/>
      <c r="J1162" s="2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>
      <c r="A1163" s="5"/>
      <c r="B1163" s="2"/>
      <c r="C1163" s="3"/>
      <c r="D1163" s="4"/>
      <c r="E1163" s="5"/>
      <c r="F1163" s="5"/>
      <c r="G1163" s="2"/>
      <c r="H1163" s="6"/>
      <c r="I1163" s="4"/>
      <c r="J1163" s="2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>
      <c r="A1164" s="5"/>
      <c r="B1164" s="2"/>
      <c r="C1164" s="3"/>
      <c r="D1164" s="4"/>
      <c r="E1164" s="5"/>
      <c r="F1164" s="5"/>
      <c r="G1164" s="2"/>
      <c r="H1164" s="6"/>
      <c r="I1164" s="4"/>
      <c r="J1164" s="2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>
      <c r="A1165" s="5"/>
      <c r="B1165" s="2"/>
      <c r="C1165" s="3"/>
      <c r="D1165" s="4"/>
      <c r="E1165" s="5"/>
      <c r="F1165" s="5"/>
      <c r="G1165" s="2"/>
      <c r="H1165" s="6"/>
      <c r="I1165" s="4"/>
      <c r="J1165" s="2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>
      <c r="A1166" s="5"/>
      <c r="B1166" s="2"/>
      <c r="C1166" s="3"/>
      <c r="D1166" s="4"/>
      <c r="E1166" s="5"/>
      <c r="F1166" s="5"/>
      <c r="G1166" s="2"/>
      <c r="H1166" s="6"/>
      <c r="I1166" s="4"/>
      <c r="J1166" s="2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>
      <c r="A1167" s="5"/>
      <c r="B1167" s="2"/>
      <c r="C1167" s="3"/>
      <c r="D1167" s="4"/>
      <c r="E1167" s="5"/>
      <c r="F1167" s="5"/>
      <c r="G1167" s="2"/>
      <c r="H1167" s="6"/>
      <c r="I1167" s="4"/>
      <c r="J1167" s="2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>
      <c r="A1168" s="5"/>
      <c r="B1168" s="2"/>
      <c r="C1168" s="3"/>
      <c r="D1168" s="4"/>
      <c r="E1168" s="5"/>
      <c r="F1168" s="5"/>
      <c r="G1168" s="2"/>
      <c r="H1168" s="6"/>
      <c r="I1168" s="4"/>
      <c r="J1168" s="2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>
      <c r="A1169" s="5"/>
      <c r="B1169" s="2"/>
      <c r="C1169" s="3"/>
      <c r="D1169" s="4"/>
      <c r="E1169" s="5"/>
      <c r="F1169" s="5"/>
      <c r="G1169" s="2"/>
      <c r="H1169" s="6"/>
      <c r="I1169" s="4"/>
      <c r="J1169" s="2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>
      <c r="A1170" s="5"/>
      <c r="B1170" s="2"/>
      <c r="C1170" s="3"/>
      <c r="D1170" s="4"/>
      <c r="E1170" s="5"/>
      <c r="F1170" s="5"/>
      <c r="G1170" s="2"/>
      <c r="H1170" s="6"/>
      <c r="I1170" s="4"/>
      <c r="J1170" s="2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>
      <c r="A1171" s="5"/>
      <c r="B1171" s="2"/>
      <c r="C1171" s="3"/>
      <c r="D1171" s="4"/>
      <c r="E1171" s="5"/>
      <c r="F1171" s="5"/>
      <c r="G1171" s="2"/>
      <c r="H1171" s="6"/>
      <c r="I1171" s="4"/>
      <c r="J1171" s="2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>
      <c r="A1172" s="5"/>
      <c r="B1172" s="2"/>
      <c r="C1172" s="3"/>
      <c r="D1172" s="4"/>
      <c r="E1172" s="5"/>
      <c r="F1172" s="5"/>
      <c r="G1172" s="2"/>
      <c r="H1172" s="6"/>
      <c r="I1172" s="4"/>
      <c r="J1172" s="2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>
      <c r="A1173" s="5"/>
      <c r="B1173" s="2"/>
      <c r="C1173" s="3"/>
      <c r="D1173" s="4"/>
      <c r="E1173" s="5"/>
      <c r="F1173" s="5"/>
      <c r="G1173" s="2"/>
      <c r="H1173" s="6"/>
      <c r="I1173" s="4"/>
      <c r="J1173" s="2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>
      <c r="A1174" s="5"/>
      <c r="B1174" s="2"/>
      <c r="C1174" s="3"/>
      <c r="D1174" s="4"/>
      <c r="E1174" s="5"/>
      <c r="F1174" s="5"/>
      <c r="G1174" s="2"/>
      <c r="H1174" s="6"/>
      <c r="I1174" s="4"/>
      <c r="J1174" s="2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>
      <c r="A1175" s="5"/>
      <c r="B1175" s="2"/>
      <c r="C1175" s="3"/>
      <c r="D1175" s="4"/>
      <c r="E1175" s="5"/>
      <c r="F1175" s="5"/>
      <c r="G1175" s="2"/>
      <c r="H1175" s="6"/>
      <c r="I1175" s="4"/>
      <c r="J1175" s="2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>
      <c r="A1176" s="5"/>
      <c r="B1176" s="2"/>
      <c r="C1176" s="3"/>
      <c r="D1176" s="4"/>
      <c r="E1176" s="5"/>
      <c r="F1176" s="5"/>
      <c r="G1176" s="2"/>
      <c r="H1176" s="6"/>
      <c r="I1176" s="4"/>
      <c r="J1176" s="2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>
      <c r="A1177" s="5"/>
      <c r="B1177" s="2"/>
      <c r="C1177" s="3"/>
      <c r="D1177" s="4"/>
      <c r="E1177" s="5"/>
      <c r="F1177" s="5"/>
      <c r="G1177" s="2"/>
      <c r="H1177" s="6"/>
      <c r="I1177" s="4"/>
      <c r="J1177" s="2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>
      <c r="A1178" s="5"/>
      <c r="B1178" s="2"/>
      <c r="C1178" s="3"/>
      <c r="D1178" s="4"/>
      <c r="E1178" s="5"/>
      <c r="F1178" s="5"/>
      <c r="G1178" s="2"/>
      <c r="H1178" s="6"/>
      <c r="I1178" s="4"/>
      <c r="J1178" s="2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>
      <c r="A1179" s="5"/>
      <c r="B1179" s="2"/>
      <c r="C1179" s="3"/>
      <c r="D1179" s="4"/>
      <c r="E1179" s="5"/>
      <c r="F1179" s="5"/>
      <c r="G1179" s="2"/>
      <c r="H1179" s="6"/>
      <c r="I1179" s="4"/>
      <c r="J1179" s="2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>
      <c r="A1180" s="5"/>
      <c r="B1180" s="2"/>
      <c r="C1180" s="3"/>
      <c r="D1180" s="4"/>
      <c r="E1180" s="5"/>
      <c r="F1180" s="5"/>
      <c r="G1180" s="2"/>
      <c r="H1180" s="6"/>
      <c r="I1180" s="4"/>
      <c r="J1180" s="2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>
      <c r="A1181" s="5"/>
      <c r="B1181" s="2"/>
      <c r="C1181" s="3"/>
      <c r="D1181" s="4"/>
      <c r="E1181" s="5"/>
      <c r="F1181" s="5"/>
      <c r="G1181" s="2"/>
      <c r="H1181" s="6"/>
      <c r="I1181" s="4"/>
      <c r="J1181" s="2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>
      <c r="A1182" s="5"/>
      <c r="B1182" s="2"/>
      <c r="C1182" s="3"/>
      <c r="D1182" s="4"/>
      <c r="E1182" s="5"/>
      <c r="F1182" s="5"/>
      <c r="G1182" s="2"/>
      <c r="H1182" s="6"/>
      <c r="I1182" s="4"/>
      <c r="J1182" s="2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>
      <c r="A1183" s="5"/>
      <c r="B1183" s="2"/>
      <c r="C1183" s="3"/>
      <c r="D1183" s="4"/>
      <c r="E1183" s="5"/>
      <c r="F1183" s="5"/>
      <c r="G1183" s="2"/>
      <c r="H1183" s="6"/>
      <c r="I1183" s="4"/>
      <c r="J1183" s="2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>
      <c r="A1184" s="5"/>
      <c r="B1184" s="2"/>
      <c r="C1184" s="3"/>
      <c r="D1184" s="4"/>
      <c r="E1184" s="5"/>
      <c r="F1184" s="5"/>
      <c r="G1184" s="2"/>
      <c r="H1184" s="6"/>
      <c r="I1184" s="4"/>
      <c r="J1184" s="2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>
      <c r="A1185" s="5"/>
      <c r="B1185" s="2"/>
      <c r="C1185" s="3"/>
      <c r="D1185" s="4"/>
      <c r="E1185" s="5"/>
      <c r="F1185" s="5"/>
      <c r="G1185" s="2"/>
      <c r="H1185" s="6"/>
      <c r="I1185" s="4"/>
      <c r="J1185" s="2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>
      <c r="A1186" s="5"/>
      <c r="B1186" s="2"/>
      <c r="C1186" s="3"/>
      <c r="D1186" s="4"/>
      <c r="E1186" s="5"/>
      <c r="F1186" s="5"/>
      <c r="G1186" s="2"/>
      <c r="H1186" s="6"/>
      <c r="I1186" s="4"/>
      <c r="J1186" s="2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>
      <c r="A1187" s="5"/>
      <c r="B1187" s="2"/>
      <c r="C1187" s="3"/>
      <c r="D1187" s="4"/>
      <c r="E1187" s="5"/>
      <c r="F1187" s="5"/>
      <c r="G1187" s="2"/>
      <c r="H1187" s="6"/>
      <c r="I1187" s="4"/>
      <c r="J1187" s="2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>
      <c r="A1188" s="5"/>
      <c r="B1188" s="2"/>
      <c r="C1188" s="3"/>
      <c r="D1188" s="4"/>
      <c r="E1188" s="5"/>
      <c r="F1188" s="5"/>
      <c r="G1188" s="2"/>
      <c r="H1188" s="6"/>
      <c r="I1188" s="4"/>
      <c r="J1188" s="2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>
      <c r="A1189" s="5"/>
      <c r="B1189" s="2"/>
      <c r="C1189" s="3"/>
      <c r="D1189" s="4"/>
      <c r="E1189" s="5"/>
      <c r="F1189" s="5"/>
      <c r="G1189" s="2"/>
      <c r="H1189" s="6"/>
      <c r="I1189" s="4"/>
      <c r="J1189" s="2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>
      <c r="A1190" s="5"/>
      <c r="B1190" s="2"/>
      <c r="C1190" s="3"/>
      <c r="D1190" s="4"/>
      <c r="E1190" s="5"/>
      <c r="F1190" s="5"/>
      <c r="G1190" s="2"/>
      <c r="H1190" s="6"/>
      <c r="I1190" s="4"/>
      <c r="J1190" s="2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>
      <c r="A1191" s="5"/>
      <c r="B1191" s="2"/>
      <c r="C1191" s="3"/>
      <c r="D1191" s="4"/>
      <c r="E1191" s="5"/>
      <c r="F1191" s="5"/>
      <c r="G1191" s="2"/>
      <c r="H1191" s="6"/>
      <c r="I1191" s="4"/>
      <c r="J1191" s="2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>
      <c r="A1192" s="5"/>
      <c r="B1192" s="2"/>
      <c r="C1192" s="3"/>
      <c r="D1192" s="4"/>
      <c r="E1192" s="5"/>
      <c r="F1192" s="5"/>
      <c r="G1192" s="2"/>
      <c r="H1192" s="6"/>
      <c r="I1192" s="4"/>
      <c r="J1192" s="2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>
      <c r="A1193" s="5"/>
      <c r="B1193" s="2"/>
      <c r="C1193" s="3"/>
      <c r="D1193" s="4"/>
      <c r="E1193" s="5"/>
      <c r="F1193" s="5"/>
      <c r="G1193" s="2"/>
      <c r="H1193" s="6"/>
      <c r="I1193" s="4"/>
      <c r="J1193" s="2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>
      <c r="A1194" s="5"/>
      <c r="B1194" s="2"/>
      <c r="C1194" s="3"/>
      <c r="D1194" s="4"/>
      <c r="E1194" s="5"/>
      <c r="F1194" s="5"/>
      <c r="G1194" s="2"/>
      <c r="H1194" s="6"/>
      <c r="I1194" s="4"/>
      <c r="J1194" s="2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>
      <c r="A1195" s="5"/>
      <c r="B1195" s="2"/>
      <c r="C1195" s="3"/>
      <c r="D1195" s="4"/>
      <c r="E1195" s="5"/>
      <c r="F1195" s="5"/>
      <c r="G1195" s="2"/>
      <c r="H1195" s="6"/>
      <c r="I1195" s="4"/>
      <c r="J1195" s="2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>
      <c r="A1196" s="5"/>
      <c r="B1196" s="2"/>
      <c r="C1196" s="3"/>
      <c r="D1196" s="4"/>
      <c r="E1196" s="5"/>
      <c r="F1196" s="5"/>
      <c r="G1196" s="2"/>
      <c r="H1196" s="6"/>
      <c r="I1196" s="4"/>
      <c r="J1196" s="2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>
      <c r="A1197" s="5"/>
      <c r="B1197" s="2"/>
      <c r="C1197" s="3"/>
      <c r="D1197" s="4"/>
      <c r="E1197" s="5"/>
      <c r="F1197" s="5"/>
      <c r="G1197" s="2"/>
      <c r="H1197" s="6"/>
      <c r="I1197" s="4"/>
      <c r="J1197" s="2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>
      <c r="A1198" s="5"/>
      <c r="B1198" s="2"/>
      <c r="C1198" s="3"/>
      <c r="D1198" s="4"/>
      <c r="E1198" s="5"/>
      <c r="F1198" s="5"/>
      <c r="G1198" s="2"/>
      <c r="H1198" s="6"/>
      <c r="I1198" s="4"/>
      <c r="J1198" s="2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>
      <c r="A1199" s="5"/>
      <c r="B1199" s="2"/>
      <c r="C1199" s="3"/>
      <c r="D1199" s="4"/>
      <c r="E1199" s="5"/>
      <c r="F1199" s="5"/>
      <c r="G1199" s="2"/>
      <c r="H1199" s="6"/>
      <c r="I1199" s="4"/>
      <c r="J1199" s="2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>
      <c r="A1200" s="5"/>
      <c r="B1200" s="2"/>
      <c r="C1200" s="3"/>
      <c r="D1200" s="4"/>
      <c r="E1200" s="5"/>
      <c r="F1200" s="5"/>
      <c r="G1200" s="2"/>
      <c r="H1200" s="6"/>
      <c r="I1200" s="4"/>
      <c r="J1200" s="2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>
      <c r="A1201" s="5"/>
      <c r="B1201" s="2"/>
      <c r="C1201" s="3"/>
      <c r="D1201" s="4"/>
      <c r="E1201" s="5"/>
      <c r="F1201" s="5"/>
      <c r="G1201" s="2"/>
      <c r="H1201" s="6"/>
      <c r="I1201" s="4"/>
      <c r="J1201" s="2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>
      <c r="A1202" s="5"/>
      <c r="B1202" s="2"/>
      <c r="C1202" s="3"/>
      <c r="D1202" s="4"/>
      <c r="E1202" s="5"/>
      <c r="F1202" s="5"/>
      <c r="G1202" s="2"/>
      <c r="H1202" s="6"/>
      <c r="I1202" s="4"/>
      <c r="J1202" s="2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>
      <c r="A1203" s="5"/>
      <c r="B1203" s="2"/>
      <c r="C1203" s="3"/>
      <c r="D1203" s="4"/>
      <c r="E1203" s="5"/>
      <c r="F1203" s="5"/>
      <c r="G1203" s="2"/>
      <c r="H1203" s="6"/>
      <c r="I1203" s="4"/>
      <c r="J1203" s="2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>
      <c r="A1204" s="5"/>
      <c r="B1204" s="2"/>
      <c r="C1204" s="3"/>
      <c r="D1204" s="4"/>
      <c r="E1204" s="5"/>
      <c r="F1204" s="5"/>
      <c r="G1204" s="2"/>
      <c r="H1204" s="6"/>
      <c r="I1204" s="4"/>
      <c r="J1204" s="2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>
      <c r="A1205" s="5"/>
      <c r="B1205" s="2"/>
      <c r="C1205" s="3"/>
      <c r="D1205" s="4"/>
      <c r="E1205" s="5"/>
      <c r="F1205" s="5"/>
      <c r="G1205" s="2"/>
      <c r="H1205" s="6"/>
      <c r="I1205" s="4"/>
      <c r="J1205" s="2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>
      <c r="A1206" s="5"/>
      <c r="B1206" s="2"/>
      <c r="C1206" s="3"/>
      <c r="D1206" s="4"/>
      <c r="E1206" s="5"/>
      <c r="F1206" s="5"/>
      <c r="G1206" s="2"/>
      <c r="H1206" s="6"/>
      <c r="I1206" s="4"/>
      <c r="J1206" s="2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>
      <c r="A1207" s="5"/>
      <c r="B1207" s="2"/>
      <c r="C1207" s="3"/>
      <c r="D1207" s="4"/>
      <c r="E1207" s="5"/>
      <c r="F1207" s="5"/>
      <c r="G1207" s="2"/>
      <c r="H1207" s="6"/>
      <c r="I1207" s="4"/>
      <c r="J1207" s="2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>
      <c r="A1208" s="5"/>
      <c r="B1208" s="2"/>
      <c r="C1208" s="3"/>
      <c r="D1208" s="4"/>
      <c r="E1208" s="5"/>
      <c r="F1208" s="5"/>
      <c r="G1208" s="2"/>
      <c r="H1208" s="6"/>
      <c r="I1208" s="4"/>
      <c r="J1208" s="2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>
      <c r="A1209" s="5"/>
      <c r="B1209" s="2"/>
      <c r="C1209" s="3"/>
      <c r="D1209" s="4"/>
      <c r="E1209" s="5"/>
      <c r="F1209" s="5"/>
      <c r="G1209" s="2"/>
      <c r="H1209" s="6"/>
      <c r="I1209" s="4"/>
      <c r="J1209" s="2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>
      <c r="A1210" s="5"/>
      <c r="B1210" s="2"/>
      <c r="C1210" s="3"/>
      <c r="D1210" s="4"/>
      <c r="E1210" s="5"/>
      <c r="F1210" s="5"/>
      <c r="G1210" s="2"/>
      <c r="H1210" s="6"/>
      <c r="I1210" s="4"/>
      <c r="J1210" s="2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>
      <c r="A1211" s="5"/>
      <c r="B1211" s="2"/>
      <c r="C1211" s="3"/>
      <c r="D1211" s="4"/>
      <c r="E1211" s="5"/>
      <c r="F1211" s="5"/>
      <c r="G1211" s="2"/>
      <c r="H1211" s="6"/>
      <c r="I1211" s="4"/>
      <c r="J1211" s="2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>
      <c r="A1212" s="5"/>
      <c r="B1212" s="2"/>
      <c r="C1212" s="3"/>
      <c r="D1212" s="4"/>
      <c r="E1212" s="5"/>
      <c r="F1212" s="5"/>
      <c r="G1212" s="2"/>
      <c r="H1212" s="6"/>
      <c r="I1212" s="4"/>
      <c r="J1212" s="2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>
      <c r="A1213" s="5"/>
      <c r="B1213" s="2"/>
      <c r="C1213" s="3"/>
      <c r="D1213" s="4"/>
      <c r="E1213" s="5"/>
      <c r="F1213" s="5"/>
      <c r="G1213" s="2"/>
      <c r="H1213" s="6"/>
      <c r="I1213" s="4"/>
      <c r="J1213" s="2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>
      <c r="A1214" s="5"/>
      <c r="B1214" s="2"/>
      <c r="C1214" s="3"/>
      <c r="D1214" s="4"/>
      <c r="E1214" s="5"/>
      <c r="F1214" s="5"/>
      <c r="G1214" s="2"/>
      <c r="H1214" s="6"/>
      <c r="I1214" s="4"/>
      <c r="J1214" s="2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>
      <c r="A1215" s="5"/>
      <c r="B1215" s="2"/>
      <c r="C1215" s="3"/>
      <c r="D1215" s="4"/>
      <c r="E1215" s="5"/>
      <c r="F1215" s="5"/>
      <c r="G1215" s="2"/>
      <c r="H1215" s="6"/>
      <c r="I1215" s="4"/>
      <c r="J1215" s="2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>
      <c r="A1216" s="5"/>
      <c r="B1216" s="2"/>
      <c r="C1216" s="3"/>
      <c r="D1216" s="4"/>
      <c r="E1216" s="5"/>
      <c r="F1216" s="5"/>
      <c r="G1216" s="2"/>
      <c r="H1216" s="6"/>
      <c r="I1216" s="4"/>
      <c r="J1216" s="2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>
      <c r="A1217" s="5"/>
      <c r="B1217" s="2"/>
      <c r="C1217" s="3"/>
      <c r="D1217" s="4"/>
      <c r="E1217" s="5"/>
      <c r="F1217" s="5"/>
      <c r="G1217" s="2"/>
      <c r="H1217" s="6"/>
      <c r="I1217" s="4"/>
      <c r="J1217" s="2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>
      <c r="A1218" s="5"/>
      <c r="B1218" s="2"/>
      <c r="C1218" s="3"/>
      <c r="D1218" s="4"/>
      <c r="E1218" s="5"/>
      <c r="F1218" s="5"/>
      <c r="G1218" s="2"/>
      <c r="H1218" s="6"/>
      <c r="I1218" s="4"/>
      <c r="J1218" s="2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>
      <c r="A1219" s="5"/>
      <c r="B1219" s="2"/>
      <c r="C1219" s="3"/>
      <c r="D1219" s="4"/>
      <c r="E1219" s="5"/>
      <c r="F1219" s="5"/>
      <c r="G1219" s="2"/>
      <c r="H1219" s="6"/>
      <c r="I1219" s="4"/>
      <c r="J1219" s="2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>
      <c r="A1220" s="5"/>
      <c r="B1220" s="2"/>
      <c r="C1220" s="3"/>
      <c r="D1220" s="4"/>
      <c r="E1220" s="5"/>
      <c r="F1220" s="5"/>
      <c r="G1220" s="2"/>
      <c r="H1220" s="6"/>
      <c r="I1220" s="4"/>
      <c r="J1220" s="2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>
      <c r="A1221" s="5"/>
      <c r="B1221" s="2"/>
      <c r="C1221" s="3"/>
      <c r="D1221" s="4"/>
      <c r="E1221" s="5"/>
      <c r="F1221" s="5"/>
      <c r="G1221" s="2"/>
      <c r="H1221" s="6"/>
      <c r="I1221" s="4"/>
      <c r="J1221" s="2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>
      <c r="A1222" s="5"/>
      <c r="B1222" s="2"/>
      <c r="C1222" s="3"/>
      <c r="D1222" s="4"/>
      <c r="E1222" s="5"/>
      <c r="F1222" s="5"/>
      <c r="G1222" s="2"/>
      <c r="H1222" s="6"/>
      <c r="I1222" s="4"/>
      <c r="J1222" s="2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>
      <c r="A1223" s="5"/>
      <c r="B1223" s="2"/>
      <c r="C1223" s="3"/>
      <c r="D1223" s="4"/>
      <c r="E1223" s="5"/>
      <c r="F1223" s="5"/>
      <c r="G1223" s="2"/>
      <c r="H1223" s="6"/>
      <c r="I1223" s="4"/>
      <c r="J1223" s="2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>
      <c r="A1224" s="5"/>
      <c r="B1224" s="2"/>
      <c r="C1224" s="3"/>
      <c r="D1224" s="4"/>
      <c r="E1224" s="5"/>
      <c r="F1224" s="5"/>
      <c r="G1224" s="2"/>
      <c r="H1224" s="6"/>
      <c r="I1224" s="4"/>
      <c r="J1224" s="2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>
      <c r="A1225" s="5"/>
      <c r="B1225" s="2"/>
      <c r="C1225" s="3"/>
      <c r="D1225" s="4"/>
      <c r="E1225" s="5"/>
      <c r="F1225" s="5"/>
      <c r="G1225" s="2"/>
      <c r="H1225" s="6"/>
      <c r="I1225" s="4"/>
      <c r="J1225" s="2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>
      <c r="A1226" s="5"/>
      <c r="B1226" s="2"/>
      <c r="C1226" s="3"/>
      <c r="D1226" s="4"/>
      <c r="E1226" s="5"/>
      <c r="F1226" s="5"/>
      <c r="G1226" s="2"/>
      <c r="H1226" s="6"/>
      <c r="I1226" s="4"/>
      <c r="J1226" s="2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>
      <c r="A1227" s="5"/>
      <c r="B1227" s="2"/>
      <c r="C1227" s="3"/>
      <c r="D1227" s="4"/>
      <c r="E1227" s="5"/>
      <c r="F1227" s="5"/>
      <c r="G1227" s="2"/>
      <c r="H1227" s="6"/>
      <c r="I1227" s="4"/>
      <c r="J1227" s="2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>
      <c r="A1228" s="5"/>
      <c r="B1228" s="2"/>
      <c r="C1228" s="3"/>
      <c r="D1228" s="4"/>
      <c r="E1228" s="5"/>
      <c r="F1228" s="5"/>
      <c r="G1228" s="2"/>
      <c r="H1228" s="6"/>
      <c r="I1228" s="4"/>
      <c r="J1228" s="2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>
      <c r="A1229" s="5"/>
      <c r="B1229" s="2"/>
      <c r="C1229" s="3"/>
      <c r="D1229" s="4"/>
      <c r="E1229" s="5"/>
      <c r="F1229" s="5"/>
      <c r="G1229" s="2"/>
      <c r="H1229" s="6"/>
      <c r="I1229" s="4"/>
      <c r="J1229" s="2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>
      <c r="A1230" s="5"/>
      <c r="B1230" s="2"/>
      <c r="C1230" s="3"/>
      <c r="D1230" s="4"/>
      <c r="E1230" s="5"/>
      <c r="F1230" s="5"/>
      <c r="G1230" s="2"/>
      <c r="H1230" s="6"/>
      <c r="I1230" s="4"/>
      <c r="J1230" s="2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>
      <c r="A1231" s="5"/>
      <c r="B1231" s="2"/>
      <c r="C1231" s="3"/>
      <c r="D1231" s="4"/>
      <c r="E1231" s="5"/>
      <c r="F1231" s="5"/>
      <c r="G1231" s="2"/>
      <c r="H1231" s="6"/>
      <c r="I1231" s="4"/>
      <c r="J1231" s="2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>
      <c r="A1232" s="5"/>
      <c r="B1232" s="2"/>
      <c r="C1232" s="3"/>
      <c r="D1232" s="4"/>
      <c r="E1232" s="5"/>
      <c r="F1232" s="5"/>
      <c r="G1232" s="2"/>
      <c r="H1232" s="6"/>
      <c r="I1232" s="4"/>
      <c r="J1232" s="2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>
      <c r="A1233" s="5"/>
      <c r="B1233" s="2"/>
      <c r="C1233" s="3"/>
      <c r="D1233" s="4"/>
      <c r="E1233" s="5"/>
      <c r="F1233" s="5"/>
      <c r="G1233" s="2"/>
      <c r="H1233" s="6"/>
      <c r="I1233" s="4"/>
      <c r="J1233" s="2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>
      <c r="A1234" s="5"/>
      <c r="B1234" s="2"/>
      <c r="C1234" s="3"/>
      <c r="D1234" s="4"/>
      <c r="E1234" s="5"/>
      <c r="F1234" s="5"/>
      <c r="G1234" s="2"/>
      <c r="H1234" s="6"/>
      <c r="I1234" s="4"/>
      <c r="J1234" s="2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>
      <c r="A1235" s="5"/>
      <c r="B1235" s="2"/>
      <c r="C1235" s="3"/>
      <c r="D1235" s="4"/>
      <c r="E1235" s="5"/>
      <c r="F1235" s="5"/>
      <c r="G1235" s="2"/>
      <c r="H1235" s="6"/>
      <c r="I1235" s="4"/>
      <c r="J1235" s="2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>
      <c r="A1236" s="5"/>
      <c r="B1236" s="2"/>
      <c r="C1236" s="3"/>
      <c r="D1236" s="4"/>
      <c r="E1236" s="5"/>
      <c r="F1236" s="5"/>
      <c r="G1236" s="2"/>
      <c r="H1236" s="6"/>
      <c r="I1236" s="4"/>
      <c r="J1236" s="2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>
      <c r="A1237" s="5"/>
      <c r="B1237" s="2"/>
      <c r="C1237" s="3"/>
      <c r="D1237" s="4"/>
      <c r="E1237" s="5"/>
      <c r="F1237" s="5"/>
      <c r="G1237" s="2"/>
      <c r="H1237" s="6"/>
      <c r="I1237" s="4"/>
      <c r="J1237" s="2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>
      <c r="A1238" s="5"/>
      <c r="B1238" s="2"/>
      <c r="C1238" s="3"/>
      <c r="D1238" s="4"/>
      <c r="E1238" s="5"/>
      <c r="F1238" s="5"/>
      <c r="G1238" s="2"/>
      <c r="H1238" s="6"/>
      <c r="I1238" s="4"/>
      <c r="J1238" s="2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>
      <c r="A1239" s="5"/>
      <c r="B1239" s="2"/>
      <c r="C1239" s="3"/>
      <c r="D1239" s="4"/>
      <c r="E1239" s="5"/>
      <c r="F1239" s="5"/>
      <c r="G1239" s="2"/>
      <c r="H1239" s="6"/>
      <c r="I1239" s="4"/>
      <c r="J1239" s="2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>
      <c r="A1240" s="5"/>
      <c r="B1240" s="2"/>
      <c r="C1240" s="3"/>
      <c r="D1240" s="4"/>
      <c r="E1240" s="5"/>
      <c r="F1240" s="5"/>
      <c r="G1240" s="2"/>
      <c r="H1240" s="6"/>
      <c r="I1240" s="4"/>
      <c r="J1240" s="2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>
      <c r="A1241" s="5"/>
      <c r="B1241" s="2"/>
      <c r="C1241" s="3"/>
      <c r="D1241" s="4"/>
      <c r="E1241" s="5"/>
      <c r="F1241" s="5"/>
      <c r="G1241" s="2"/>
      <c r="H1241" s="6"/>
      <c r="I1241" s="4"/>
      <c r="J1241" s="2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>
      <c r="A1242" s="5"/>
      <c r="B1242" s="2"/>
      <c r="C1242" s="3"/>
      <c r="D1242" s="4"/>
      <c r="E1242" s="5"/>
      <c r="F1242" s="5"/>
      <c r="G1242" s="2"/>
      <c r="H1242" s="6"/>
      <c r="I1242" s="4"/>
      <c r="J1242" s="2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>
      <c r="A1243" s="5"/>
      <c r="B1243" s="2"/>
      <c r="C1243" s="3"/>
      <c r="D1243" s="4"/>
      <c r="E1243" s="5"/>
      <c r="F1243" s="5"/>
      <c r="G1243" s="2"/>
      <c r="H1243" s="6"/>
      <c r="I1243" s="4"/>
      <c r="J1243" s="2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>
      <c r="A1244" s="5"/>
      <c r="B1244" s="2"/>
      <c r="C1244" s="3"/>
      <c r="D1244" s="4"/>
      <c r="E1244" s="5"/>
      <c r="F1244" s="5"/>
      <c r="G1244" s="2"/>
      <c r="H1244" s="6"/>
      <c r="I1244" s="4"/>
      <c r="J1244" s="2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>
      <c r="A1245" s="5"/>
      <c r="B1245" s="2"/>
      <c r="C1245" s="3"/>
      <c r="D1245" s="4"/>
      <c r="E1245" s="5"/>
      <c r="F1245" s="5"/>
      <c r="G1245" s="2"/>
      <c r="H1245" s="6"/>
      <c r="I1245" s="4"/>
      <c r="J1245" s="2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>
      <c r="A1246" s="5"/>
      <c r="B1246" s="2"/>
      <c r="C1246" s="3"/>
      <c r="D1246" s="4"/>
      <c r="E1246" s="5"/>
      <c r="F1246" s="5"/>
      <c r="G1246" s="2"/>
      <c r="H1246" s="6"/>
      <c r="I1246" s="4"/>
      <c r="J1246" s="2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>
      <c r="A1247" s="5"/>
      <c r="B1247" s="2"/>
      <c r="C1247" s="3"/>
      <c r="D1247" s="4"/>
      <c r="E1247" s="5"/>
      <c r="F1247" s="5"/>
      <c r="G1247" s="2"/>
      <c r="H1247" s="6"/>
      <c r="I1247" s="4"/>
      <c r="J1247" s="2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>
      <c r="A1248" s="5"/>
      <c r="B1248" s="2"/>
      <c r="C1248" s="3"/>
      <c r="D1248" s="4"/>
      <c r="E1248" s="5"/>
      <c r="F1248" s="5"/>
      <c r="G1248" s="2"/>
      <c r="H1248" s="6"/>
      <c r="I1248" s="4"/>
      <c r="J1248" s="2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>
      <c r="A1249" s="5"/>
      <c r="B1249" s="2"/>
      <c r="C1249" s="3"/>
      <c r="D1249" s="4"/>
      <c r="E1249" s="5"/>
      <c r="F1249" s="5"/>
      <c r="G1249" s="2"/>
      <c r="H1249" s="6"/>
      <c r="I1249" s="4"/>
      <c r="J1249" s="2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>
      <c r="A1250" s="5"/>
      <c r="B1250" s="2"/>
      <c r="C1250" s="3"/>
      <c r="D1250" s="4"/>
      <c r="E1250" s="5"/>
      <c r="F1250" s="5"/>
      <c r="G1250" s="2"/>
      <c r="H1250" s="6"/>
      <c r="I1250" s="4"/>
      <c r="J1250" s="2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>
      <c r="A1251" s="5"/>
      <c r="B1251" s="2"/>
      <c r="C1251" s="3"/>
      <c r="D1251" s="4"/>
      <c r="E1251" s="5"/>
      <c r="F1251" s="5"/>
      <c r="G1251" s="2"/>
      <c r="H1251" s="6"/>
      <c r="I1251" s="4"/>
      <c r="J1251" s="2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>
      <c r="A1252" s="5"/>
      <c r="B1252" s="2"/>
      <c r="C1252" s="3"/>
      <c r="D1252" s="4"/>
      <c r="E1252" s="5"/>
      <c r="F1252" s="5"/>
      <c r="G1252" s="2"/>
      <c r="H1252" s="6"/>
      <c r="I1252" s="4"/>
      <c r="J1252" s="2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>
      <c r="A1253" s="5"/>
      <c r="B1253" s="2"/>
      <c r="C1253" s="3"/>
      <c r="D1253" s="4"/>
      <c r="E1253" s="5"/>
      <c r="F1253" s="5"/>
      <c r="G1253" s="2"/>
      <c r="H1253" s="6"/>
      <c r="I1253" s="4"/>
      <c r="J1253" s="2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>
      <c r="A1254" s="5"/>
      <c r="B1254" s="2"/>
      <c r="C1254" s="3"/>
      <c r="D1254" s="4"/>
      <c r="E1254" s="5"/>
      <c r="F1254" s="5"/>
      <c r="G1254" s="2"/>
      <c r="H1254" s="6"/>
      <c r="I1254" s="4"/>
      <c r="J1254" s="2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>
      <c r="A1255" s="5"/>
      <c r="B1255" s="2"/>
      <c r="C1255" s="3"/>
      <c r="D1255" s="4"/>
      <c r="E1255" s="5"/>
      <c r="F1255" s="5"/>
      <c r="G1255" s="2"/>
      <c r="H1255" s="6"/>
      <c r="I1255" s="4"/>
      <c r="J1255" s="2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>
      <c r="A1256" s="5"/>
      <c r="B1256" s="2"/>
      <c r="C1256" s="3"/>
      <c r="D1256" s="4"/>
      <c r="E1256" s="5"/>
      <c r="F1256" s="5"/>
      <c r="G1256" s="2"/>
      <c r="H1256" s="6"/>
      <c r="I1256" s="4"/>
      <c r="J1256" s="2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>
      <c r="A1257" s="5"/>
      <c r="B1257" s="2"/>
      <c r="C1257" s="3"/>
      <c r="D1257" s="4"/>
      <c r="E1257" s="5"/>
      <c r="F1257" s="5"/>
      <c r="G1257" s="2"/>
      <c r="H1257" s="6"/>
      <c r="I1257" s="4"/>
      <c r="J1257" s="2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>
      <c r="A1258" s="5"/>
      <c r="B1258" s="2"/>
      <c r="C1258" s="3"/>
      <c r="D1258" s="4"/>
      <c r="E1258" s="5"/>
      <c r="F1258" s="5"/>
      <c r="G1258" s="2"/>
      <c r="H1258" s="6"/>
      <c r="I1258" s="4"/>
      <c r="J1258" s="2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>
      <c r="A1259" s="5"/>
      <c r="B1259" s="2"/>
      <c r="C1259" s="3"/>
      <c r="D1259" s="4"/>
      <c r="E1259" s="5"/>
      <c r="F1259" s="5"/>
      <c r="G1259" s="2"/>
      <c r="H1259" s="6"/>
      <c r="I1259" s="4"/>
      <c r="J1259" s="2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>
      <c r="A1260" s="5"/>
      <c r="B1260" s="2"/>
      <c r="C1260" s="3"/>
      <c r="D1260" s="4"/>
      <c r="E1260" s="5"/>
      <c r="F1260" s="5"/>
      <c r="G1260" s="2"/>
      <c r="H1260" s="6"/>
      <c r="I1260" s="4"/>
      <c r="J1260" s="2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>
      <c r="A1261" s="5"/>
      <c r="B1261" s="2"/>
      <c r="C1261" s="3"/>
      <c r="D1261" s="4"/>
      <c r="E1261" s="5"/>
      <c r="F1261" s="5"/>
      <c r="G1261" s="2"/>
      <c r="H1261" s="6"/>
      <c r="I1261" s="4"/>
      <c r="J1261" s="2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>
      <c r="A1262" s="5"/>
      <c r="B1262" s="2"/>
      <c r="C1262" s="3"/>
      <c r="D1262" s="4"/>
      <c r="E1262" s="5"/>
      <c r="F1262" s="5"/>
      <c r="G1262" s="2"/>
      <c r="H1262" s="6"/>
      <c r="I1262" s="4"/>
      <c r="J1262" s="2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>
      <c r="A1263" s="5"/>
      <c r="B1263" s="2"/>
      <c r="C1263" s="3"/>
      <c r="D1263" s="4"/>
      <c r="E1263" s="5"/>
      <c r="F1263" s="5"/>
      <c r="G1263" s="2"/>
      <c r="H1263" s="6"/>
      <c r="I1263" s="4"/>
      <c r="J1263" s="2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>
      <c r="A1264" s="5"/>
      <c r="B1264" s="2"/>
      <c r="C1264" s="3"/>
      <c r="D1264" s="4"/>
      <c r="E1264" s="5"/>
      <c r="F1264" s="5"/>
      <c r="G1264" s="2"/>
      <c r="H1264" s="6"/>
      <c r="I1264" s="4"/>
      <c r="J1264" s="2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>
      <c r="A1265" s="5"/>
      <c r="B1265" s="2"/>
      <c r="C1265" s="3"/>
      <c r="D1265" s="4"/>
      <c r="E1265" s="5"/>
      <c r="F1265" s="5"/>
      <c r="G1265" s="2"/>
      <c r="H1265" s="6"/>
      <c r="I1265" s="4"/>
      <c r="J1265" s="2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>
      <c r="A1266" s="5"/>
      <c r="B1266" s="2"/>
      <c r="C1266" s="3"/>
      <c r="D1266" s="4"/>
      <c r="E1266" s="5"/>
      <c r="F1266" s="5"/>
      <c r="G1266" s="2"/>
      <c r="H1266" s="6"/>
      <c r="I1266" s="4"/>
      <c r="J1266" s="2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>
      <c r="A1267" s="5"/>
      <c r="B1267" s="2"/>
      <c r="C1267" s="3"/>
      <c r="D1267" s="4"/>
      <c r="E1267" s="5"/>
      <c r="F1267" s="5"/>
      <c r="G1267" s="2"/>
      <c r="H1267" s="6"/>
      <c r="I1267" s="4"/>
      <c r="J1267" s="2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>
      <c r="A1268" s="5"/>
      <c r="B1268" s="2"/>
      <c r="C1268" s="3"/>
      <c r="D1268" s="4"/>
      <c r="E1268" s="5"/>
      <c r="F1268" s="5"/>
      <c r="G1268" s="2"/>
      <c r="H1268" s="6"/>
      <c r="I1268" s="4"/>
      <c r="J1268" s="2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>
      <c r="A1269" s="5"/>
      <c r="B1269" s="2"/>
      <c r="C1269" s="3"/>
      <c r="D1269" s="4"/>
      <c r="E1269" s="5"/>
      <c r="F1269" s="5"/>
      <c r="G1269" s="2"/>
      <c r="H1269" s="6"/>
      <c r="I1269" s="4"/>
      <c r="J1269" s="2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>
      <c r="A1270" s="5"/>
      <c r="B1270" s="2"/>
      <c r="C1270" s="3"/>
      <c r="D1270" s="4"/>
      <c r="E1270" s="5"/>
      <c r="F1270" s="5"/>
      <c r="G1270" s="2"/>
      <c r="H1270" s="6"/>
      <c r="I1270" s="4"/>
      <c r="J1270" s="2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>
      <c r="A1271" s="5"/>
      <c r="B1271" s="2"/>
      <c r="C1271" s="3"/>
      <c r="D1271" s="4"/>
      <c r="E1271" s="5"/>
      <c r="F1271" s="5"/>
      <c r="G1271" s="2"/>
      <c r="H1271" s="6"/>
      <c r="I1271" s="4"/>
      <c r="J1271" s="2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>
      <c r="A1272" s="5"/>
      <c r="B1272" s="2"/>
      <c r="C1272" s="3"/>
      <c r="D1272" s="4"/>
      <c r="E1272" s="5"/>
      <c r="F1272" s="5"/>
      <c r="G1272" s="2"/>
      <c r="H1272" s="6"/>
      <c r="I1272" s="4"/>
      <c r="J1272" s="2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>
      <c r="A1273" s="5"/>
      <c r="B1273" s="2"/>
      <c r="C1273" s="3"/>
      <c r="D1273" s="4"/>
      <c r="E1273" s="5"/>
      <c r="F1273" s="5"/>
      <c r="G1273" s="2"/>
      <c r="H1273" s="6"/>
      <c r="I1273" s="4"/>
      <c r="J1273" s="2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>
      <c r="A1274" s="5"/>
      <c r="B1274" s="2"/>
      <c r="C1274" s="3"/>
      <c r="D1274" s="4"/>
      <c r="E1274" s="5"/>
      <c r="F1274" s="5"/>
      <c r="G1274" s="2"/>
      <c r="H1274" s="6"/>
      <c r="I1274" s="4"/>
      <c r="J1274" s="2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>
      <c r="A1275" s="5"/>
      <c r="B1275" s="2"/>
      <c r="C1275" s="3"/>
      <c r="D1275" s="4"/>
      <c r="E1275" s="5"/>
      <c r="F1275" s="5"/>
      <c r="G1275" s="2"/>
      <c r="H1275" s="6"/>
      <c r="I1275" s="4"/>
      <c r="J1275" s="2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>
      <c r="A1276" s="5"/>
      <c r="B1276" s="2"/>
      <c r="C1276" s="3"/>
      <c r="D1276" s="4"/>
      <c r="E1276" s="5"/>
      <c r="F1276" s="5"/>
      <c r="G1276" s="2"/>
      <c r="H1276" s="6"/>
      <c r="I1276" s="4"/>
      <c r="J1276" s="2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>
      <c r="A1277" s="5"/>
      <c r="B1277" s="2"/>
      <c r="C1277" s="3"/>
      <c r="D1277" s="4"/>
      <c r="E1277" s="5"/>
      <c r="F1277" s="5"/>
      <c r="G1277" s="2"/>
      <c r="H1277" s="6"/>
      <c r="I1277" s="4"/>
      <c r="J1277" s="2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>
      <c r="A1278" s="5"/>
      <c r="B1278" s="2"/>
      <c r="C1278" s="3"/>
      <c r="D1278" s="4"/>
      <c r="E1278" s="5"/>
      <c r="F1278" s="5"/>
      <c r="G1278" s="2"/>
      <c r="H1278" s="6"/>
      <c r="I1278" s="4"/>
      <c r="J1278" s="2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>
      <c r="A1279" s="5"/>
      <c r="B1279" s="2"/>
      <c r="C1279" s="3"/>
      <c r="D1279" s="4"/>
      <c r="E1279" s="5"/>
      <c r="F1279" s="5"/>
      <c r="G1279" s="2"/>
      <c r="H1279" s="6"/>
      <c r="I1279" s="4"/>
      <c r="J1279" s="2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>
      <c r="A1280" s="5"/>
      <c r="B1280" s="2"/>
      <c r="C1280" s="3"/>
      <c r="D1280" s="4"/>
      <c r="E1280" s="5"/>
      <c r="F1280" s="5"/>
      <c r="G1280" s="2"/>
      <c r="H1280" s="6"/>
      <c r="I1280" s="4"/>
      <c r="J1280" s="2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>
      <c r="A1281" s="5"/>
      <c r="B1281" s="2"/>
      <c r="C1281" s="3"/>
      <c r="D1281" s="4"/>
      <c r="E1281" s="5"/>
      <c r="F1281" s="5"/>
      <c r="G1281" s="2"/>
      <c r="H1281" s="6"/>
      <c r="I1281" s="4"/>
      <c r="J1281" s="2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>
      <c r="A1282" s="5"/>
      <c r="B1282" s="2"/>
      <c r="C1282" s="3"/>
      <c r="D1282" s="4"/>
      <c r="E1282" s="5"/>
      <c r="F1282" s="5"/>
      <c r="G1282" s="2"/>
      <c r="H1282" s="6"/>
      <c r="I1282" s="4"/>
      <c r="J1282" s="2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>
      <c r="A1283" s="5"/>
      <c r="B1283" s="2"/>
      <c r="C1283" s="3"/>
      <c r="D1283" s="4"/>
      <c r="E1283" s="5"/>
      <c r="F1283" s="5"/>
      <c r="G1283" s="2"/>
      <c r="H1283" s="6"/>
      <c r="I1283" s="4"/>
      <c r="J1283" s="2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>
      <c r="A1284" s="5"/>
      <c r="B1284" s="2"/>
      <c r="C1284" s="3"/>
      <c r="D1284" s="4"/>
      <c r="E1284" s="5"/>
      <c r="F1284" s="5"/>
      <c r="G1284" s="2"/>
      <c r="H1284" s="6"/>
      <c r="I1284" s="4"/>
      <c r="J1284" s="2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>
      <c r="A1285" s="5"/>
      <c r="B1285" s="2"/>
      <c r="C1285" s="3"/>
      <c r="D1285" s="4"/>
      <c r="E1285" s="5"/>
      <c r="F1285" s="5"/>
      <c r="G1285" s="2"/>
      <c r="H1285" s="6"/>
      <c r="I1285" s="4"/>
      <c r="J1285" s="2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</sheetData>
  <autoFilter ref="$B$5:$Q$303">
    <filterColumn colId="8">
      <filters blank="1">
        <filter val="Delivered, Awaiting Payment"/>
        <filter val="Showing Samples"/>
        <filter val="Inquiry"/>
        <filter val="INTERESTED"/>
        <filter val="Ready for COllection"/>
        <filter val="RONI"/>
        <filter val="Awaiting Payment"/>
      </filters>
    </filterColumn>
    <sortState ref="B5:Q303">
      <sortCondition ref="H5:H303"/>
    </sortState>
  </autoFilter>
  <customSheetViews>
    <customSheetView guid="{0D23F570-5269-498A-927E-5520934A5A24}" filter="1" showAutoFilter="1">
      <autoFilter ref="$B$5:$Q$303">
        <filterColumn colId="8">
          <filters blank="1">
            <filter val="Delivered, Awaiting Payment"/>
            <filter val="Showing Samples"/>
            <filter val="In Progress"/>
            <filter val="Inquiry"/>
            <filter val="In Progress, Order SA"/>
            <filter val="INTERESTED"/>
            <filter val="Ready for COllection"/>
            <filter val="RONI"/>
            <filter val="Awaiting Payment"/>
          </filters>
        </filterColumn>
        <sortState ref="B5:Q303">
          <sortCondition ref="H5:H303"/>
        </sortState>
      </autoFilter>
    </customSheetView>
    <customSheetView guid="{DF98F3F8-A947-45F8-9F11-6D24AAA20C2A}" filter="1" showAutoFilter="1">
      <autoFilter ref="$B$5:$Q$303">
        <filterColumn colId="8">
          <filters blank="1">
            <filter val="Delivered, Awaiting Payment"/>
            <filter val="Showing Samples"/>
            <filter val="In Progress"/>
            <filter val="Inquiry"/>
            <filter val="In Progress, Order SA"/>
            <filter val="INTERESTED"/>
            <filter val="Ready for COllection"/>
            <filter val="RONI"/>
            <filter val="Awaiting Payment"/>
          </filters>
        </filterColumn>
        <sortState ref="B5:Q303">
          <sortCondition ref="H5:H303"/>
        </sortState>
      </autoFilter>
    </customSheetView>
    <customSheetView guid="{3328504C-575E-4CD0-B39A-D5CD151BADBA}" filter="1" showAutoFilter="1">
      <autoFilter ref="$B$4:$Q$303"/>
    </customSheetView>
  </customSheetViews>
  <mergeCells count="2">
    <mergeCell ref="E2:Q2"/>
    <mergeCell ref="K4:P4"/>
  </mergeCells>
  <dataValidations>
    <dataValidation type="list" allowBlank="1" showErrorMessage="1" sqref="J6:J192 J194:J303">
      <formula1>"Inquiry,In Progress,Completed,Order SA,Awaiting Payment,Ordered Paramount,Branding,Didnt get job,Showing Samples,ON HOLD FOR NW,SANDRA,EN ROUTE,TEXCOLOUR,DAVE,RONI,Amai Midzi,Ready for COllection,Delivered,INTERESTED"</formula1>
    </dataValidation>
    <dataValidation type="list" allowBlank="1" showErrorMessage="1" sqref="G5">
      <formula1>"Assigned to:(Point Man)"</formula1>
    </dataValidation>
    <dataValidation type="list" allowBlank="1" showErrorMessage="1" sqref="G6:G303">
      <formula1>"BVR,LVR,TAF,MAR"</formula1>
    </dataValidation>
    <dataValidation type="list" allowBlank="1" showErrorMessage="1" sqref="J193">
      <formula1>"Inquiry,In Progress,Completed,Order SA,Awaiting Payment,Ordered Paramount,Branding,Didnt get job,CONFIRMED,Showing Samples,ON HOLD FOR NW,SANDRA,EN ROUTE,TEXCOLOUR,DAVE,RONI,Cancelled"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</cols>
  <sheetData>
    <row r="1">
      <c r="A1" s="55" t="s">
        <v>1068</v>
      </c>
    </row>
    <row r="2">
      <c r="B2" s="55" t="s">
        <v>1069</v>
      </c>
      <c r="E2" s="55" t="s">
        <v>1070</v>
      </c>
      <c r="F2" s="55" t="s">
        <v>1071</v>
      </c>
    </row>
    <row r="3">
      <c r="A3" s="55" t="s">
        <v>1072</v>
      </c>
      <c r="B3" s="55">
        <v>150.0</v>
      </c>
      <c r="C3" s="55">
        <v>8.5</v>
      </c>
      <c r="D3" s="101">
        <f t="shared" ref="D3:D19" si="1">B3*C3</f>
        <v>1275</v>
      </c>
      <c r="E3" s="101" t="b">
        <v>0</v>
      </c>
      <c r="F3" s="101" t="b">
        <v>0</v>
      </c>
      <c r="G3" s="55">
        <v>90.0</v>
      </c>
    </row>
    <row r="4">
      <c r="A4" s="55" t="s">
        <v>1073</v>
      </c>
      <c r="B4" s="55">
        <v>150.0</v>
      </c>
      <c r="C4" s="55">
        <v>9.5</v>
      </c>
      <c r="D4" s="101">
        <f t="shared" si="1"/>
        <v>1425</v>
      </c>
      <c r="E4" s="101" t="b">
        <v>0</v>
      </c>
      <c r="F4" s="101" t="b">
        <v>0</v>
      </c>
    </row>
    <row r="5">
      <c r="A5" s="55" t="s">
        <v>1074</v>
      </c>
      <c r="B5" s="55">
        <v>50.0</v>
      </c>
      <c r="C5" s="55">
        <v>10.5</v>
      </c>
      <c r="D5" s="101">
        <f t="shared" si="1"/>
        <v>525</v>
      </c>
      <c r="E5" s="101" t="b">
        <v>0</v>
      </c>
      <c r="F5" s="101" t="b">
        <v>0</v>
      </c>
    </row>
    <row r="6">
      <c r="A6" s="55" t="s">
        <v>1075</v>
      </c>
      <c r="B6" s="55">
        <v>150.0</v>
      </c>
      <c r="C6" s="55">
        <v>10.5</v>
      </c>
      <c r="D6" s="101">
        <f t="shared" si="1"/>
        <v>1575</v>
      </c>
      <c r="E6" s="101" t="b">
        <v>0</v>
      </c>
      <c r="F6" s="101" t="b">
        <v>0</v>
      </c>
    </row>
    <row r="7">
      <c r="A7" s="55" t="s">
        <v>1076</v>
      </c>
      <c r="B7" s="55">
        <v>150.0</v>
      </c>
      <c r="C7" s="55">
        <v>9.0</v>
      </c>
      <c r="D7" s="101">
        <f t="shared" si="1"/>
        <v>1350</v>
      </c>
      <c r="E7" s="55" t="b">
        <v>1</v>
      </c>
      <c r="F7" s="101" t="b">
        <v>0</v>
      </c>
    </row>
    <row r="8">
      <c r="A8" s="55" t="s">
        <v>1077</v>
      </c>
      <c r="B8" s="55">
        <v>45.0</v>
      </c>
      <c r="C8" s="55">
        <v>5.0</v>
      </c>
      <c r="D8" s="101">
        <f t="shared" si="1"/>
        <v>225</v>
      </c>
      <c r="E8" s="101" t="b">
        <v>0</v>
      </c>
      <c r="F8" s="101" t="b">
        <v>0</v>
      </c>
    </row>
    <row r="9">
      <c r="A9" s="55" t="s">
        <v>1078</v>
      </c>
      <c r="B9" s="55">
        <v>150.0</v>
      </c>
      <c r="C9" s="55">
        <v>8.9</v>
      </c>
      <c r="D9" s="101">
        <f t="shared" si="1"/>
        <v>1335</v>
      </c>
      <c r="E9" s="101" t="b">
        <v>0</v>
      </c>
      <c r="F9" s="101" t="b">
        <v>0</v>
      </c>
    </row>
    <row r="10">
      <c r="A10" s="55" t="s">
        <v>1079</v>
      </c>
      <c r="B10" s="55">
        <v>100.0</v>
      </c>
      <c r="C10" s="55">
        <v>8.9</v>
      </c>
      <c r="D10" s="101">
        <f t="shared" si="1"/>
        <v>890</v>
      </c>
      <c r="E10" s="101" t="b">
        <v>0</v>
      </c>
      <c r="F10" s="101" t="b">
        <v>0</v>
      </c>
    </row>
    <row r="11">
      <c r="A11" s="55" t="s">
        <v>1080</v>
      </c>
      <c r="B11" s="55">
        <v>100.0</v>
      </c>
      <c r="C11" s="55">
        <v>8.9</v>
      </c>
      <c r="D11" s="101">
        <f t="shared" si="1"/>
        <v>890</v>
      </c>
      <c r="E11" s="101" t="b">
        <v>0</v>
      </c>
      <c r="F11" s="101" t="b">
        <v>0</v>
      </c>
    </row>
    <row r="12">
      <c r="A12" s="55" t="s">
        <v>1081</v>
      </c>
      <c r="B12" s="55">
        <v>150.0</v>
      </c>
      <c r="C12" s="55">
        <v>8.9</v>
      </c>
      <c r="D12" s="101">
        <f t="shared" si="1"/>
        <v>1335</v>
      </c>
      <c r="E12" s="101" t="b">
        <v>0</v>
      </c>
      <c r="F12" s="101" t="b">
        <v>0</v>
      </c>
    </row>
    <row r="13">
      <c r="A13" s="55" t="s">
        <v>1082</v>
      </c>
      <c r="B13" s="55">
        <v>100.0</v>
      </c>
      <c r="C13" s="55">
        <v>8.9</v>
      </c>
      <c r="D13" s="101">
        <f t="shared" si="1"/>
        <v>890</v>
      </c>
      <c r="E13" s="101" t="b">
        <v>0</v>
      </c>
      <c r="F13" s="101" t="b">
        <v>0</v>
      </c>
    </row>
    <row r="14">
      <c r="A14" s="55" t="s">
        <v>1083</v>
      </c>
      <c r="B14" s="55">
        <v>100.0</v>
      </c>
      <c r="C14" s="55">
        <v>8.9</v>
      </c>
      <c r="D14" s="101">
        <f t="shared" si="1"/>
        <v>890</v>
      </c>
      <c r="E14" s="101" t="b">
        <v>0</v>
      </c>
      <c r="F14" s="101" t="b">
        <v>0</v>
      </c>
    </row>
    <row r="15">
      <c r="A15" s="55" t="s">
        <v>1084</v>
      </c>
      <c r="B15" s="55">
        <v>100.0</v>
      </c>
      <c r="C15" s="55">
        <v>11.9</v>
      </c>
      <c r="D15" s="101">
        <f t="shared" si="1"/>
        <v>1190</v>
      </c>
      <c r="E15" s="101" t="b">
        <v>0</v>
      </c>
      <c r="F15" s="101" t="b">
        <v>0</v>
      </c>
    </row>
    <row r="16">
      <c r="A16" s="55" t="s">
        <v>1085</v>
      </c>
      <c r="B16" s="55">
        <v>50.0</v>
      </c>
      <c r="C16" s="55">
        <v>25.0</v>
      </c>
      <c r="D16" s="101">
        <f t="shared" si="1"/>
        <v>1250</v>
      </c>
      <c r="E16" s="101" t="b">
        <v>0</v>
      </c>
      <c r="F16" s="101" t="b">
        <v>0</v>
      </c>
    </row>
    <row r="17">
      <c r="A17" s="55" t="s">
        <v>1086</v>
      </c>
      <c r="B17" s="55">
        <v>50.0</v>
      </c>
      <c r="C17" s="55">
        <v>25.0</v>
      </c>
      <c r="D17" s="101">
        <f t="shared" si="1"/>
        <v>1250</v>
      </c>
      <c r="E17" s="101" t="b">
        <v>0</v>
      </c>
      <c r="F17" s="101" t="b">
        <v>0</v>
      </c>
    </row>
    <row r="18">
      <c r="A18" s="55" t="s">
        <v>1087</v>
      </c>
      <c r="B18" s="55">
        <v>200.0</v>
      </c>
      <c r="C18" s="55">
        <v>24.5</v>
      </c>
      <c r="D18" s="101">
        <f t="shared" si="1"/>
        <v>4900</v>
      </c>
      <c r="E18" s="55" t="b">
        <v>1</v>
      </c>
      <c r="F18" s="101" t="b">
        <v>0</v>
      </c>
    </row>
    <row r="19">
      <c r="A19" s="55" t="s">
        <v>194</v>
      </c>
      <c r="B19" s="55">
        <v>100.0</v>
      </c>
      <c r="C19" s="55">
        <v>19.5</v>
      </c>
      <c r="D19" s="101">
        <f t="shared" si="1"/>
        <v>1950</v>
      </c>
      <c r="E19" s="55" t="b">
        <v>1</v>
      </c>
      <c r="F19" s="101" t="b">
        <v>0</v>
      </c>
    </row>
    <row r="20">
      <c r="E20" s="101" t="b">
        <v>0</v>
      </c>
      <c r="F20" s="101" t="b">
        <v>0</v>
      </c>
    </row>
    <row r="21">
      <c r="D21" s="101">
        <f>SUM(D3:D19)</f>
        <v>23145</v>
      </c>
      <c r="E21" s="101" t="b">
        <v>0</v>
      </c>
      <c r="F21" s="101" t="b">
        <v>0</v>
      </c>
    </row>
    <row r="22">
      <c r="A22" s="55" t="s">
        <v>1088</v>
      </c>
      <c r="D22" s="55">
        <v>840.0</v>
      </c>
      <c r="E22" s="101" t="b">
        <v>0</v>
      </c>
      <c r="F22" s="101" t="b">
        <v>0</v>
      </c>
    </row>
    <row r="23">
      <c r="D23" s="101">
        <f>D21+D22</f>
        <v>23985</v>
      </c>
      <c r="E23" s="101" t="b">
        <v>0</v>
      </c>
      <c r="F23" s="101" t="b">
        <v>0</v>
      </c>
    </row>
    <row r="24">
      <c r="C24" s="102">
        <v>0.15</v>
      </c>
      <c r="D24" s="101">
        <f>15/100*D23</f>
        <v>3597.75</v>
      </c>
      <c r="E24" s="101" t="b">
        <v>0</v>
      </c>
      <c r="F24" s="101" t="b">
        <v>0</v>
      </c>
    </row>
    <row r="25">
      <c r="C25" s="55" t="s">
        <v>1089</v>
      </c>
      <c r="D25" s="101">
        <f>D23+D24</f>
        <v>27582.75</v>
      </c>
    </row>
    <row r="26">
      <c r="C26" s="55" t="s">
        <v>1090</v>
      </c>
      <c r="D26" s="55">
        <v>20000.0</v>
      </c>
    </row>
    <row r="27">
      <c r="C27" s="55" t="s">
        <v>1091</v>
      </c>
      <c r="D27" s="101">
        <f>D25-D26</f>
        <v>7582.75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88"/>
    <col customWidth="1" min="4" max="4" width="18.63"/>
  </cols>
  <sheetData>
    <row r="1">
      <c r="A1" s="55" t="s">
        <v>1092</v>
      </c>
      <c r="B1" s="55" t="s">
        <v>1093</v>
      </c>
    </row>
    <row r="3">
      <c r="B3" s="55" t="s">
        <v>1094</v>
      </c>
      <c r="C3" s="55" t="s">
        <v>1095</v>
      </c>
      <c r="D3" s="55" t="s">
        <v>1096</v>
      </c>
      <c r="E3" s="55" t="s">
        <v>1097</v>
      </c>
    </row>
    <row r="4">
      <c r="A4" s="55" t="s">
        <v>1098</v>
      </c>
      <c r="B4" s="55">
        <v>2500.0</v>
      </c>
      <c r="C4" s="101">
        <f>280+290+240+130+190+210+450</f>
        <v>1790</v>
      </c>
      <c r="E4" s="101">
        <f t="shared" ref="E4:E12" si="1">B4-C4</f>
        <v>710</v>
      </c>
    </row>
    <row r="5">
      <c r="E5" s="101">
        <f t="shared" si="1"/>
        <v>0</v>
      </c>
    </row>
    <row r="6">
      <c r="E6" s="101">
        <f t="shared" si="1"/>
        <v>0</v>
      </c>
    </row>
    <row r="7">
      <c r="E7" s="101">
        <f t="shared" si="1"/>
        <v>0</v>
      </c>
    </row>
    <row r="8">
      <c r="E8" s="101">
        <f t="shared" si="1"/>
        <v>0</v>
      </c>
    </row>
    <row r="9">
      <c r="E9" s="101">
        <f t="shared" si="1"/>
        <v>0</v>
      </c>
    </row>
    <row r="10">
      <c r="E10" s="101">
        <f t="shared" si="1"/>
        <v>0</v>
      </c>
    </row>
    <row r="11">
      <c r="E11" s="101">
        <f t="shared" si="1"/>
        <v>0</v>
      </c>
    </row>
    <row r="12">
      <c r="E12" s="101">
        <f t="shared" si="1"/>
        <v>0</v>
      </c>
    </row>
    <row r="17">
      <c r="B17" s="55" t="s">
        <v>1094</v>
      </c>
      <c r="C17" s="55" t="s">
        <v>1095</v>
      </c>
      <c r="D17" s="55" t="s">
        <v>1096</v>
      </c>
      <c r="E17" s="55" t="s">
        <v>1097</v>
      </c>
    </row>
    <row r="18">
      <c r="A18" s="55" t="s">
        <v>1087</v>
      </c>
      <c r="B18" s="55">
        <v>2500.0</v>
      </c>
      <c r="E18" s="101">
        <f t="shared" ref="E18:E26" si="2">B18-C18</f>
        <v>2500</v>
      </c>
    </row>
    <row r="19">
      <c r="E19" s="101">
        <f t="shared" si="2"/>
        <v>0</v>
      </c>
    </row>
    <row r="20">
      <c r="E20" s="101">
        <f t="shared" si="2"/>
        <v>0</v>
      </c>
    </row>
    <row r="21">
      <c r="E21" s="101">
        <f t="shared" si="2"/>
        <v>0</v>
      </c>
    </row>
    <row r="22">
      <c r="E22" s="101">
        <f t="shared" si="2"/>
        <v>0</v>
      </c>
    </row>
    <row r="23">
      <c r="E23" s="101">
        <f t="shared" si="2"/>
        <v>0</v>
      </c>
    </row>
    <row r="24">
      <c r="E24" s="101">
        <f t="shared" si="2"/>
        <v>0</v>
      </c>
    </row>
    <row r="25">
      <c r="E25" s="101">
        <f t="shared" si="2"/>
        <v>0</v>
      </c>
    </row>
    <row r="26">
      <c r="E26" s="101">
        <f t="shared" si="2"/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5" t="s">
        <v>1099</v>
      </c>
    </row>
    <row r="3">
      <c r="A3" s="55" t="s">
        <v>1100</v>
      </c>
    </row>
    <row r="5">
      <c r="A5" s="55" t="s">
        <v>1101</v>
      </c>
      <c r="B5" s="55">
        <v>8.0</v>
      </c>
      <c r="C5" s="55" t="s">
        <v>1102</v>
      </c>
    </row>
    <row r="6">
      <c r="A6" s="55" t="s">
        <v>1101</v>
      </c>
      <c r="B6" s="55">
        <v>5.0</v>
      </c>
      <c r="C6" s="55" t="s">
        <v>1103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75"/>
  <cols>
    <col customWidth="1" min="1" max="1" width="2.5"/>
    <col customWidth="1" min="2" max="2" width="28.5"/>
    <col customWidth="1" min="3" max="3" width="14.25"/>
    <col customWidth="1" min="4" max="4" width="26.25"/>
    <col customWidth="1" min="5" max="5" width="17.88"/>
    <col customWidth="1" min="6" max="6" width="17.13"/>
    <col customWidth="1" min="7" max="7" width="12.5"/>
    <col customWidth="1" min="8" max="8" width="20.88"/>
    <col customWidth="1" min="9" max="9" width="21.75"/>
    <col customWidth="1" min="10" max="10" width="11.13"/>
    <col customWidth="1" min="11" max="11" width="9.63"/>
    <col customWidth="1" min="12" max="12" width="12.25"/>
    <col customWidth="1" min="13" max="13" width="11.0"/>
    <col customWidth="1" min="14" max="14" width="9.13"/>
    <col customWidth="1" min="15" max="15" width="10.25"/>
    <col customWidth="1" min="16" max="16" width="62.75"/>
  </cols>
  <sheetData>
    <row r="1" ht="9.75" customHeight="1">
      <c r="A1" s="5"/>
      <c r="B1" s="2"/>
      <c r="C1" s="3"/>
      <c r="D1" s="4"/>
      <c r="E1" s="5"/>
      <c r="F1" s="2"/>
      <c r="G1" s="6"/>
      <c r="H1" s="4"/>
      <c r="I1" s="2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60.75" customHeight="1">
      <c r="A2" s="5"/>
      <c r="B2" s="8"/>
      <c r="C2" s="8"/>
      <c r="D2" s="8"/>
      <c r="E2" s="10" t="s">
        <v>1</v>
      </c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11"/>
      <c r="C3" s="12"/>
      <c r="D3" s="13"/>
      <c r="E3" s="1"/>
      <c r="F3" s="11"/>
      <c r="G3" s="15"/>
      <c r="H3" s="13"/>
      <c r="I3" s="11"/>
      <c r="J3" s="1"/>
      <c r="K3" s="1"/>
      <c r="L3" s="5"/>
      <c r="M3" s="5">
        <f>14+13+11+11+2</f>
        <v>51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11"/>
      <c r="C4" s="12"/>
      <c r="D4" s="13"/>
      <c r="E4" s="1"/>
      <c r="F4" s="11"/>
      <c r="G4" s="15"/>
      <c r="H4" s="13"/>
      <c r="I4" s="11"/>
      <c r="J4" s="11" t="s">
        <v>4</v>
      </c>
      <c r="P4" s="1" t="s">
        <v>5</v>
      </c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7"/>
      <c r="B5" s="18" t="s">
        <v>6</v>
      </c>
      <c r="C5" s="19" t="s">
        <v>7</v>
      </c>
      <c r="D5" s="20" t="s">
        <v>8</v>
      </c>
      <c r="E5" s="21" t="s">
        <v>9</v>
      </c>
      <c r="F5" s="18" t="s">
        <v>11</v>
      </c>
      <c r="G5" s="22" t="s">
        <v>12</v>
      </c>
      <c r="H5" s="20" t="s">
        <v>13</v>
      </c>
      <c r="I5" s="18" t="s">
        <v>14</v>
      </c>
      <c r="J5" s="24" t="s">
        <v>15</v>
      </c>
      <c r="K5" s="24" t="s">
        <v>16</v>
      </c>
      <c r="L5" s="25" t="s">
        <v>17</v>
      </c>
      <c r="M5" s="24" t="s">
        <v>18</v>
      </c>
      <c r="N5" s="24" t="s">
        <v>19</v>
      </c>
      <c r="O5" s="24" t="s">
        <v>20</v>
      </c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5"/>
      <c r="B6" s="2"/>
      <c r="C6" s="26">
        <v>45505.0</v>
      </c>
      <c r="D6" s="13" t="s">
        <v>21</v>
      </c>
      <c r="E6" s="1" t="s">
        <v>22</v>
      </c>
      <c r="F6" s="11" t="s">
        <v>23</v>
      </c>
      <c r="G6" s="26">
        <v>45535.0</v>
      </c>
      <c r="H6" s="16" t="s">
        <v>24</v>
      </c>
      <c r="I6" s="11" t="s">
        <v>25</v>
      </c>
      <c r="J6" s="1" t="b">
        <v>1</v>
      </c>
      <c r="K6" s="1" t="b">
        <v>1</v>
      </c>
      <c r="L6" s="1" t="b">
        <v>1</v>
      </c>
      <c r="M6" s="1" t="b">
        <v>1</v>
      </c>
      <c r="N6" s="1" t="b">
        <v>0</v>
      </c>
      <c r="O6" s="1" t="b">
        <v>0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2"/>
      <c r="C7" s="26">
        <v>45506.0</v>
      </c>
      <c r="D7" s="13" t="s">
        <v>26</v>
      </c>
      <c r="E7" s="1" t="s">
        <v>27</v>
      </c>
      <c r="F7" s="11" t="s">
        <v>28</v>
      </c>
      <c r="G7" s="26">
        <v>45536.0</v>
      </c>
      <c r="H7" s="16" t="s">
        <v>29</v>
      </c>
      <c r="I7" s="11" t="s">
        <v>25</v>
      </c>
      <c r="J7" s="1" t="b">
        <v>1</v>
      </c>
      <c r="K7" s="1" t="b">
        <v>1</v>
      </c>
      <c r="L7" s="1" t="b">
        <v>0</v>
      </c>
      <c r="M7" s="1" t="b">
        <v>0</v>
      </c>
      <c r="N7" s="5" t="b">
        <v>0</v>
      </c>
      <c r="O7" s="5" t="b">
        <v>0</v>
      </c>
      <c r="P7" s="1" t="s">
        <v>30</v>
      </c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2"/>
      <c r="C8" s="26" t="s">
        <v>31</v>
      </c>
      <c r="D8" s="13" t="s">
        <v>32</v>
      </c>
      <c r="E8" s="1" t="s">
        <v>33</v>
      </c>
      <c r="F8" s="11" t="s">
        <v>23</v>
      </c>
      <c r="G8" s="26">
        <v>45538.0</v>
      </c>
      <c r="H8" s="16" t="s">
        <v>34</v>
      </c>
      <c r="I8" s="11" t="s">
        <v>25</v>
      </c>
      <c r="J8" s="1" t="b">
        <v>1</v>
      </c>
      <c r="K8" s="5" t="b">
        <v>0</v>
      </c>
      <c r="L8" s="5" t="b">
        <v>0</v>
      </c>
      <c r="M8" s="1" t="b">
        <v>1</v>
      </c>
      <c r="N8" s="5" t="b">
        <v>0</v>
      </c>
      <c r="O8" s="1" t="b">
        <v>1</v>
      </c>
      <c r="P8" s="1" t="s">
        <v>35</v>
      </c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2"/>
      <c r="C9" s="26">
        <v>45505.0</v>
      </c>
      <c r="D9" s="13" t="s">
        <v>36</v>
      </c>
      <c r="E9" s="1" t="s">
        <v>37</v>
      </c>
      <c r="F9" s="11" t="s">
        <v>23</v>
      </c>
      <c r="G9" s="27">
        <v>45540.0</v>
      </c>
      <c r="H9" s="16" t="s">
        <v>38</v>
      </c>
      <c r="I9" s="11" t="s">
        <v>25</v>
      </c>
      <c r="J9" s="1" t="b">
        <v>1</v>
      </c>
      <c r="K9" s="5" t="b">
        <v>0</v>
      </c>
      <c r="L9" s="1" t="b">
        <v>0</v>
      </c>
      <c r="M9" s="5" t="b">
        <v>0</v>
      </c>
      <c r="N9" s="5" t="b">
        <v>0</v>
      </c>
      <c r="O9" s="5" t="b">
        <v>0</v>
      </c>
      <c r="P9" s="1" t="s">
        <v>35</v>
      </c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2"/>
      <c r="C10" s="26">
        <v>45474.0</v>
      </c>
      <c r="D10" s="13" t="s">
        <v>39</v>
      </c>
      <c r="E10" s="1" t="s">
        <v>40</v>
      </c>
      <c r="F10" s="11" t="s">
        <v>28</v>
      </c>
      <c r="G10" s="27">
        <v>45541.0</v>
      </c>
      <c r="H10" s="16" t="s">
        <v>41</v>
      </c>
      <c r="I10" s="11" t="s">
        <v>25</v>
      </c>
      <c r="J10" s="1" t="b">
        <v>1</v>
      </c>
      <c r="K10" s="1" t="b">
        <v>1</v>
      </c>
      <c r="L10" s="5" t="b">
        <v>0</v>
      </c>
      <c r="M10" s="5" t="b">
        <v>0</v>
      </c>
      <c r="N10" s="5" t="b">
        <v>0</v>
      </c>
      <c r="O10" s="5" t="b">
        <v>0</v>
      </c>
      <c r="P10" s="1" t="s">
        <v>42</v>
      </c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2"/>
      <c r="C11" s="26">
        <v>45506.0</v>
      </c>
      <c r="D11" s="13" t="s">
        <v>43</v>
      </c>
      <c r="E11" s="1" t="s">
        <v>44</v>
      </c>
      <c r="F11" s="11" t="s">
        <v>45</v>
      </c>
      <c r="G11" s="28">
        <v>45541.0</v>
      </c>
      <c r="H11" s="16" t="s">
        <v>46</v>
      </c>
      <c r="I11" s="11" t="s">
        <v>25</v>
      </c>
      <c r="J11" s="1" t="b">
        <v>1</v>
      </c>
      <c r="K11" s="5" t="b">
        <v>0</v>
      </c>
      <c r="L11" s="5" t="b">
        <v>0</v>
      </c>
      <c r="M11" s="1" t="b">
        <v>1</v>
      </c>
      <c r="N11" s="5" t="b">
        <v>0</v>
      </c>
      <c r="O11" s="5" t="b">
        <v>0</v>
      </c>
      <c r="P11" s="1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2"/>
      <c r="C12" s="26">
        <v>45538.0</v>
      </c>
      <c r="D12" s="13" t="s">
        <v>47</v>
      </c>
      <c r="E12" s="1"/>
      <c r="F12" s="11" t="s">
        <v>23</v>
      </c>
      <c r="G12" s="27">
        <v>45541.0</v>
      </c>
      <c r="H12" s="16" t="s">
        <v>48</v>
      </c>
      <c r="I12" s="11" t="s">
        <v>25</v>
      </c>
      <c r="J12" s="1" t="b">
        <v>1</v>
      </c>
      <c r="K12" s="5" t="b">
        <v>0</v>
      </c>
      <c r="L12" s="1" t="b">
        <v>1</v>
      </c>
      <c r="M12" s="5" t="b">
        <v>0</v>
      </c>
      <c r="N12" s="5" t="b">
        <v>0</v>
      </c>
      <c r="O12" s="1" t="b">
        <v>1</v>
      </c>
      <c r="P12" s="1" t="s">
        <v>49</v>
      </c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2"/>
      <c r="C13" s="26">
        <v>45505.0</v>
      </c>
      <c r="D13" s="13" t="s">
        <v>50</v>
      </c>
      <c r="E13" s="1" t="s">
        <v>51</v>
      </c>
      <c r="F13" s="11" t="s">
        <v>28</v>
      </c>
      <c r="G13" s="26">
        <v>45547.0</v>
      </c>
      <c r="H13" s="7"/>
      <c r="I13" s="11" t="s">
        <v>25</v>
      </c>
      <c r="J13" s="1" t="b">
        <v>1</v>
      </c>
      <c r="K13" s="1" t="b">
        <v>1</v>
      </c>
      <c r="L13" s="1" t="b">
        <v>1</v>
      </c>
      <c r="M13" s="5" t="b">
        <v>0</v>
      </c>
      <c r="N13" s="5" t="b">
        <v>0</v>
      </c>
      <c r="O13" s="1" t="b">
        <v>1</v>
      </c>
      <c r="P13" s="1" t="s">
        <v>52</v>
      </c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2"/>
      <c r="C14" s="26">
        <v>45536.0</v>
      </c>
      <c r="D14" s="13" t="s">
        <v>53</v>
      </c>
      <c r="E14" s="1" t="s">
        <v>54</v>
      </c>
      <c r="F14" s="11" t="s">
        <v>23</v>
      </c>
      <c r="G14" s="26">
        <v>45548.0</v>
      </c>
      <c r="H14" s="16" t="s">
        <v>55</v>
      </c>
      <c r="I14" s="11" t="s">
        <v>25</v>
      </c>
      <c r="J14" s="1" t="b">
        <v>1</v>
      </c>
      <c r="K14" s="5" t="b">
        <v>0</v>
      </c>
      <c r="L14" s="1" t="b">
        <v>1</v>
      </c>
      <c r="M14" s="1" t="b">
        <v>0</v>
      </c>
      <c r="N14" s="5" t="b">
        <v>0</v>
      </c>
      <c r="O14" s="5" t="b">
        <v>0</v>
      </c>
      <c r="P14" s="1" t="s">
        <v>56</v>
      </c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2"/>
      <c r="C15" s="26">
        <v>45505.0</v>
      </c>
      <c r="D15" s="13" t="s">
        <v>57</v>
      </c>
      <c r="E15" s="1" t="s">
        <v>58</v>
      </c>
      <c r="F15" s="11" t="s">
        <v>28</v>
      </c>
      <c r="G15" s="26">
        <v>45548.0</v>
      </c>
      <c r="H15" s="16" t="s">
        <v>59</v>
      </c>
      <c r="I15" s="11" t="s">
        <v>25</v>
      </c>
      <c r="J15" s="1" t="b">
        <v>1</v>
      </c>
      <c r="K15" s="1" t="b">
        <v>1</v>
      </c>
      <c r="L15" s="1" t="b">
        <v>1</v>
      </c>
      <c r="M15" s="1" t="b">
        <v>0</v>
      </c>
      <c r="N15" s="5" t="b">
        <v>0</v>
      </c>
      <c r="O15" s="5" t="b">
        <v>0</v>
      </c>
      <c r="P15" s="1" t="s">
        <v>60</v>
      </c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2"/>
      <c r="C16" s="26">
        <v>45539.0</v>
      </c>
      <c r="D16" s="13" t="s">
        <v>61</v>
      </c>
      <c r="E16" s="5"/>
      <c r="F16" s="11" t="s">
        <v>23</v>
      </c>
      <c r="G16" s="28">
        <v>45548.0</v>
      </c>
      <c r="H16" s="16" t="s">
        <v>62</v>
      </c>
      <c r="I16" s="11" t="s">
        <v>25</v>
      </c>
      <c r="J16" s="1" t="b">
        <v>1</v>
      </c>
      <c r="K16" s="1" t="b">
        <v>1</v>
      </c>
      <c r="L16" s="1" t="b">
        <v>1</v>
      </c>
      <c r="M16" s="5" t="b">
        <v>0</v>
      </c>
      <c r="N16" s="5" t="b">
        <v>0</v>
      </c>
      <c r="O16" s="5" t="b">
        <v>0</v>
      </c>
      <c r="P16" s="1" t="s">
        <v>63</v>
      </c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2"/>
      <c r="C17" s="26">
        <v>45505.0</v>
      </c>
      <c r="D17" s="13" t="s">
        <v>64</v>
      </c>
      <c r="E17" s="1" t="s">
        <v>65</v>
      </c>
      <c r="F17" s="11" t="s">
        <v>28</v>
      </c>
      <c r="G17" s="26">
        <v>45552.0</v>
      </c>
      <c r="H17" s="16" t="s">
        <v>66</v>
      </c>
      <c r="I17" s="11" t="s">
        <v>25</v>
      </c>
      <c r="J17" s="1" t="b">
        <v>1</v>
      </c>
      <c r="K17" s="1" t="b">
        <v>1</v>
      </c>
      <c r="L17" s="1" t="b">
        <v>1</v>
      </c>
      <c r="M17" s="5" t="b">
        <v>0</v>
      </c>
      <c r="N17" s="5" t="b">
        <v>0</v>
      </c>
      <c r="O17" s="1" t="b">
        <v>1</v>
      </c>
      <c r="P17" s="1" t="s">
        <v>67</v>
      </c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2"/>
      <c r="C18" s="26">
        <v>45505.0</v>
      </c>
      <c r="D18" s="13" t="s">
        <v>68</v>
      </c>
      <c r="E18" s="1" t="s">
        <v>69</v>
      </c>
      <c r="F18" s="11" t="s">
        <v>23</v>
      </c>
      <c r="G18" s="26">
        <v>45552.0</v>
      </c>
      <c r="H18" s="16" t="s">
        <v>70</v>
      </c>
      <c r="I18" s="11" t="s">
        <v>25</v>
      </c>
      <c r="J18" s="1" t="b">
        <v>1</v>
      </c>
      <c r="K18" s="1" t="b">
        <v>1</v>
      </c>
      <c r="L18" s="1" t="b">
        <v>1</v>
      </c>
      <c r="M18" s="1" t="b">
        <v>1</v>
      </c>
      <c r="N18" s="5" t="b">
        <v>0</v>
      </c>
      <c r="O18" s="1" t="b">
        <v>1</v>
      </c>
      <c r="P18" s="1" t="s">
        <v>71</v>
      </c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2"/>
      <c r="C19" s="26">
        <v>45506.0</v>
      </c>
      <c r="D19" s="13" t="s">
        <v>72</v>
      </c>
      <c r="E19" s="1" t="s">
        <v>73</v>
      </c>
      <c r="F19" s="11" t="s">
        <v>45</v>
      </c>
      <c r="G19" s="28">
        <v>45574.0</v>
      </c>
      <c r="H19" s="16" t="s">
        <v>74</v>
      </c>
      <c r="I19" s="11" t="s">
        <v>25</v>
      </c>
      <c r="J19" s="1" t="b">
        <v>1</v>
      </c>
      <c r="K19" s="1" t="b">
        <v>1</v>
      </c>
      <c r="L19" s="1" t="b">
        <v>1</v>
      </c>
      <c r="M19" s="1" t="b">
        <v>1</v>
      </c>
      <c r="N19" s="1" t="b">
        <v>1</v>
      </c>
      <c r="O19" s="1" t="b">
        <v>1</v>
      </c>
      <c r="P19" s="1" t="s">
        <v>75</v>
      </c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2"/>
      <c r="C20" s="26">
        <v>45536.0</v>
      </c>
      <c r="D20" s="13" t="s">
        <v>76</v>
      </c>
      <c r="E20" s="1" t="s">
        <v>77</v>
      </c>
      <c r="F20" s="11" t="s">
        <v>45</v>
      </c>
      <c r="G20" s="26">
        <v>45560.0</v>
      </c>
      <c r="H20" s="16" t="s">
        <v>78</v>
      </c>
      <c r="I20" s="11" t="s">
        <v>25</v>
      </c>
      <c r="J20" s="1" t="b">
        <v>1</v>
      </c>
      <c r="K20" s="1" t="b">
        <v>1</v>
      </c>
      <c r="L20" s="1" t="b">
        <v>1</v>
      </c>
      <c r="M20" s="5" t="b">
        <v>0</v>
      </c>
      <c r="N20" s="5" t="b">
        <v>0</v>
      </c>
      <c r="O20" s="5" t="b">
        <v>0</v>
      </c>
      <c r="P20" s="1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9"/>
      <c r="B21" s="30"/>
      <c r="C21" s="31">
        <v>45537.0</v>
      </c>
      <c r="D21" s="32" t="s">
        <v>79</v>
      </c>
      <c r="E21" s="33" t="s">
        <v>80</v>
      </c>
      <c r="F21" s="34" t="s">
        <v>28</v>
      </c>
      <c r="G21" s="35">
        <v>45580.0</v>
      </c>
      <c r="H21" s="36" t="s">
        <v>59</v>
      </c>
      <c r="I21" s="37" t="s">
        <v>25</v>
      </c>
      <c r="J21" s="38" t="b">
        <v>1</v>
      </c>
      <c r="K21" s="38" t="b">
        <v>1</v>
      </c>
      <c r="L21" s="39" t="b">
        <v>0</v>
      </c>
      <c r="M21" s="39" t="b">
        <v>0</v>
      </c>
      <c r="N21" s="38" t="b">
        <v>1</v>
      </c>
      <c r="O21" s="38" t="b">
        <v>1</v>
      </c>
      <c r="P21" s="40" t="s">
        <v>81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29"/>
      <c r="B22" s="30"/>
      <c r="C22" s="31">
        <v>45536.0</v>
      </c>
      <c r="D22" s="32" t="s">
        <v>82</v>
      </c>
      <c r="E22" s="40" t="s">
        <v>83</v>
      </c>
      <c r="F22" s="37" t="s">
        <v>23</v>
      </c>
      <c r="G22" s="41">
        <v>45555.0</v>
      </c>
      <c r="H22" s="36" t="s">
        <v>24</v>
      </c>
      <c r="I22" s="37" t="s">
        <v>25</v>
      </c>
      <c r="J22" s="38" t="b">
        <v>1</v>
      </c>
      <c r="K22" s="38" t="b">
        <v>1</v>
      </c>
      <c r="L22" s="39" t="b">
        <v>0</v>
      </c>
      <c r="M22" s="39" t="b">
        <v>0</v>
      </c>
      <c r="N22" s="39" t="b">
        <v>0</v>
      </c>
      <c r="O22" s="38" t="b">
        <v>1</v>
      </c>
      <c r="P22" s="40" t="s">
        <v>84</v>
      </c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5"/>
      <c r="B23" s="2"/>
      <c r="C23" s="26">
        <v>45383.0</v>
      </c>
      <c r="D23" s="13" t="s">
        <v>85</v>
      </c>
      <c r="E23" s="1" t="s">
        <v>86</v>
      </c>
      <c r="F23" s="11" t="s">
        <v>28</v>
      </c>
      <c r="G23" s="26">
        <v>45560.0</v>
      </c>
      <c r="H23" s="16" t="s">
        <v>87</v>
      </c>
      <c r="I23" s="11" t="s">
        <v>25</v>
      </c>
      <c r="J23" s="1" t="b">
        <v>1</v>
      </c>
      <c r="K23" s="1" t="b">
        <v>1</v>
      </c>
      <c r="L23" s="1" t="b">
        <v>0</v>
      </c>
      <c r="M23" s="1" t="b">
        <v>0</v>
      </c>
      <c r="N23" s="5" t="b">
        <v>0</v>
      </c>
      <c r="O23" s="5" t="b">
        <v>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42"/>
      <c r="B24" s="2"/>
      <c r="C24" s="26">
        <v>45474.0</v>
      </c>
      <c r="D24" s="13" t="s">
        <v>88</v>
      </c>
      <c r="E24" s="1" t="s">
        <v>89</v>
      </c>
      <c r="F24" s="11" t="s">
        <v>28</v>
      </c>
      <c r="G24" s="26">
        <v>45560.0</v>
      </c>
      <c r="H24" s="16" t="s">
        <v>90</v>
      </c>
      <c r="I24" s="11" t="s">
        <v>25</v>
      </c>
      <c r="J24" s="1" t="b">
        <v>1</v>
      </c>
      <c r="K24" s="5" t="b">
        <v>0</v>
      </c>
      <c r="L24" s="5" t="b">
        <v>0</v>
      </c>
      <c r="M24" s="5" t="b">
        <v>0</v>
      </c>
      <c r="N24" s="5" t="b">
        <v>0</v>
      </c>
      <c r="O24" s="5" t="b">
        <v>0</v>
      </c>
      <c r="P24" s="1" t="s">
        <v>91</v>
      </c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42"/>
      <c r="B25" s="2"/>
      <c r="C25" s="26">
        <v>45506.0</v>
      </c>
      <c r="D25" s="13" t="s">
        <v>68</v>
      </c>
      <c r="E25" s="1" t="s">
        <v>69</v>
      </c>
      <c r="F25" s="11" t="s">
        <v>28</v>
      </c>
      <c r="G25" s="43"/>
      <c r="H25" s="16" t="s">
        <v>92</v>
      </c>
      <c r="I25" s="11" t="s">
        <v>25</v>
      </c>
      <c r="J25" s="1" t="b">
        <v>1</v>
      </c>
      <c r="K25" s="1" t="b">
        <v>1</v>
      </c>
      <c r="L25" s="5" t="b">
        <v>0</v>
      </c>
      <c r="M25" s="5" t="b">
        <v>0</v>
      </c>
      <c r="N25" s="5" t="b">
        <v>0</v>
      </c>
      <c r="O25" s="5" t="b">
        <v>0</v>
      </c>
      <c r="P25" s="1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5"/>
      <c r="B26" s="2"/>
      <c r="C26" s="26">
        <v>45538.0</v>
      </c>
      <c r="D26" s="13" t="s">
        <v>93</v>
      </c>
      <c r="E26" s="1" t="s">
        <v>94</v>
      </c>
      <c r="F26" s="11" t="s">
        <v>28</v>
      </c>
      <c r="G26" s="43"/>
      <c r="H26" s="16" t="s">
        <v>95</v>
      </c>
      <c r="I26" s="11" t="s">
        <v>25</v>
      </c>
      <c r="J26" s="1" t="b">
        <v>1</v>
      </c>
      <c r="K26" s="5" t="b">
        <v>0</v>
      </c>
      <c r="L26" s="5" t="b">
        <v>0</v>
      </c>
      <c r="M26" s="5" t="b">
        <v>0</v>
      </c>
      <c r="N26" s="5" t="b">
        <v>0</v>
      </c>
      <c r="O26" s="5" t="b">
        <v>0</v>
      </c>
      <c r="P26" s="1" t="s">
        <v>96</v>
      </c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2"/>
      <c r="C27" s="26">
        <v>45538.0</v>
      </c>
      <c r="D27" s="13" t="s">
        <v>97</v>
      </c>
      <c r="E27" s="1" t="s">
        <v>98</v>
      </c>
      <c r="F27" s="11" t="s">
        <v>28</v>
      </c>
      <c r="G27" s="43"/>
      <c r="H27" s="16" t="s">
        <v>99</v>
      </c>
      <c r="I27" s="11" t="s">
        <v>25</v>
      </c>
      <c r="J27" s="1" t="b">
        <v>1</v>
      </c>
      <c r="K27" s="5"/>
      <c r="L27" s="5"/>
      <c r="M27" s="5" t="b">
        <v>0</v>
      </c>
      <c r="N27" s="1" t="b">
        <v>1</v>
      </c>
      <c r="O27" s="1" t="b">
        <v>1</v>
      </c>
      <c r="P27" s="1" t="s">
        <v>100</v>
      </c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2"/>
      <c r="C28" s="11" t="s">
        <v>101</v>
      </c>
      <c r="D28" s="13" t="s">
        <v>102</v>
      </c>
      <c r="E28" s="1"/>
      <c r="F28" s="11" t="s">
        <v>45</v>
      </c>
      <c r="G28" s="43"/>
      <c r="H28" s="16" t="s">
        <v>103</v>
      </c>
      <c r="I28" s="11" t="s">
        <v>25</v>
      </c>
      <c r="J28" s="5" t="b">
        <v>0</v>
      </c>
      <c r="K28" s="5" t="b">
        <v>0</v>
      </c>
      <c r="L28" s="5" t="b">
        <v>0</v>
      </c>
      <c r="M28" s="5" t="b">
        <v>0</v>
      </c>
      <c r="N28" s="5" t="b">
        <v>0</v>
      </c>
      <c r="O28" s="1" t="b">
        <v>0</v>
      </c>
      <c r="P28" s="1" t="s">
        <v>104</v>
      </c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2"/>
      <c r="C29" s="11" t="s">
        <v>105</v>
      </c>
      <c r="D29" s="13" t="s">
        <v>106</v>
      </c>
      <c r="E29" s="1" t="s">
        <v>107</v>
      </c>
      <c r="F29" s="11" t="s">
        <v>28</v>
      </c>
      <c r="G29" s="43"/>
      <c r="H29" s="16" t="s">
        <v>108</v>
      </c>
      <c r="I29" s="11" t="s">
        <v>25</v>
      </c>
      <c r="J29" s="1" t="b">
        <v>1</v>
      </c>
      <c r="K29" s="5" t="b">
        <v>0</v>
      </c>
      <c r="L29" s="5" t="b">
        <v>0</v>
      </c>
      <c r="M29" s="5" t="b">
        <v>0</v>
      </c>
      <c r="N29" s="5" t="b">
        <v>0</v>
      </c>
      <c r="O29" s="1" t="b">
        <v>1</v>
      </c>
      <c r="P29" s="1" t="s">
        <v>109</v>
      </c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2"/>
      <c r="C30" s="11" t="s">
        <v>101</v>
      </c>
      <c r="D30" s="13" t="s">
        <v>110</v>
      </c>
      <c r="E30" s="1" t="s">
        <v>111</v>
      </c>
      <c r="F30" s="11" t="s">
        <v>23</v>
      </c>
      <c r="G30" s="43"/>
      <c r="H30" s="16"/>
      <c r="I30" s="11" t="s">
        <v>25</v>
      </c>
      <c r="J30" s="5" t="b">
        <v>0</v>
      </c>
      <c r="K30" s="5" t="b">
        <v>0</v>
      </c>
      <c r="L30" s="5" t="b">
        <v>0</v>
      </c>
      <c r="M30" s="5" t="b">
        <v>0</v>
      </c>
      <c r="N30" s="5" t="b">
        <v>0</v>
      </c>
      <c r="O30" s="1" t="b">
        <v>0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2"/>
      <c r="C31" s="26">
        <v>45536.0</v>
      </c>
      <c r="D31" s="13" t="s">
        <v>112</v>
      </c>
      <c r="E31" s="1" t="s">
        <v>113</v>
      </c>
      <c r="F31" s="11" t="s">
        <v>28</v>
      </c>
      <c r="G31" s="43"/>
      <c r="H31" s="16" t="s">
        <v>108</v>
      </c>
      <c r="I31" s="11" t="s">
        <v>25</v>
      </c>
      <c r="J31" s="5" t="b">
        <v>0</v>
      </c>
      <c r="K31" s="5" t="b">
        <v>0</v>
      </c>
      <c r="L31" s="5" t="b">
        <v>0</v>
      </c>
      <c r="M31" s="5" t="b">
        <v>0</v>
      </c>
      <c r="N31" s="5" t="b">
        <v>0</v>
      </c>
      <c r="O31" s="1" t="b">
        <v>1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2"/>
      <c r="C32" s="11" t="s">
        <v>114</v>
      </c>
      <c r="D32" s="13" t="s">
        <v>115</v>
      </c>
      <c r="E32" s="1"/>
      <c r="F32" s="11" t="s">
        <v>28</v>
      </c>
      <c r="G32" s="43"/>
      <c r="H32" s="16" t="s">
        <v>116</v>
      </c>
      <c r="I32" s="11" t="s">
        <v>25</v>
      </c>
      <c r="J32" s="1" t="b">
        <v>0</v>
      </c>
      <c r="K32" s="1" t="b">
        <v>0</v>
      </c>
      <c r="L32" s="5" t="b">
        <v>0</v>
      </c>
      <c r="M32" s="5" t="b">
        <v>0</v>
      </c>
      <c r="N32" s="5" t="b">
        <v>0</v>
      </c>
      <c r="O32" s="1" t="b">
        <v>0</v>
      </c>
      <c r="P32" s="1" t="s">
        <v>117</v>
      </c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2"/>
      <c r="C33" s="11" t="s">
        <v>118</v>
      </c>
      <c r="D33" s="13" t="s">
        <v>119</v>
      </c>
      <c r="E33" s="1" t="s">
        <v>28</v>
      </c>
      <c r="F33" s="11" t="s">
        <v>28</v>
      </c>
      <c r="G33" s="43"/>
      <c r="H33" s="16" t="s">
        <v>120</v>
      </c>
      <c r="I33" s="11" t="s">
        <v>25</v>
      </c>
      <c r="J33" s="1" t="b">
        <v>0</v>
      </c>
      <c r="K33" s="1" t="b">
        <v>0</v>
      </c>
      <c r="L33" s="5" t="b">
        <v>0</v>
      </c>
      <c r="M33" s="5" t="b">
        <v>0</v>
      </c>
      <c r="N33" s="5" t="b">
        <v>0</v>
      </c>
      <c r="O33" s="1" t="b">
        <v>0</v>
      </c>
      <c r="P33" s="1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2"/>
      <c r="C34" s="11" t="s">
        <v>121</v>
      </c>
      <c r="D34" s="13" t="s">
        <v>122</v>
      </c>
      <c r="E34" s="1" t="s">
        <v>123</v>
      </c>
      <c r="F34" s="11" t="s">
        <v>28</v>
      </c>
      <c r="G34" s="26">
        <v>45576.0</v>
      </c>
      <c r="H34" s="16" t="s">
        <v>124</v>
      </c>
      <c r="I34" s="11" t="s">
        <v>25</v>
      </c>
      <c r="J34" s="1" t="b">
        <v>1</v>
      </c>
      <c r="K34" s="1" t="b">
        <v>1</v>
      </c>
      <c r="L34" s="1" t="b">
        <v>1</v>
      </c>
      <c r="M34" s="5" t="b">
        <v>0</v>
      </c>
      <c r="N34" s="5" t="b">
        <v>0</v>
      </c>
      <c r="O34" s="1" t="b">
        <v>0</v>
      </c>
      <c r="P34" s="1" t="s">
        <v>125</v>
      </c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2"/>
      <c r="C35" s="11" t="s">
        <v>126</v>
      </c>
      <c r="D35" s="13" t="s">
        <v>127</v>
      </c>
      <c r="E35" s="1" t="s">
        <v>28</v>
      </c>
      <c r="F35" s="11" t="s">
        <v>28</v>
      </c>
      <c r="G35" s="43"/>
      <c r="H35" s="16"/>
      <c r="I35" s="11" t="s">
        <v>25</v>
      </c>
      <c r="J35" s="1" t="b">
        <v>1</v>
      </c>
      <c r="K35" s="1" t="b">
        <v>1</v>
      </c>
      <c r="L35" s="1" t="b">
        <v>1</v>
      </c>
      <c r="M35" s="5" t="b">
        <v>0</v>
      </c>
      <c r="N35" s="1" t="b">
        <v>1</v>
      </c>
      <c r="O35" s="1" t="b">
        <v>0</v>
      </c>
      <c r="P35" s="1" t="s">
        <v>128</v>
      </c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2"/>
      <c r="C36" s="26"/>
      <c r="D36" s="13" t="s">
        <v>129</v>
      </c>
      <c r="E36" s="1" t="s">
        <v>130</v>
      </c>
      <c r="F36" s="11" t="s">
        <v>28</v>
      </c>
      <c r="G36" s="26">
        <v>45580.0</v>
      </c>
      <c r="H36" s="16" t="s">
        <v>131</v>
      </c>
      <c r="I36" s="11" t="s">
        <v>25</v>
      </c>
      <c r="J36" s="1" t="b">
        <v>1</v>
      </c>
      <c r="K36" s="1" t="b">
        <v>0</v>
      </c>
      <c r="L36" s="5" t="b">
        <v>0</v>
      </c>
      <c r="M36" s="1" t="b">
        <v>1</v>
      </c>
      <c r="N36" s="5" t="b">
        <v>0</v>
      </c>
      <c r="O36" s="1" t="b">
        <v>0</v>
      </c>
      <c r="P36" s="1" t="s">
        <v>132</v>
      </c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2"/>
      <c r="C37" s="11" t="s">
        <v>133</v>
      </c>
      <c r="D37" s="13" t="s">
        <v>134</v>
      </c>
      <c r="E37" s="1"/>
      <c r="F37" s="11" t="s">
        <v>45</v>
      </c>
      <c r="G37" s="11" t="s">
        <v>135</v>
      </c>
      <c r="H37" s="16"/>
      <c r="I37" s="11" t="s">
        <v>25</v>
      </c>
      <c r="J37" s="1" t="b">
        <v>0</v>
      </c>
      <c r="K37" s="1" t="b">
        <v>0</v>
      </c>
      <c r="L37" s="5" t="b">
        <v>0</v>
      </c>
      <c r="M37" s="5" t="b">
        <v>0</v>
      </c>
      <c r="N37" s="5" t="b">
        <v>0</v>
      </c>
      <c r="O37" s="1" t="b">
        <v>0</v>
      </c>
      <c r="P37" s="1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2"/>
      <c r="C38" s="26">
        <v>45558.0</v>
      </c>
      <c r="D38" s="13" t="s">
        <v>136</v>
      </c>
      <c r="E38" s="1"/>
      <c r="F38" s="11" t="s">
        <v>45</v>
      </c>
      <c r="G38" s="11" t="s">
        <v>135</v>
      </c>
      <c r="H38" s="16" t="s">
        <v>137</v>
      </c>
      <c r="I38" s="11" t="s">
        <v>25</v>
      </c>
      <c r="J38" s="1" t="b">
        <v>0</v>
      </c>
      <c r="K38" s="1" t="b">
        <v>0</v>
      </c>
      <c r="L38" s="5" t="b">
        <v>0</v>
      </c>
      <c r="M38" s="5" t="b">
        <v>0</v>
      </c>
      <c r="N38" s="5" t="b">
        <v>0</v>
      </c>
      <c r="O38" s="1" t="b">
        <v>0</v>
      </c>
      <c r="P38" s="1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2"/>
      <c r="C39" s="11"/>
      <c r="D39" s="13" t="s">
        <v>138</v>
      </c>
      <c r="E39" s="1"/>
      <c r="F39" s="11" t="s">
        <v>28</v>
      </c>
      <c r="G39" s="43"/>
      <c r="H39" s="16" t="s">
        <v>139</v>
      </c>
      <c r="I39" s="11" t="s">
        <v>25</v>
      </c>
      <c r="J39" s="1" t="b">
        <v>0</v>
      </c>
      <c r="K39" s="1" t="b">
        <v>0</v>
      </c>
      <c r="L39" s="5" t="b">
        <v>0</v>
      </c>
      <c r="M39" s="5" t="b">
        <v>0</v>
      </c>
      <c r="N39" s="5" t="b">
        <v>0</v>
      </c>
      <c r="O39" s="1" t="b">
        <v>0</v>
      </c>
      <c r="P39" s="1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2"/>
      <c r="C40" s="44">
        <v>45594.0</v>
      </c>
      <c r="D40" s="13" t="s">
        <v>140</v>
      </c>
      <c r="E40" s="1" t="s">
        <v>141</v>
      </c>
      <c r="F40" s="11" t="s">
        <v>45</v>
      </c>
      <c r="G40" s="26">
        <v>45596.0</v>
      </c>
      <c r="H40" s="16" t="s">
        <v>142</v>
      </c>
      <c r="I40" s="11" t="s">
        <v>25</v>
      </c>
      <c r="J40" s="1" t="b">
        <v>0</v>
      </c>
      <c r="K40" s="1" t="b">
        <v>0</v>
      </c>
      <c r="L40" s="1" t="b">
        <v>0</v>
      </c>
      <c r="M40" s="5" t="b">
        <v>0</v>
      </c>
      <c r="N40" s="5" t="b">
        <v>0</v>
      </c>
      <c r="O40" s="1" t="b">
        <v>0</v>
      </c>
      <c r="P40" s="1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2"/>
      <c r="C41" s="11" t="s">
        <v>133</v>
      </c>
      <c r="D41" s="13" t="s">
        <v>143</v>
      </c>
      <c r="E41" s="1" t="s">
        <v>141</v>
      </c>
      <c r="F41" s="11" t="s">
        <v>45</v>
      </c>
      <c r="G41" s="26">
        <v>45590.0</v>
      </c>
      <c r="H41" s="16" t="s">
        <v>144</v>
      </c>
      <c r="I41" s="11" t="s">
        <v>25</v>
      </c>
      <c r="J41" s="1" t="b">
        <v>1</v>
      </c>
      <c r="K41" s="1" t="b">
        <v>1</v>
      </c>
      <c r="L41" s="1" t="b">
        <v>1</v>
      </c>
      <c r="M41" s="5" t="b">
        <v>0</v>
      </c>
      <c r="N41" s="5" t="b">
        <v>0</v>
      </c>
      <c r="O41" s="1" t="b">
        <v>0</v>
      </c>
      <c r="P41" s="1" t="s">
        <v>132</v>
      </c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2"/>
      <c r="C42" s="28">
        <v>45580.0</v>
      </c>
      <c r="D42" s="13" t="s">
        <v>145</v>
      </c>
      <c r="E42" s="1" t="s">
        <v>141</v>
      </c>
      <c r="F42" s="11" t="s">
        <v>45</v>
      </c>
      <c r="G42" s="26">
        <v>45596.0</v>
      </c>
      <c r="H42" s="16" t="s">
        <v>146</v>
      </c>
      <c r="I42" s="11" t="s">
        <v>25</v>
      </c>
      <c r="J42" s="1" t="b">
        <v>1</v>
      </c>
      <c r="K42" s="1" t="b">
        <v>0</v>
      </c>
      <c r="L42" s="1" t="b">
        <v>0</v>
      </c>
      <c r="M42" s="5" t="b">
        <v>0</v>
      </c>
      <c r="N42" s="5" t="b">
        <v>0</v>
      </c>
      <c r="O42" s="1" t="b">
        <v>1</v>
      </c>
      <c r="P42" s="1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2"/>
      <c r="C43" s="26">
        <v>45565.0</v>
      </c>
      <c r="D43" s="13" t="s">
        <v>147</v>
      </c>
      <c r="E43" s="1" t="s">
        <v>148</v>
      </c>
      <c r="F43" s="11" t="s">
        <v>23</v>
      </c>
      <c r="G43" s="43"/>
      <c r="H43" s="16" t="s">
        <v>149</v>
      </c>
      <c r="I43" s="11" t="s">
        <v>25</v>
      </c>
      <c r="J43" s="1" t="b">
        <v>0</v>
      </c>
      <c r="K43" s="1" t="b">
        <v>0</v>
      </c>
      <c r="L43" s="5" t="b">
        <v>0</v>
      </c>
      <c r="M43" s="5" t="b">
        <v>0</v>
      </c>
      <c r="N43" s="5" t="b">
        <v>0</v>
      </c>
      <c r="O43" s="1" t="b">
        <v>0</v>
      </c>
      <c r="P43" s="1" t="s">
        <v>150</v>
      </c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2"/>
      <c r="C44" s="45">
        <v>45565.0</v>
      </c>
      <c r="D44" s="13" t="s">
        <v>151</v>
      </c>
      <c r="E44" s="1"/>
      <c r="F44" s="11" t="s">
        <v>28</v>
      </c>
      <c r="G44" s="26">
        <v>45574.0</v>
      </c>
      <c r="H44" s="16" t="s">
        <v>152</v>
      </c>
      <c r="I44" s="11" t="s">
        <v>25</v>
      </c>
      <c r="J44" s="1" t="b">
        <v>1</v>
      </c>
      <c r="K44" s="1" t="b">
        <v>1</v>
      </c>
      <c r="L44" s="1" t="b">
        <v>1</v>
      </c>
      <c r="M44" s="1" t="b">
        <v>1</v>
      </c>
      <c r="N44" s="1" t="b">
        <v>1</v>
      </c>
      <c r="O44" s="1" t="b">
        <v>1</v>
      </c>
      <c r="P44" s="1" t="s">
        <v>132</v>
      </c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2"/>
      <c r="C45" s="26"/>
      <c r="D45" s="13" t="s">
        <v>153</v>
      </c>
      <c r="E45" s="1" t="s">
        <v>154</v>
      </c>
      <c r="F45" s="11" t="s">
        <v>28</v>
      </c>
      <c r="G45" s="26">
        <v>45572.0</v>
      </c>
      <c r="H45" s="16" t="s">
        <v>155</v>
      </c>
      <c r="I45" s="11" t="s">
        <v>25</v>
      </c>
      <c r="J45" s="1" t="b">
        <v>0</v>
      </c>
      <c r="K45" s="1" t="b">
        <v>0</v>
      </c>
      <c r="L45" s="5" t="b">
        <v>0</v>
      </c>
      <c r="M45" s="5" t="b">
        <v>0</v>
      </c>
      <c r="N45" s="5" t="b">
        <v>0</v>
      </c>
      <c r="O45" s="1" t="b">
        <v>0</v>
      </c>
      <c r="P45" s="1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2"/>
      <c r="C46" s="26">
        <v>45566.0</v>
      </c>
      <c r="D46" s="13" t="s">
        <v>156</v>
      </c>
      <c r="E46" s="1" t="s">
        <v>157</v>
      </c>
      <c r="F46" s="11" t="s">
        <v>45</v>
      </c>
      <c r="G46" s="26">
        <v>45576.0</v>
      </c>
      <c r="H46" s="16" t="s">
        <v>158</v>
      </c>
      <c r="I46" s="11" t="s">
        <v>25</v>
      </c>
      <c r="J46" s="1" t="b">
        <v>1</v>
      </c>
      <c r="K46" s="1" t="b">
        <v>1</v>
      </c>
      <c r="L46" s="1" t="b">
        <v>1</v>
      </c>
      <c r="M46" s="1" t="b">
        <v>1</v>
      </c>
      <c r="N46" s="5" t="b">
        <v>0</v>
      </c>
      <c r="O46" s="1" t="b">
        <v>0</v>
      </c>
      <c r="P46" s="1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2"/>
      <c r="C47" s="26">
        <v>45570.0</v>
      </c>
      <c r="D47" s="13" t="s">
        <v>159</v>
      </c>
      <c r="E47" s="1" t="s">
        <v>160</v>
      </c>
      <c r="F47" s="11" t="s">
        <v>28</v>
      </c>
      <c r="G47" s="26">
        <v>45583.0</v>
      </c>
      <c r="H47" s="16" t="s">
        <v>161</v>
      </c>
      <c r="I47" s="11" t="s">
        <v>25</v>
      </c>
      <c r="J47" s="1" t="b">
        <v>1</v>
      </c>
      <c r="K47" s="1" t="b">
        <v>0</v>
      </c>
      <c r="L47" s="5" t="b">
        <v>0</v>
      </c>
      <c r="M47" s="5" t="b">
        <v>0</v>
      </c>
      <c r="N47" s="5" t="b">
        <v>0</v>
      </c>
      <c r="O47" s="1" t="b">
        <v>1</v>
      </c>
      <c r="P47" s="1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2"/>
      <c r="C48" s="26">
        <v>45572.0</v>
      </c>
      <c r="D48" s="13" t="s">
        <v>162</v>
      </c>
      <c r="E48" s="1" t="s">
        <v>163</v>
      </c>
      <c r="F48" s="11" t="s">
        <v>45</v>
      </c>
      <c r="G48" s="26">
        <v>45573.0</v>
      </c>
      <c r="H48" s="16" t="s">
        <v>164</v>
      </c>
      <c r="I48" s="11" t="s">
        <v>25</v>
      </c>
      <c r="J48" s="1" t="b">
        <v>0</v>
      </c>
      <c r="K48" s="1" t="b">
        <v>0</v>
      </c>
      <c r="L48" s="5" t="b">
        <v>0</v>
      </c>
      <c r="M48" s="5" t="b">
        <v>0</v>
      </c>
      <c r="N48" s="5" t="b">
        <v>0</v>
      </c>
      <c r="O48" s="1" t="b">
        <v>0</v>
      </c>
      <c r="P48" s="1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2"/>
      <c r="C49" s="26">
        <v>45573.0</v>
      </c>
      <c r="D49" s="13" t="s">
        <v>165</v>
      </c>
      <c r="E49" s="1" t="s">
        <v>166</v>
      </c>
      <c r="F49" s="11" t="s">
        <v>45</v>
      </c>
      <c r="G49" s="26">
        <v>45596.0</v>
      </c>
      <c r="H49" s="16" t="s">
        <v>167</v>
      </c>
      <c r="I49" s="11" t="s">
        <v>25</v>
      </c>
      <c r="J49" s="1" t="b">
        <v>1</v>
      </c>
      <c r="K49" s="1" t="b">
        <v>0</v>
      </c>
      <c r="L49" s="5" t="b">
        <v>0</v>
      </c>
      <c r="M49" s="5" t="b">
        <v>0</v>
      </c>
      <c r="N49" s="5" t="b">
        <v>0</v>
      </c>
      <c r="O49" s="1" t="b">
        <v>0</v>
      </c>
      <c r="P49" s="1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2"/>
      <c r="C50" s="26">
        <v>45573.0</v>
      </c>
      <c r="D50" s="13" t="s">
        <v>168</v>
      </c>
      <c r="E50" s="1"/>
      <c r="F50" s="11" t="s">
        <v>28</v>
      </c>
      <c r="G50" s="26">
        <v>45576.0</v>
      </c>
      <c r="H50" s="16" t="s">
        <v>169</v>
      </c>
      <c r="I50" s="11" t="s">
        <v>25</v>
      </c>
      <c r="J50" s="1" t="b">
        <v>1</v>
      </c>
      <c r="K50" s="1" t="b">
        <v>0</v>
      </c>
      <c r="L50" s="5" t="b">
        <v>0</v>
      </c>
      <c r="M50" s="5" t="b">
        <v>0</v>
      </c>
      <c r="N50" s="5" t="b">
        <v>0</v>
      </c>
      <c r="O50" s="1" t="b">
        <v>0</v>
      </c>
      <c r="P50" s="1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2"/>
      <c r="C51" s="26">
        <v>45573.0</v>
      </c>
      <c r="D51" s="13" t="s">
        <v>170</v>
      </c>
      <c r="E51" s="1"/>
      <c r="F51" s="11" t="s">
        <v>28</v>
      </c>
      <c r="G51" s="26">
        <v>45575.0</v>
      </c>
      <c r="H51" s="16"/>
      <c r="I51" s="11" t="s">
        <v>25</v>
      </c>
      <c r="J51" s="1" t="b">
        <v>1</v>
      </c>
      <c r="K51" s="1" t="b">
        <v>0</v>
      </c>
      <c r="L51" s="5" t="b">
        <v>0</v>
      </c>
      <c r="M51" s="5" t="b">
        <v>0</v>
      </c>
      <c r="N51" s="5" t="b">
        <v>0</v>
      </c>
      <c r="O51" s="1" t="b">
        <v>1</v>
      </c>
      <c r="P51" s="1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idden="1">
      <c r="A52" s="5"/>
      <c r="B52" s="2"/>
      <c r="C52" s="26">
        <v>45573.0</v>
      </c>
      <c r="D52" s="13" t="s">
        <v>171</v>
      </c>
      <c r="E52" s="1"/>
      <c r="F52" s="11" t="s">
        <v>45</v>
      </c>
      <c r="G52" s="26">
        <v>45576.0</v>
      </c>
      <c r="H52" s="16" t="s">
        <v>172</v>
      </c>
      <c r="I52" s="11" t="s">
        <v>173</v>
      </c>
      <c r="J52" s="1" t="b">
        <v>1</v>
      </c>
      <c r="K52" s="1" t="b">
        <v>0</v>
      </c>
      <c r="L52" s="5" t="b">
        <v>0</v>
      </c>
      <c r="M52" s="5" t="b">
        <v>0</v>
      </c>
      <c r="N52" s="5" t="b">
        <v>0</v>
      </c>
      <c r="O52" s="1" t="b">
        <v>0</v>
      </c>
      <c r="P52" s="1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2"/>
      <c r="C53" s="26">
        <v>45573.0</v>
      </c>
      <c r="D53" s="13" t="s">
        <v>174</v>
      </c>
      <c r="E53" s="1"/>
      <c r="F53" s="11" t="s">
        <v>28</v>
      </c>
      <c r="G53" s="26"/>
      <c r="H53" s="16" t="s">
        <v>175</v>
      </c>
      <c r="I53" s="11" t="s">
        <v>25</v>
      </c>
      <c r="J53" s="1" t="b">
        <v>1</v>
      </c>
      <c r="K53" s="1" t="b">
        <v>1</v>
      </c>
      <c r="L53" s="1" t="b">
        <v>1</v>
      </c>
      <c r="M53" s="1" t="b">
        <v>1</v>
      </c>
      <c r="N53" s="5" t="b">
        <v>0</v>
      </c>
      <c r="O53" s="1" t="b">
        <v>0</v>
      </c>
      <c r="P53" s="1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2"/>
      <c r="C54" s="26"/>
      <c r="D54" s="13" t="s">
        <v>176</v>
      </c>
      <c r="E54" s="1" t="s">
        <v>177</v>
      </c>
      <c r="F54" s="11" t="s">
        <v>45</v>
      </c>
      <c r="G54" s="26">
        <v>45574.0</v>
      </c>
      <c r="H54" s="16" t="s">
        <v>178</v>
      </c>
      <c r="I54" s="11" t="s">
        <v>25</v>
      </c>
      <c r="J54" s="1" t="b">
        <v>0</v>
      </c>
      <c r="K54" s="1" t="b">
        <v>0</v>
      </c>
      <c r="L54" s="5" t="b">
        <v>0</v>
      </c>
      <c r="M54" s="5" t="b">
        <v>0</v>
      </c>
      <c r="N54" s="5" t="b">
        <v>0</v>
      </c>
      <c r="O54" s="1" t="b">
        <v>0</v>
      </c>
      <c r="P54" s="1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idden="1">
      <c r="A55" s="5"/>
      <c r="B55" s="2"/>
      <c r="C55" s="26">
        <v>45586.0</v>
      </c>
      <c r="D55" s="13" t="s">
        <v>179</v>
      </c>
      <c r="E55" s="1"/>
      <c r="F55" s="11" t="s">
        <v>23</v>
      </c>
      <c r="G55" s="26">
        <v>45577.0</v>
      </c>
      <c r="H55" s="16"/>
      <c r="I55" s="11" t="s">
        <v>173</v>
      </c>
      <c r="J55" s="1" t="b">
        <v>1</v>
      </c>
      <c r="K55" s="1" t="b">
        <v>0</v>
      </c>
      <c r="L55" s="5" t="b">
        <v>0</v>
      </c>
      <c r="M55" s="5" t="b">
        <v>0</v>
      </c>
      <c r="N55" s="5" t="b">
        <v>0</v>
      </c>
      <c r="O55" s="1" t="b">
        <v>0</v>
      </c>
      <c r="P55" s="1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2"/>
      <c r="C56" s="26">
        <v>45586.0</v>
      </c>
      <c r="D56" s="13" t="s">
        <v>180</v>
      </c>
      <c r="E56" s="1" t="s">
        <v>181</v>
      </c>
      <c r="F56" s="11" t="s">
        <v>28</v>
      </c>
      <c r="G56" s="26">
        <v>45578.0</v>
      </c>
      <c r="H56" s="16" t="s">
        <v>182</v>
      </c>
      <c r="I56" s="11" t="s">
        <v>25</v>
      </c>
      <c r="J56" s="1" t="b">
        <v>1</v>
      </c>
      <c r="K56" s="1" t="b">
        <v>0</v>
      </c>
      <c r="L56" s="5" t="b">
        <v>0</v>
      </c>
      <c r="M56" s="5" t="b">
        <v>0</v>
      </c>
      <c r="N56" s="5" t="b">
        <v>0</v>
      </c>
      <c r="O56" s="1" t="b">
        <v>0</v>
      </c>
      <c r="P56" s="1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2"/>
      <c r="C57" s="26">
        <v>45587.0</v>
      </c>
      <c r="D57" s="13" t="s">
        <v>183</v>
      </c>
      <c r="E57" s="1" t="s">
        <v>184</v>
      </c>
      <c r="F57" s="11" t="s">
        <v>45</v>
      </c>
      <c r="G57" s="26">
        <v>45611.0</v>
      </c>
      <c r="H57" s="16" t="s">
        <v>185</v>
      </c>
      <c r="I57" s="11" t="s">
        <v>25</v>
      </c>
      <c r="J57" s="1" t="b">
        <v>1</v>
      </c>
      <c r="K57" s="1" t="b">
        <v>0</v>
      </c>
      <c r="L57" s="5" t="b">
        <v>0</v>
      </c>
      <c r="M57" s="5" t="b">
        <v>0</v>
      </c>
      <c r="N57" s="1" t="b">
        <v>1</v>
      </c>
      <c r="O57" s="1" t="b">
        <v>1</v>
      </c>
      <c r="P57" s="1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2"/>
      <c r="C58" s="26">
        <v>45588.0</v>
      </c>
      <c r="D58" s="13" t="s">
        <v>186</v>
      </c>
      <c r="E58" s="1" t="s">
        <v>187</v>
      </c>
      <c r="F58" s="11" t="s">
        <v>28</v>
      </c>
      <c r="G58" s="26">
        <v>45604.0</v>
      </c>
      <c r="H58" s="16"/>
      <c r="I58" s="11" t="s">
        <v>25</v>
      </c>
      <c r="J58" s="1" t="b">
        <v>1</v>
      </c>
      <c r="K58" s="1" t="b">
        <v>0</v>
      </c>
      <c r="L58" s="5" t="b">
        <v>0</v>
      </c>
      <c r="M58" s="5" t="b">
        <v>0</v>
      </c>
      <c r="N58" s="5" t="b">
        <v>0</v>
      </c>
      <c r="O58" s="1" t="b">
        <v>1</v>
      </c>
      <c r="P58" s="1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2"/>
      <c r="C59" s="26"/>
      <c r="D59" s="13" t="s">
        <v>188</v>
      </c>
      <c r="E59" s="1"/>
      <c r="F59" s="11" t="s">
        <v>28</v>
      </c>
      <c r="G59" s="26"/>
      <c r="H59" s="16"/>
      <c r="I59" s="11" t="s">
        <v>25</v>
      </c>
      <c r="J59" s="1" t="b">
        <v>0</v>
      </c>
      <c r="K59" s="1" t="b">
        <v>0</v>
      </c>
      <c r="L59" s="5" t="b">
        <v>0</v>
      </c>
      <c r="M59" s="5" t="b">
        <v>0</v>
      </c>
      <c r="N59" s="5" t="b">
        <v>0</v>
      </c>
      <c r="O59" s="1" t="b">
        <v>0</v>
      </c>
      <c r="P59" s="1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2"/>
      <c r="C60" s="26">
        <v>45588.0</v>
      </c>
      <c r="D60" s="13" t="s">
        <v>189</v>
      </c>
      <c r="E60" s="1"/>
      <c r="F60" s="11" t="s">
        <v>28</v>
      </c>
      <c r="G60" s="26">
        <v>45582.0</v>
      </c>
      <c r="H60" s="16" t="s">
        <v>190</v>
      </c>
      <c r="I60" s="11" t="s">
        <v>25</v>
      </c>
      <c r="J60" s="1" t="b">
        <v>1</v>
      </c>
      <c r="K60" s="1" t="b">
        <v>0</v>
      </c>
      <c r="L60" s="5" t="b">
        <v>0</v>
      </c>
      <c r="M60" s="5" t="b">
        <v>0</v>
      </c>
      <c r="N60" s="5" t="b">
        <v>0</v>
      </c>
      <c r="O60" s="1" t="b">
        <v>0</v>
      </c>
      <c r="P60" s="1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2"/>
      <c r="C61" s="26">
        <v>45596.0</v>
      </c>
      <c r="D61" s="13" t="s">
        <v>191</v>
      </c>
      <c r="E61" s="1"/>
      <c r="F61" s="11" t="s">
        <v>23</v>
      </c>
      <c r="G61" s="26"/>
      <c r="H61" s="16" t="s">
        <v>192</v>
      </c>
      <c r="I61" s="11" t="s">
        <v>25</v>
      </c>
      <c r="J61" s="1" t="b">
        <v>1</v>
      </c>
      <c r="K61" s="1" t="b">
        <v>0</v>
      </c>
      <c r="L61" s="5" t="b">
        <v>0</v>
      </c>
      <c r="M61" s="5" t="b">
        <v>0</v>
      </c>
      <c r="N61" s="5" t="b">
        <v>0</v>
      </c>
      <c r="O61" s="1" t="b">
        <v>1</v>
      </c>
      <c r="P61" s="1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2"/>
      <c r="C62" s="26"/>
      <c r="D62" s="13" t="s">
        <v>193</v>
      </c>
      <c r="E62" s="1"/>
      <c r="F62" s="11" t="s">
        <v>23</v>
      </c>
      <c r="G62" s="26">
        <v>45597.0</v>
      </c>
      <c r="H62" s="16" t="s">
        <v>194</v>
      </c>
      <c r="I62" s="11" t="s">
        <v>25</v>
      </c>
      <c r="J62" s="1" t="b">
        <v>1</v>
      </c>
      <c r="K62" s="1" t="b">
        <v>1</v>
      </c>
      <c r="L62" s="1" t="b">
        <v>1</v>
      </c>
      <c r="M62" s="1" t="b">
        <v>1</v>
      </c>
      <c r="N62" s="5" t="b">
        <v>0</v>
      </c>
      <c r="O62" s="1" t="b">
        <v>0</v>
      </c>
      <c r="P62" s="1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2"/>
      <c r="C63" s="26">
        <v>45574.0</v>
      </c>
      <c r="D63" s="13" t="s">
        <v>195</v>
      </c>
      <c r="E63" s="1"/>
      <c r="F63" s="11" t="s">
        <v>28</v>
      </c>
      <c r="G63" s="26">
        <v>45582.0</v>
      </c>
      <c r="H63" s="16" t="s">
        <v>196</v>
      </c>
      <c r="I63" s="11" t="s">
        <v>25</v>
      </c>
      <c r="J63" s="1" t="b">
        <v>1</v>
      </c>
      <c r="K63" s="1" t="b">
        <v>0</v>
      </c>
      <c r="L63" s="5" t="b">
        <v>0</v>
      </c>
      <c r="M63" s="5" t="b">
        <v>0</v>
      </c>
      <c r="N63" s="5" t="b">
        <v>0</v>
      </c>
      <c r="O63" s="1" t="b">
        <v>1</v>
      </c>
      <c r="P63" s="1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2"/>
      <c r="C64" s="26">
        <v>45574.0</v>
      </c>
      <c r="D64" s="13" t="s">
        <v>197</v>
      </c>
      <c r="E64" s="1" t="s">
        <v>198</v>
      </c>
      <c r="F64" s="11" t="s">
        <v>45</v>
      </c>
      <c r="G64" s="26"/>
      <c r="H64" s="16" t="s">
        <v>199</v>
      </c>
      <c r="I64" s="11" t="s">
        <v>25</v>
      </c>
      <c r="J64" s="1" t="b">
        <v>1</v>
      </c>
      <c r="K64" s="1" t="b">
        <v>0</v>
      </c>
      <c r="L64" s="5" t="b">
        <v>0</v>
      </c>
      <c r="M64" s="5" t="b">
        <v>0</v>
      </c>
      <c r="N64" s="1" t="b">
        <v>1</v>
      </c>
      <c r="O64" s="1" t="b">
        <v>1</v>
      </c>
      <c r="P64" s="1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2"/>
      <c r="C65" s="26">
        <v>45597.0</v>
      </c>
      <c r="D65" s="13" t="s">
        <v>200</v>
      </c>
      <c r="E65" s="1" t="s">
        <v>113</v>
      </c>
      <c r="F65" s="11" t="s">
        <v>28</v>
      </c>
      <c r="G65" s="26">
        <v>45625.0</v>
      </c>
      <c r="H65" s="16" t="s">
        <v>201</v>
      </c>
      <c r="I65" s="11" t="s">
        <v>25</v>
      </c>
      <c r="J65" s="1" t="b">
        <v>1</v>
      </c>
      <c r="K65" s="1" t="b">
        <v>0</v>
      </c>
      <c r="L65" s="5" t="b">
        <v>0</v>
      </c>
      <c r="M65" s="5" t="b">
        <v>0</v>
      </c>
      <c r="N65" s="1" t="b">
        <v>1</v>
      </c>
      <c r="O65" s="1" t="b">
        <v>1</v>
      </c>
      <c r="P65" s="1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2"/>
      <c r="C66" s="26">
        <v>45597.0</v>
      </c>
      <c r="D66" s="13" t="s">
        <v>202</v>
      </c>
      <c r="E66" s="1" t="s">
        <v>113</v>
      </c>
      <c r="F66" s="11" t="s">
        <v>28</v>
      </c>
      <c r="G66" s="26">
        <v>45625.0</v>
      </c>
      <c r="H66" s="16"/>
      <c r="I66" s="11" t="s">
        <v>25</v>
      </c>
      <c r="J66" s="1" t="b">
        <v>1</v>
      </c>
      <c r="K66" s="1" t="b">
        <v>0</v>
      </c>
      <c r="L66" s="5" t="b">
        <v>0</v>
      </c>
      <c r="M66" s="5" t="b">
        <v>0</v>
      </c>
      <c r="N66" s="1" t="b">
        <v>1</v>
      </c>
      <c r="O66" s="1" t="b">
        <v>1</v>
      </c>
      <c r="P66" s="1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2"/>
      <c r="C67" s="26">
        <v>45597.0</v>
      </c>
      <c r="D67" s="13" t="s">
        <v>203</v>
      </c>
      <c r="E67" s="1" t="s">
        <v>113</v>
      </c>
      <c r="F67" s="11" t="s">
        <v>28</v>
      </c>
      <c r="G67" s="26">
        <v>45625.0</v>
      </c>
      <c r="H67" s="16" t="s">
        <v>204</v>
      </c>
      <c r="I67" s="11" t="s">
        <v>25</v>
      </c>
      <c r="J67" s="1" t="b">
        <v>1</v>
      </c>
      <c r="K67" s="1" t="b">
        <v>0</v>
      </c>
      <c r="L67" s="5" t="b">
        <v>0</v>
      </c>
      <c r="M67" s="5" t="b">
        <v>0</v>
      </c>
      <c r="N67" s="1" t="b">
        <v>1</v>
      </c>
      <c r="O67" s="1" t="b">
        <v>1</v>
      </c>
      <c r="P67" s="1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2"/>
      <c r="C68" s="26">
        <v>45597.0</v>
      </c>
      <c r="D68" s="13" t="s">
        <v>205</v>
      </c>
      <c r="E68" s="1" t="s">
        <v>113</v>
      </c>
      <c r="F68" s="11" t="s">
        <v>28</v>
      </c>
      <c r="G68" s="26">
        <v>45625.0</v>
      </c>
      <c r="H68" s="16"/>
      <c r="I68" s="11" t="s">
        <v>25</v>
      </c>
      <c r="J68" s="1" t="b">
        <v>1</v>
      </c>
      <c r="K68" s="1" t="b">
        <v>0</v>
      </c>
      <c r="L68" s="5" t="b">
        <v>0</v>
      </c>
      <c r="M68" s="5" t="b">
        <v>0</v>
      </c>
      <c r="N68" s="1" t="b">
        <v>1</v>
      </c>
      <c r="O68" s="1" t="b">
        <v>1</v>
      </c>
      <c r="P68" s="1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2"/>
      <c r="C69" s="26">
        <v>45604.0</v>
      </c>
      <c r="D69" s="13" t="s">
        <v>206</v>
      </c>
      <c r="E69" s="1" t="s">
        <v>207</v>
      </c>
      <c r="F69" s="11" t="s">
        <v>28</v>
      </c>
      <c r="G69" s="26">
        <v>45626.0</v>
      </c>
      <c r="H69" s="16" t="s">
        <v>208</v>
      </c>
      <c r="I69" s="11" t="s">
        <v>25</v>
      </c>
      <c r="J69" s="1" t="b">
        <v>0</v>
      </c>
      <c r="K69" s="1" t="b">
        <v>0</v>
      </c>
      <c r="L69" s="5" t="b">
        <v>0</v>
      </c>
      <c r="M69" s="5" t="b">
        <v>0</v>
      </c>
      <c r="N69" s="5" t="b">
        <v>0</v>
      </c>
      <c r="O69" s="1" t="b">
        <v>0</v>
      </c>
      <c r="P69" s="1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2"/>
      <c r="C70" s="26">
        <v>45609.0</v>
      </c>
      <c r="D70" s="13" t="s">
        <v>209</v>
      </c>
      <c r="E70" s="1" t="s">
        <v>210</v>
      </c>
      <c r="F70" s="11" t="s">
        <v>23</v>
      </c>
      <c r="G70" s="26">
        <v>45639.0</v>
      </c>
      <c r="H70" s="16" t="s">
        <v>1104</v>
      </c>
      <c r="I70" s="11" t="s">
        <v>739</v>
      </c>
      <c r="J70" s="1" t="b">
        <v>0</v>
      </c>
      <c r="K70" s="1" t="b">
        <v>0</v>
      </c>
      <c r="L70" s="5" t="b">
        <v>0</v>
      </c>
      <c r="M70" s="5" t="b">
        <v>0</v>
      </c>
      <c r="N70" s="5" t="b">
        <v>0</v>
      </c>
      <c r="O70" s="1" t="b">
        <v>0</v>
      </c>
      <c r="P70" s="1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2"/>
      <c r="C71" s="26">
        <v>45615.0</v>
      </c>
      <c r="D71" s="13" t="s">
        <v>340</v>
      </c>
      <c r="E71" s="1" t="s">
        <v>341</v>
      </c>
      <c r="F71" s="11" t="s">
        <v>28</v>
      </c>
      <c r="G71" s="26"/>
      <c r="H71" s="16" t="s">
        <v>342</v>
      </c>
      <c r="I71" s="11" t="s">
        <v>25</v>
      </c>
      <c r="J71" s="1" t="b">
        <v>0</v>
      </c>
      <c r="K71" s="1" t="b">
        <v>0</v>
      </c>
      <c r="L71" s="5" t="b">
        <v>0</v>
      </c>
      <c r="M71" s="5" t="b">
        <v>0</v>
      </c>
      <c r="N71" s="5" t="b">
        <v>0</v>
      </c>
      <c r="O71" s="1" t="b">
        <v>0</v>
      </c>
      <c r="P71" s="1" t="s">
        <v>343</v>
      </c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2"/>
      <c r="C72" s="26">
        <v>45616.0</v>
      </c>
      <c r="D72" s="13" t="s">
        <v>344</v>
      </c>
      <c r="E72" s="1" t="s">
        <v>345</v>
      </c>
      <c r="F72" s="11" t="s">
        <v>28</v>
      </c>
      <c r="G72" s="26"/>
      <c r="H72" s="16"/>
      <c r="I72" s="11" t="s">
        <v>25</v>
      </c>
      <c r="J72" s="1" t="b">
        <v>0</v>
      </c>
      <c r="K72" s="1" t="b">
        <v>0</v>
      </c>
      <c r="L72" s="5" t="b">
        <v>0</v>
      </c>
      <c r="M72" s="5" t="b">
        <v>0</v>
      </c>
      <c r="N72" s="5" t="b">
        <v>0</v>
      </c>
      <c r="O72" s="1" t="b">
        <v>0</v>
      </c>
      <c r="P72" s="1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2"/>
      <c r="C73" s="26">
        <v>45615.0</v>
      </c>
      <c r="D73" s="13" t="s">
        <v>346</v>
      </c>
      <c r="E73" s="1" t="s">
        <v>347</v>
      </c>
      <c r="F73" s="11" t="s">
        <v>45</v>
      </c>
      <c r="G73" s="26"/>
      <c r="H73" s="16" t="s">
        <v>348</v>
      </c>
      <c r="I73" s="11" t="s">
        <v>25</v>
      </c>
      <c r="J73" s="1" t="b">
        <v>0</v>
      </c>
      <c r="K73" s="1" t="b">
        <v>0</v>
      </c>
      <c r="L73" s="5" t="b">
        <v>0</v>
      </c>
      <c r="M73" s="5" t="b">
        <v>0</v>
      </c>
      <c r="N73" s="5" t="b">
        <v>0</v>
      </c>
      <c r="O73" s="1" t="b">
        <v>0</v>
      </c>
      <c r="P73" s="1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2"/>
      <c r="C74" s="26">
        <v>45615.0</v>
      </c>
      <c r="D74" s="13" t="s">
        <v>349</v>
      </c>
      <c r="E74" s="1"/>
      <c r="F74" s="11"/>
      <c r="G74" s="26"/>
      <c r="H74" s="16"/>
      <c r="I74" s="11" t="s">
        <v>25</v>
      </c>
      <c r="J74" s="1" t="b">
        <v>0</v>
      </c>
      <c r="K74" s="1" t="b">
        <v>0</v>
      </c>
      <c r="L74" s="5" t="b">
        <v>0</v>
      </c>
      <c r="M74" s="5" t="b">
        <v>0</v>
      </c>
      <c r="N74" s="5" t="b">
        <v>0</v>
      </c>
      <c r="O74" s="1" t="b">
        <v>0</v>
      </c>
      <c r="P74" s="1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2"/>
      <c r="C75" s="26"/>
      <c r="D75" s="13" t="s">
        <v>350</v>
      </c>
      <c r="E75" s="1" t="s">
        <v>351</v>
      </c>
      <c r="F75" s="11" t="s">
        <v>28</v>
      </c>
      <c r="G75" s="26"/>
      <c r="H75" s="16" t="s">
        <v>352</v>
      </c>
      <c r="I75" s="11" t="s">
        <v>25</v>
      </c>
      <c r="J75" s="1" t="b">
        <v>0</v>
      </c>
      <c r="K75" s="1" t="b">
        <v>0</v>
      </c>
      <c r="L75" s="5" t="b">
        <v>0</v>
      </c>
      <c r="M75" s="5" t="b">
        <v>0</v>
      </c>
      <c r="N75" s="5" t="b">
        <v>0</v>
      </c>
      <c r="O75" s="1" t="b">
        <v>0</v>
      </c>
      <c r="P75" s="1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2"/>
      <c r="C76" s="26">
        <v>45614.0</v>
      </c>
      <c r="D76" s="13" t="s">
        <v>353</v>
      </c>
      <c r="E76" s="1" t="s">
        <v>111</v>
      </c>
      <c r="F76" s="11" t="s">
        <v>45</v>
      </c>
      <c r="G76" s="26">
        <v>45618.0</v>
      </c>
      <c r="H76" s="16" t="s">
        <v>354</v>
      </c>
      <c r="I76" s="11" t="s">
        <v>25</v>
      </c>
      <c r="J76" s="1" t="b">
        <v>0</v>
      </c>
      <c r="K76" s="1" t="b">
        <v>0</v>
      </c>
      <c r="L76" s="5" t="b">
        <v>0</v>
      </c>
      <c r="M76" s="5" t="b">
        <v>0</v>
      </c>
      <c r="N76" s="5" t="b">
        <v>0</v>
      </c>
      <c r="O76" s="1" t="b">
        <v>0</v>
      </c>
      <c r="P76" s="1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2"/>
      <c r="C77" s="26">
        <v>45581.0</v>
      </c>
      <c r="D77" s="13" t="s">
        <v>355</v>
      </c>
      <c r="E77" s="1"/>
      <c r="F77" s="11" t="s">
        <v>28</v>
      </c>
      <c r="G77" s="26">
        <v>45588.0</v>
      </c>
      <c r="H77" s="16" t="s">
        <v>356</v>
      </c>
      <c r="I77" s="11" t="s">
        <v>25</v>
      </c>
      <c r="J77" s="1" t="b">
        <v>1</v>
      </c>
      <c r="K77" s="1" t="b">
        <v>0</v>
      </c>
      <c r="L77" s="5" t="b">
        <v>0</v>
      </c>
      <c r="M77" s="5" t="b">
        <v>0</v>
      </c>
      <c r="N77" s="5" t="b">
        <v>0</v>
      </c>
      <c r="O77" s="1" t="b">
        <v>1</v>
      </c>
      <c r="P77" s="1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2"/>
      <c r="C78" s="26">
        <v>45536.0</v>
      </c>
      <c r="D78" s="13" t="s">
        <v>112</v>
      </c>
      <c r="E78" s="1" t="s">
        <v>113</v>
      </c>
      <c r="F78" s="11" t="s">
        <v>28</v>
      </c>
      <c r="G78" s="43"/>
      <c r="H78" s="16" t="s">
        <v>357</v>
      </c>
      <c r="I78" s="11" t="s">
        <v>25</v>
      </c>
      <c r="J78" s="1" t="b">
        <v>1</v>
      </c>
      <c r="K78" s="1" t="b">
        <v>1</v>
      </c>
      <c r="L78" s="5" t="b">
        <v>0</v>
      </c>
      <c r="M78" s="5" t="b">
        <v>0</v>
      </c>
      <c r="N78" s="5" t="b">
        <v>0</v>
      </c>
      <c r="O78" s="1" t="b">
        <v>1</v>
      </c>
      <c r="P78" s="1" t="s">
        <v>358</v>
      </c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2"/>
      <c r="C79" s="43"/>
      <c r="D79" s="4"/>
      <c r="E79" s="5"/>
      <c r="F79" s="2"/>
      <c r="G79" s="43"/>
      <c r="H79" s="7"/>
      <c r="I79" s="2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2"/>
      <c r="C80" s="43"/>
      <c r="D80" s="4"/>
      <c r="E80" s="5"/>
      <c r="F80" s="2"/>
      <c r="G80" s="43"/>
      <c r="H80" s="7"/>
      <c r="I80" s="2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2"/>
      <c r="C81" s="43"/>
      <c r="D81" s="4"/>
      <c r="E81" s="5"/>
      <c r="F81" s="2"/>
      <c r="G81" s="43"/>
      <c r="H81" s="7"/>
      <c r="I81" s="2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89" t="s">
        <v>1011</v>
      </c>
      <c r="C82" s="89"/>
      <c r="D82" s="4"/>
      <c r="E82" s="90" t="s">
        <v>1105</v>
      </c>
      <c r="F82" s="89"/>
      <c r="G82" s="43"/>
      <c r="H82" s="91" t="s">
        <v>1013</v>
      </c>
      <c r="I82" s="2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2"/>
      <c r="C83" s="43"/>
      <c r="D83" s="4"/>
      <c r="E83" s="1"/>
      <c r="F83" s="2"/>
      <c r="G83" s="43"/>
      <c r="H83" s="16"/>
      <c r="I83" s="11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11"/>
      <c r="C84" s="43"/>
      <c r="D84" s="4"/>
      <c r="E84" s="1" t="s">
        <v>1106</v>
      </c>
      <c r="F84" s="11" t="b">
        <v>1</v>
      </c>
      <c r="G84" s="43"/>
      <c r="H84" s="16" t="s">
        <v>794</v>
      </c>
      <c r="I84" s="2" t="b">
        <v>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11" t="s">
        <v>1107</v>
      </c>
      <c r="C85" s="11" t="b">
        <v>1</v>
      </c>
      <c r="D85" s="4"/>
      <c r="E85" s="1" t="s">
        <v>1108</v>
      </c>
      <c r="F85" s="11" t="b">
        <v>1</v>
      </c>
      <c r="G85" s="43"/>
      <c r="H85" s="16"/>
      <c r="I85" s="2" t="b">
        <v>0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11"/>
      <c r="C86" s="11"/>
      <c r="D86" s="4"/>
      <c r="E86" s="1" t="s">
        <v>162</v>
      </c>
      <c r="F86" s="11" t="b">
        <v>1</v>
      </c>
      <c r="G86" s="43"/>
      <c r="H86" s="16"/>
      <c r="I86" s="2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11" t="s">
        <v>1109</v>
      </c>
      <c r="C87" s="11" t="b">
        <v>0</v>
      </c>
      <c r="D87" s="13"/>
      <c r="E87" s="1" t="s">
        <v>1110</v>
      </c>
      <c r="F87" s="2"/>
      <c r="G87" s="43"/>
      <c r="H87" s="7"/>
      <c r="I87" s="2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11" t="s">
        <v>1111</v>
      </c>
      <c r="C88" s="43" t="b">
        <v>0</v>
      </c>
      <c r="D88" s="4"/>
      <c r="E88" s="90" t="s">
        <v>1112</v>
      </c>
      <c r="F88" s="2"/>
      <c r="G88" s="43"/>
      <c r="H88" s="16"/>
      <c r="I88" s="2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11" t="s">
        <v>1113</v>
      </c>
      <c r="C89" s="43" t="b">
        <v>0</v>
      </c>
      <c r="D89" s="4"/>
      <c r="E89" s="1"/>
      <c r="F89" s="2"/>
      <c r="G89" s="43"/>
      <c r="H89" s="16"/>
      <c r="I89" s="2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11" t="s">
        <v>1114</v>
      </c>
      <c r="C90" s="43" t="b">
        <v>0</v>
      </c>
      <c r="D90" s="4"/>
      <c r="E90" s="1" t="s">
        <v>1115</v>
      </c>
      <c r="F90" s="11" t="b">
        <v>1</v>
      </c>
      <c r="G90" s="43"/>
      <c r="H90" s="16"/>
      <c r="I90" s="2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11" t="s">
        <v>1116</v>
      </c>
      <c r="C91" s="43" t="b">
        <v>0</v>
      </c>
      <c r="D91" s="4"/>
      <c r="E91" s="1"/>
      <c r="F91" s="11"/>
      <c r="G91" s="43"/>
      <c r="H91" s="7"/>
      <c r="I91" s="2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11"/>
      <c r="C92" s="43" t="b">
        <v>0</v>
      </c>
      <c r="D92" s="4"/>
      <c r="E92" s="5"/>
      <c r="F92" s="2"/>
      <c r="G92" s="43"/>
      <c r="H92" s="7"/>
      <c r="I92" s="2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2"/>
      <c r="C93" s="43"/>
      <c r="D93" s="4"/>
      <c r="E93" s="1"/>
      <c r="F93" s="2"/>
      <c r="G93" s="43"/>
      <c r="H93" s="7"/>
      <c r="I93" s="2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2"/>
      <c r="C94" s="43"/>
      <c r="D94" s="4"/>
      <c r="E94" s="90" t="s">
        <v>1018</v>
      </c>
      <c r="F94" s="2"/>
      <c r="G94" s="6"/>
      <c r="H94" s="7"/>
      <c r="I94" s="2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89" t="s">
        <v>781</v>
      </c>
      <c r="C95" s="89" t="s">
        <v>1117</v>
      </c>
      <c r="D95" s="4"/>
      <c r="E95" s="1" t="s">
        <v>1118</v>
      </c>
      <c r="F95" s="2" t="b">
        <v>0</v>
      </c>
      <c r="G95" s="11"/>
      <c r="H95" s="16"/>
      <c r="I95" s="2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11" t="s">
        <v>794</v>
      </c>
      <c r="C96" s="11" t="b">
        <v>1</v>
      </c>
      <c r="D96" s="4"/>
      <c r="E96" s="1"/>
      <c r="F96" s="11"/>
      <c r="G96" s="6"/>
      <c r="H96" s="4"/>
      <c r="I96" s="2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11" t="s">
        <v>1119</v>
      </c>
      <c r="C97" s="3" t="b">
        <v>0</v>
      </c>
      <c r="D97" s="13"/>
      <c r="E97" s="1"/>
      <c r="F97" s="11"/>
      <c r="G97" s="6"/>
      <c r="H97" s="4"/>
      <c r="I97" s="2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11" t="s">
        <v>1120</v>
      </c>
      <c r="C98" s="3" t="b">
        <v>0</v>
      </c>
      <c r="D98" s="4"/>
      <c r="E98" s="1"/>
      <c r="F98" s="11"/>
      <c r="G98" s="6"/>
      <c r="H98" s="4"/>
      <c r="I98" s="2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11" t="s">
        <v>1121</v>
      </c>
      <c r="C99" s="3" t="b">
        <v>0</v>
      </c>
      <c r="D99" s="4"/>
      <c r="E99" s="1"/>
      <c r="F99" s="11"/>
      <c r="G99" s="6"/>
      <c r="H99" s="4"/>
      <c r="I99" s="2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11" t="s">
        <v>1122</v>
      </c>
      <c r="C100" s="3" t="b">
        <v>0</v>
      </c>
      <c r="D100" s="4"/>
      <c r="E100" s="1"/>
      <c r="F100" s="11"/>
      <c r="G100" s="6"/>
      <c r="H100" s="4"/>
      <c r="I100" s="2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11" t="s">
        <v>1123</v>
      </c>
      <c r="C101" s="3" t="b">
        <v>0</v>
      </c>
      <c r="D101" s="4"/>
      <c r="E101" s="99" t="s">
        <v>1124</v>
      </c>
      <c r="F101" s="100"/>
      <c r="G101" s="6"/>
      <c r="H101" s="4"/>
      <c r="I101" s="2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11"/>
      <c r="C102" s="3"/>
      <c r="D102" s="4"/>
      <c r="E102" s="1" t="s">
        <v>1125</v>
      </c>
      <c r="F102" s="2"/>
      <c r="G102" s="6"/>
      <c r="H102" s="13" t="b">
        <v>0</v>
      </c>
      <c r="I102" s="2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97" t="s">
        <v>1024</v>
      </c>
      <c r="C103" s="3"/>
      <c r="D103" s="4"/>
      <c r="E103" s="1" t="s">
        <v>1126</v>
      </c>
      <c r="F103" s="2"/>
      <c r="G103" s="6"/>
      <c r="H103" s="13" t="b">
        <v>1</v>
      </c>
      <c r="I103" s="2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11"/>
      <c r="C104" s="11"/>
      <c r="D104" s="4"/>
      <c r="E104" s="1"/>
      <c r="F104" s="2"/>
      <c r="G104" s="6"/>
      <c r="H104" s="4" t="b">
        <v>0</v>
      </c>
      <c r="I104" s="2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11" t="s">
        <v>1127</v>
      </c>
      <c r="C105" s="11" t="b">
        <v>1</v>
      </c>
      <c r="D105" s="4"/>
      <c r="E105" s="1"/>
      <c r="F105" s="2"/>
      <c r="G105" s="6"/>
      <c r="H105" s="4" t="b">
        <v>0</v>
      </c>
      <c r="I105" s="2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11" t="s">
        <v>1128</v>
      </c>
      <c r="C106" s="11" t="b">
        <v>1</v>
      </c>
      <c r="D106" s="4"/>
      <c r="E106" s="1"/>
      <c r="F106" s="2"/>
      <c r="G106" s="6"/>
      <c r="H106" s="4" t="b">
        <v>0</v>
      </c>
      <c r="I106" s="2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11" t="s">
        <v>1129</v>
      </c>
      <c r="C107" s="3" t="b">
        <v>0</v>
      </c>
      <c r="D107" s="4"/>
      <c r="E107" s="1"/>
      <c r="F107" s="2"/>
      <c r="G107" s="6"/>
      <c r="H107" s="4" t="b">
        <v>0</v>
      </c>
      <c r="I107" s="2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11" t="s">
        <v>1130</v>
      </c>
      <c r="C108" s="3" t="b">
        <v>0</v>
      </c>
      <c r="D108" s="4"/>
      <c r="E108" s="1"/>
      <c r="F108" s="2"/>
      <c r="G108" s="6"/>
      <c r="H108" s="4" t="b">
        <v>0</v>
      </c>
      <c r="I108" s="2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2"/>
      <c r="C109" s="3"/>
      <c r="D109" s="4"/>
      <c r="E109" s="5"/>
      <c r="F109" s="2"/>
      <c r="G109" s="6"/>
      <c r="H109" s="4"/>
      <c r="I109" s="2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2"/>
      <c r="C110" s="3"/>
      <c r="D110" s="4"/>
      <c r="E110" s="99" t="s">
        <v>1029</v>
      </c>
      <c r="F110" s="100"/>
      <c r="G110" s="6"/>
      <c r="H110" s="4"/>
      <c r="I110" s="2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97" t="s">
        <v>1131</v>
      </c>
      <c r="C111" s="3"/>
      <c r="D111" s="4"/>
      <c r="E111" s="1"/>
      <c r="F111" s="2"/>
      <c r="G111" s="6"/>
      <c r="H111" s="4"/>
      <c r="I111" s="2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2"/>
      <c r="C112" s="3"/>
      <c r="D112" s="4"/>
      <c r="E112" s="1" t="s">
        <v>1132</v>
      </c>
      <c r="F112" s="2"/>
      <c r="G112" s="6"/>
      <c r="H112" s="4" t="b">
        <v>0</v>
      </c>
      <c r="I112" s="2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11" t="s">
        <v>209</v>
      </c>
      <c r="C113" s="3" t="b">
        <v>0</v>
      </c>
      <c r="D113" s="13" t="s">
        <v>1133</v>
      </c>
      <c r="E113" s="1" t="s">
        <v>1134</v>
      </c>
      <c r="F113" s="2"/>
      <c r="G113" s="6"/>
      <c r="H113" s="13" t="b">
        <v>0</v>
      </c>
      <c r="I113" s="2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11" t="s">
        <v>1135</v>
      </c>
      <c r="C114" s="3" t="b">
        <v>0</v>
      </c>
      <c r="D114" s="4"/>
      <c r="E114" s="1"/>
      <c r="F114" s="2"/>
      <c r="G114" s="6"/>
      <c r="H114" s="4" t="b">
        <v>0</v>
      </c>
      <c r="I114" s="2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11" t="s">
        <v>1136</v>
      </c>
      <c r="C115" s="3" t="b">
        <v>0</v>
      </c>
      <c r="D115" s="4"/>
      <c r="E115" s="5"/>
      <c r="F115" s="2"/>
      <c r="G115" s="6"/>
      <c r="H115" s="4"/>
      <c r="I115" s="2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11" t="s">
        <v>1137</v>
      </c>
      <c r="C116" s="3" t="b">
        <v>0</v>
      </c>
      <c r="D116" s="4"/>
      <c r="E116" s="5"/>
      <c r="F116" s="2"/>
      <c r="G116" s="6"/>
      <c r="H116" s="4"/>
      <c r="I116" s="2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11" t="s">
        <v>1138</v>
      </c>
      <c r="C117" s="3" t="b">
        <v>0</v>
      </c>
      <c r="D117" s="13" t="s">
        <v>1139</v>
      </c>
      <c r="E117" s="5"/>
      <c r="F117" s="2"/>
      <c r="G117" s="6"/>
      <c r="H117" s="4"/>
      <c r="I117" s="2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11" t="s">
        <v>1140</v>
      </c>
      <c r="C118" s="3" t="b">
        <v>0</v>
      </c>
      <c r="D118" s="13" t="s">
        <v>1141</v>
      </c>
      <c r="E118" s="5"/>
      <c r="F118" s="2"/>
      <c r="G118" s="6"/>
      <c r="H118" s="4"/>
      <c r="I118" s="2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2"/>
      <c r="C119" s="3" t="b">
        <v>0</v>
      </c>
      <c r="D119" s="4"/>
      <c r="E119" s="5"/>
      <c r="F119" s="2"/>
      <c r="G119" s="6"/>
      <c r="H119" s="4"/>
      <c r="I119" s="2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2"/>
      <c r="C120" s="3" t="b">
        <v>0</v>
      </c>
      <c r="D120" s="4"/>
      <c r="E120" s="5"/>
      <c r="F120" s="2"/>
      <c r="G120" s="6"/>
      <c r="H120" s="4"/>
      <c r="I120" s="2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2"/>
      <c r="C121" s="3" t="b">
        <v>0</v>
      </c>
      <c r="D121" s="4"/>
      <c r="E121" s="5"/>
      <c r="F121" s="2"/>
      <c r="G121" s="6"/>
      <c r="H121" s="4"/>
      <c r="I121" s="2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2"/>
      <c r="C122" s="3" t="b">
        <v>0</v>
      </c>
      <c r="D122" s="4"/>
      <c r="E122" s="5"/>
      <c r="F122" s="2"/>
      <c r="G122" s="6"/>
      <c r="H122" s="4"/>
      <c r="I122" s="2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2"/>
      <c r="C123" s="3" t="b">
        <v>0</v>
      </c>
      <c r="D123" s="4"/>
      <c r="E123" s="5"/>
      <c r="F123" s="2"/>
      <c r="G123" s="6"/>
      <c r="H123" s="4"/>
      <c r="I123" s="2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2"/>
      <c r="C124" s="3"/>
      <c r="D124" s="4"/>
      <c r="E124" s="5"/>
      <c r="F124" s="2"/>
      <c r="G124" s="6"/>
      <c r="H124" s="4"/>
      <c r="I124" s="2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2"/>
      <c r="C125" s="3"/>
      <c r="D125" s="4"/>
      <c r="E125" s="5"/>
      <c r="F125" s="2"/>
      <c r="G125" s="6"/>
      <c r="H125" s="4"/>
      <c r="I125" s="2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2"/>
      <c r="C126" s="3"/>
      <c r="D126" s="4"/>
      <c r="E126" s="5"/>
      <c r="F126" s="2"/>
      <c r="G126" s="6"/>
      <c r="H126" s="4"/>
      <c r="I126" s="2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2"/>
      <c r="C127" s="3"/>
      <c r="D127" s="4"/>
      <c r="E127" s="5"/>
      <c r="F127" s="2"/>
      <c r="G127" s="6"/>
      <c r="H127" s="4"/>
      <c r="I127" s="2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2"/>
      <c r="C128" s="3"/>
      <c r="D128" s="4"/>
      <c r="E128" s="5"/>
      <c r="F128" s="2"/>
      <c r="G128" s="6"/>
      <c r="H128" s="4"/>
      <c r="I128" s="2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2"/>
      <c r="C129" s="3"/>
      <c r="D129" s="4"/>
      <c r="E129" s="5"/>
      <c r="F129" s="2"/>
      <c r="G129" s="6"/>
      <c r="H129" s="4"/>
      <c r="I129" s="2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2"/>
      <c r="C130" s="3"/>
      <c r="D130" s="4"/>
      <c r="E130" s="5"/>
      <c r="F130" s="2"/>
      <c r="G130" s="6"/>
      <c r="H130" s="4"/>
      <c r="I130" s="2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2"/>
      <c r="C131" s="3"/>
      <c r="D131" s="4"/>
      <c r="E131" s="5"/>
      <c r="F131" s="2"/>
      <c r="G131" s="6"/>
      <c r="H131" s="4"/>
      <c r="I131" s="2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2"/>
      <c r="C132" s="3"/>
      <c r="D132" s="4"/>
      <c r="E132" s="5"/>
      <c r="F132" s="2"/>
      <c r="G132" s="6"/>
      <c r="H132" s="4"/>
      <c r="I132" s="2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2"/>
      <c r="C133" s="3"/>
      <c r="D133" s="4"/>
      <c r="E133" s="5"/>
      <c r="F133" s="2"/>
      <c r="G133" s="6"/>
      <c r="H133" s="4"/>
      <c r="I133" s="2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2"/>
      <c r="C134" s="3"/>
      <c r="D134" s="4"/>
      <c r="E134" s="5"/>
      <c r="F134" s="2"/>
      <c r="G134" s="6"/>
      <c r="H134" s="4"/>
      <c r="I134" s="2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2"/>
      <c r="C135" s="3"/>
      <c r="D135" s="4"/>
      <c r="E135" s="5"/>
      <c r="F135" s="2"/>
      <c r="G135" s="6"/>
      <c r="H135" s="4"/>
      <c r="I135" s="2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2"/>
      <c r="C136" s="3"/>
      <c r="D136" s="4"/>
      <c r="E136" s="5"/>
      <c r="F136" s="2"/>
      <c r="G136" s="6"/>
      <c r="H136" s="4"/>
      <c r="I136" s="2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2"/>
      <c r="C137" s="3"/>
      <c r="D137" s="4"/>
      <c r="E137" s="5"/>
      <c r="F137" s="2"/>
      <c r="G137" s="6"/>
      <c r="H137" s="4"/>
      <c r="I137" s="2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2"/>
      <c r="C138" s="3"/>
      <c r="D138" s="4"/>
      <c r="E138" s="5"/>
      <c r="F138" s="2"/>
      <c r="G138" s="6"/>
      <c r="H138" s="4"/>
      <c r="I138" s="2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2"/>
      <c r="C139" s="3"/>
      <c r="D139" s="4"/>
      <c r="E139" s="5"/>
      <c r="F139" s="2"/>
      <c r="G139" s="6"/>
      <c r="H139" s="4"/>
      <c r="I139" s="2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2"/>
      <c r="C140" s="3"/>
      <c r="D140" s="4"/>
      <c r="E140" s="5"/>
      <c r="F140" s="2"/>
      <c r="G140" s="6"/>
      <c r="H140" s="4"/>
      <c r="I140" s="2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2"/>
      <c r="C141" s="3"/>
      <c r="D141" s="4"/>
      <c r="E141" s="5"/>
      <c r="F141" s="2"/>
      <c r="G141" s="6"/>
      <c r="H141" s="4"/>
      <c r="I141" s="2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2"/>
      <c r="C142" s="3"/>
      <c r="D142" s="4"/>
      <c r="E142" s="5"/>
      <c r="F142" s="2"/>
      <c r="G142" s="6"/>
      <c r="H142" s="4"/>
      <c r="I142" s="2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2"/>
      <c r="C143" s="3"/>
      <c r="D143" s="4"/>
      <c r="E143" s="5"/>
      <c r="F143" s="2"/>
      <c r="G143" s="6"/>
      <c r="H143" s="4"/>
      <c r="I143" s="2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2"/>
      <c r="C144" s="3"/>
      <c r="D144" s="4"/>
      <c r="E144" s="5"/>
      <c r="F144" s="2"/>
      <c r="G144" s="6"/>
      <c r="H144" s="4"/>
      <c r="I144" s="2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2"/>
      <c r="C145" s="3"/>
      <c r="D145" s="4"/>
      <c r="E145" s="5"/>
      <c r="F145" s="2"/>
      <c r="G145" s="6"/>
      <c r="H145" s="4"/>
      <c r="I145" s="2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2"/>
      <c r="C146" s="3"/>
      <c r="D146" s="4"/>
      <c r="E146" s="5"/>
      <c r="F146" s="2"/>
      <c r="G146" s="6"/>
      <c r="H146" s="4"/>
      <c r="I146" s="2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2"/>
      <c r="C147" s="3"/>
      <c r="D147" s="4"/>
      <c r="E147" s="5"/>
      <c r="F147" s="2"/>
      <c r="G147" s="6"/>
      <c r="H147" s="4"/>
      <c r="I147" s="2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2"/>
      <c r="C148" s="3"/>
      <c r="D148" s="4"/>
      <c r="E148" s="5"/>
      <c r="F148" s="2"/>
      <c r="G148" s="6"/>
      <c r="H148" s="4"/>
      <c r="I148" s="2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2"/>
      <c r="C149" s="3"/>
      <c r="D149" s="4"/>
      <c r="E149" s="5"/>
      <c r="F149" s="2"/>
      <c r="G149" s="6"/>
      <c r="H149" s="4"/>
      <c r="I149" s="2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2"/>
      <c r="C150" s="3"/>
      <c r="D150" s="4"/>
      <c r="E150" s="5"/>
      <c r="F150" s="2"/>
      <c r="G150" s="6"/>
      <c r="H150" s="4"/>
      <c r="I150" s="2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2"/>
      <c r="C151" s="3"/>
      <c r="D151" s="4"/>
      <c r="E151" s="5"/>
      <c r="F151" s="2"/>
      <c r="G151" s="6"/>
      <c r="H151" s="4"/>
      <c r="I151" s="2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2"/>
      <c r="C152" s="3"/>
      <c r="D152" s="4"/>
      <c r="E152" s="5"/>
      <c r="F152" s="2"/>
      <c r="G152" s="6"/>
      <c r="H152" s="4"/>
      <c r="I152" s="2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2"/>
      <c r="C153" s="3"/>
      <c r="D153" s="4"/>
      <c r="E153" s="5"/>
      <c r="F153" s="2"/>
      <c r="G153" s="6"/>
      <c r="H153" s="4"/>
      <c r="I153" s="2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2"/>
      <c r="C154" s="3"/>
      <c r="D154" s="4"/>
      <c r="E154" s="5"/>
      <c r="F154" s="2"/>
      <c r="G154" s="6"/>
      <c r="H154" s="4"/>
      <c r="I154" s="2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2"/>
      <c r="C155" s="3"/>
      <c r="D155" s="4"/>
      <c r="E155" s="5"/>
      <c r="F155" s="2"/>
      <c r="G155" s="6"/>
      <c r="H155" s="4"/>
      <c r="I155" s="2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2"/>
      <c r="C156" s="3"/>
      <c r="D156" s="4"/>
      <c r="E156" s="5"/>
      <c r="F156" s="2"/>
      <c r="G156" s="6"/>
      <c r="H156" s="4"/>
      <c r="I156" s="2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2"/>
      <c r="C157" s="3"/>
      <c r="D157" s="4"/>
      <c r="E157" s="5"/>
      <c r="F157" s="2"/>
      <c r="G157" s="6"/>
      <c r="H157" s="4"/>
      <c r="I157" s="2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2"/>
      <c r="C158" s="3"/>
      <c r="D158" s="4"/>
      <c r="E158" s="5"/>
      <c r="F158" s="2"/>
      <c r="G158" s="6"/>
      <c r="H158" s="4"/>
      <c r="I158" s="2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2"/>
      <c r="C159" s="3"/>
      <c r="D159" s="4"/>
      <c r="E159" s="5"/>
      <c r="F159" s="2"/>
      <c r="G159" s="6"/>
      <c r="H159" s="4"/>
      <c r="I159" s="2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2"/>
      <c r="C160" s="3"/>
      <c r="D160" s="4"/>
      <c r="E160" s="5"/>
      <c r="F160" s="2"/>
      <c r="G160" s="6"/>
      <c r="H160" s="4"/>
      <c r="I160" s="2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2"/>
      <c r="C161" s="3"/>
      <c r="D161" s="4"/>
      <c r="E161" s="5"/>
      <c r="F161" s="2"/>
      <c r="G161" s="6"/>
      <c r="H161" s="4"/>
      <c r="I161" s="2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2"/>
      <c r="C162" s="3"/>
      <c r="D162" s="4"/>
      <c r="E162" s="5"/>
      <c r="F162" s="2"/>
      <c r="G162" s="6"/>
      <c r="H162" s="4"/>
      <c r="I162" s="2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2"/>
      <c r="C163" s="3"/>
      <c r="D163" s="4"/>
      <c r="E163" s="5"/>
      <c r="F163" s="2"/>
      <c r="G163" s="6"/>
      <c r="H163" s="4"/>
      <c r="I163" s="2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2"/>
      <c r="C164" s="3"/>
      <c r="D164" s="4"/>
      <c r="E164" s="5"/>
      <c r="F164" s="2"/>
      <c r="G164" s="6"/>
      <c r="H164" s="4"/>
      <c r="I164" s="2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2"/>
      <c r="C165" s="3"/>
      <c r="D165" s="4"/>
      <c r="E165" s="5"/>
      <c r="F165" s="2"/>
      <c r="G165" s="6"/>
      <c r="H165" s="4"/>
      <c r="I165" s="2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2"/>
      <c r="C166" s="3"/>
      <c r="D166" s="4"/>
      <c r="E166" s="5"/>
      <c r="F166" s="2"/>
      <c r="G166" s="6"/>
      <c r="H166" s="4"/>
      <c r="I166" s="2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2"/>
      <c r="C167" s="3"/>
      <c r="D167" s="4"/>
      <c r="E167" s="5"/>
      <c r="F167" s="2"/>
      <c r="G167" s="6"/>
      <c r="H167" s="4"/>
      <c r="I167" s="2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2"/>
      <c r="C168" s="3"/>
      <c r="D168" s="4"/>
      <c r="E168" s="5"/>
      <c r="F168" s="2"/>
      <c r="G168" s="6"/>
      <c r="H168" s="4"/>
      <c r="I168" s="2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2"/>
      <c r="C169" s="3"/>
      <c r="D169" s="4"/>
      <c r="E169" s="5"/>
      <c r="F169" s="2"/>
      <c r="G169" s="6"/>
      <c r="H169" s="4"/>
      <c r="I169" s="2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2"/>
      <c r="C170" s="3"/>
      <c r="D170" s="4"/>
      <c r="E170" s="5"/>
      <c r="F170" s="2"/>
      <c r="G170" s="6"/>
      <c r="H170" s="4"/>
      <c r="I170" s="2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2"/>
      <c r="C171" s="3"/>
      <c r="D171" s="4"/>
      <c r="E171" s="5"/>
      <c r="F171" s="2"/>
      <c r="G171" s="6"/>
      <c r="H171" s="4"/>
      <c r="I171" s="2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2"/>
      <c r="C172" s="3"/>
      <c r="D172" s="4"/>
      <c r="E172" s="5"/>
      <c r="F172" s="2"/>
      <c r="G172" s="6"/>
      <c r="H172" s="4"/>
      <c r="I172" s="2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2"/>
      <c r="C173" s="3"/>
      <c r="D173" s="4"/>
      <c r="E173" s="5"/>
      <c r="F173" s="2"/>
      <c r="G173" s="6"/>
      <c r="H173" s="4"/>
      <c r="I173" s="2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2"/>
      <c r="C174" s="3"/>
      <c r="D174" s="4"/>
      <c r="E174" s="5"/>
      <c r="F174" s="2"/>
      <c r="G174" s="6"/>
      <c r="H174" s="4"/>
      <c r="I174" s="2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2"/>
      <c r="C175" s="3"/>
      <c r="D175" s="4"/>
      <c r="E175" s="5"/>
      <c r="F175" s="2"/>
      <c r="G175" s="6"/>
      <c r="H175" s="4"/>
      <c r="I175" s="2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2"/>
      <c r="C176" s="3"/>
      <c r="D176" s="4"/>
      <c r="E176" s="5"/>
      <c r="F176" s="2"/>
      <c r="G176" s="6"/>
      <c r="H176" s="4"/>
      <c r="I176" s="2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2"/>
      <c r="C177" s="3"/>
      <c r="D177" s="4"/>
      <c r="E177" s="5"/>
      <c r="F177" s="2"/>
      <c r="G177" s="6"/>
      <c r="H177" s="4"/>
      <c r="I177" s="2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2"/>
      <c r="C178" s="3"/>
      <c r="D178" s="4"/>
      <c r="E178" s="5"/>
      <c r="F178" s="2"/>
      <c r="G178" s="6"/>
      <c r="H178" s="4"/>
      <c r="I178" s="2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2"/>
      <c r="C179" s="3"/>
      <c r="D179" s="4"/>
      <c r="E179" s="5"/>
      <c r="F179" s="2"/>
      <c r="G179" s="6"/>
      <c r="H179" s="4"/>
      <c r="I179" s="2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2"/>
      <c r="C180" s="3"/>
      <c r="D180" s="4"/>
      <c r="E180" s="5"/>
      <c r="F180" s="2"/>
      <c r="G180" s="6"/>
      <c r="H180" s="4"/>
      <c r="I180" s="2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2"/>
      <c r="C181" s="3"/>
      <c r="D181" s="4"/>
      <c r="E181" s="5"/>
      <c r="F181" s="2"/>
      <c r="G181" s="6"/>
      <c r="H181" s="4"/>
      <c r="I181" s="2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2"/>
      <c r="C182" s="3"/>
      <c r="D182" s="4"/>
      <c r="E182" s="5"/>
      <c r="F182" s="2"/>
      <c r="G182" s="6"/>
      <c r="H182" s="4"/>
      <c r="I182" s="2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2"/>
      <c r="C183" s="3"/>
      <c r="D183" s="4"/>
      <c r="E183" s="5"/>
      <c r="F183" s="2"/>
      <c r="G183" s="6"/>
      <c r="H183" s="4"/>
      <c r="I183" s="2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2"/>
      <c r="C184" s="3"/>
      <c r="D184" s="4"/>
      <c r="E184" s="5"/>
      <c r="F184" s="2"/>
      <c r="G184" s="6"/>
      <c r="H184" s="4"/>
      <c r="I184" s="2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2"/>
      <c r="C185" s="3"/>
      <c r="D185" s="4"/>
      <c r="E185" s="5"/>
      <c r="F185" s="2"/>
      <c r="G185" s="6"/>
      <c r="H185" s="4"/>
      <c r="I185" s="2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2"/>
      <c r="C186" s="3"/>
      <c r="D186" s="4"/>
      <c r="E186" s="5"/>
      <c r="F186" s="2"/>
      <c r="G186" s="6"/>
      <c r="H186" s="4"/>
      <c r="I186" s="2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2"/>
      <c r="C187" s="3"/>
      <c r="D187" s="4"/>
      <c r="E187" s="5"/>
      <c r="F187" s="2"/>
      <c r="G187" s="6"/>
      <c r="H187" s="4"/>
      <c r="I187" s="2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2"/>
      <c r="C188" s="3"/>
      <c r="D188" s="4"/>
      <c r="E188" s="5"/>
      <c r="F188" s="2"/>
      <c r="G188" s="6"/>
      <c r="H188" s="4"/>
      <c r="I188" s="2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2"/>
      <c r="C189" s="3"/>
      <c r="D189" s="4"/>
      <c r="E189" s="5"/>
      <c r="F189" s="2"/>
      <c r="G189" s="6"/>
      <c r="H189" s="4"/>
      <c r="I189" s="2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2"/>
      <c r="C190" s="3"/>
      <c r="D190" s="4"/>
      <c r="E190" s="5"/>
      <c r="F190" s="2"/>
      <c r="G190" s="6"/>
      <c r="H190" s="4"/>
      <c r="I190" s="2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2"/>
      <c r="C191" s="3"/>
      <c r="D191" s="4"/>
      <c r="E191" s="5"/>
      <c r="F191" s="2"/>
      <c r="G191" s="6"/>
      <c r="H191" s="4"/>
      <c r="I191" s="2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2"/>
      <c r="C192" s="3"/>
      <c r="D192" s="4"/>
      <c r="E192" s="5"/>
      <c r="F192" s="2"/>
      <c r="G192" s="6"/>
      <c r="H192" s="4"/>
      <c r="I192" s="2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2"/>
      <c r="C193" s="3"/>
      <c r="D193" s="4"/>
      <c r="E193" s="5"/>
      <c r="F193" s="2"/>
      <c r="G193" s="6"/>
      <c r="H193" s="4"/>
      <c r="I193" s="2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2"/>
      <c r="C194" s="3"/>
      <c r="D194" s="4"/>
      <c r="E194" s="5"/>
      <c r="F194" s="2"/>
      <c r="G194" s="6"/>
      <c r="H194" s="4"/>
      <c r="I194" s="2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2"/>
      <c r="C195" s="3"/>
      <c r="D195" s="4"/>
      <c r="E195" s="5"/>
      <c r="F195" s="2"/>
      <c r="G195" s="6"/>
      <c r="H195" s="4"/>
      <c r="I195" s="2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2"/>
      <c r="C196" s="3"/>
      <c r="D196" s="4"/>
      <c r="E196" s="5"/>
      <c r="F196" s="2"/>
      <c r="G196" s="6"/>
      <c r="H196" s="4"/>
      <c r="I196" s="2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2"/>
      <c r="C197" s="3"/>
      <c r="D197" s="4"/>
      <c r="E197" s="5"/>
      <c r="F197" s="2"/>
      <c r="G197" s="6"/>
      <c r="H197" s="4"/>
      <c r="I197" s="2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2"/>
      <c r="C198" s="3"/>
      <c r="D198" s="4"/>
      <c r="E198" s="5"/>
      <c r="F198" s="2"/>
      <c r="G198" s="6"/>
      <c r="H198" s="4"/>
      <c r="I198" s="2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2"/>
      <c r="C199" s="3"/>
      <c r="D199" s="4"/>
      <c r="E199" s="5"/>
      <c r="F199" s="2"/>
      <c r="G199" s="6"/>
      <c r="H199" s="4"/>
      <c r="I199" s="2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2"/>
      <c r="C200" s="3"/>
      <c r="D200" s="4"/>
      <c r="E200" s="5"/>
      <c r="F200" s="2"/>
      <c r="G200" s="6"/>
      <c r="H200" s="4"/>
      <c r="I200" s="2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2"/>
      <c r="C201" s="3"/>
      <c r="D201" s="4"/>
      <c r="E201" s="5"/>
      <c r="F201" s="2"/>
      <c r="G201" s="6"/>
      <c r="H201" s="4"/>
      <c r="I201" s="2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2"/>
      <c r="C202" s="3"/>
      <c r="D202" s="4"/>
      <c r="E202" s="5"/>
      <c r="F202" s="2"/>
      <c r="G202" s="6"/>
      <c r="H202" s="4"/>
      <c r="I202" s="2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2"/>
      <c r="C203" s="3"/>
      <c r="D203" s="4"/>
      <c r="E203" s="5"/>
      <c r="F203" s="2"/>
      <c r="G203" s="6"/>
      <c r="H203" s="4"/>
      <c r="I203" s="2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2"/>
      <c r="C204" s="3"/>
      <c r="D204" s="4"/>
      <c r="E204" s="5"/>
      <c r="F204" s="2"/>
      <c r="G204" s="6"/>
      <c r="H204" s="4"/>
      <c r="I204" s="2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2"/>
      <c r="C205" s="3"/>
      <c r="D205" s="4"/>
      <c r="E205" s="5"/>
      <c r="F205" s="2"/>
      <c r="G205" s="6"/>
      <c r="H205" s="4"/>
      <c r="I205" s="2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2"/>
      <c r="C206" s="3"/>
      <c r="D206" s="4"/>
      <c r="E206" s="5"/>
      <c r="F206" s="2"/>
      <c r="G206" s="6"/>
      <c r="H206" s="4"/>
      <c r="I206" s="2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2"/>
      <c r="C207" s="3"/>
      <c r="D207" s="4"/>
      <c r="E207" s="5"/>
      <c r="F207" s="2"/>
      <c r="G207" s="6"/>
      <c r="H207" s="4"/>
      <c r="I207" s="2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2"/>
      <c r="C208" s="3"/>
      <c r="D208" s="4"/>
      <c r="E208" s="5"/>
      <c r="F208" s="2"/>
      <c r="G208" s="6"/>
      <c r="H208" s="4"/>
      <c r="I208" s="2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2"/>
      <c r="C209" s="3"/>
      <c r="D209" s="4"/>
      <c r="E209" s="5"/>
      <c r="F209" s="2"/>
      <c r="G209" s="6"/>
      <c r="H209" s="4"/>
      <c r="I209" s="2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2"/>
      <c r="C210" s="3"/>
      <c r="D210" s="4"/>
      <c r="E210" s="5"/>
      <c r="F210" s="2"/>
      <c r="G210" s="6"/>
      <c r="H210" s="4"/>
      <c r="I210" s="2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2"/>
      <c r="C211" s="3"/>
      <c r="D211" s="4"/>
      <c r="E211" s="5"/>
      <c r="F211" s="2"/>
      <c r="G211" s="6"/>
      <c r="H211" s="4"/>
      <c r="I211" s="2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2"/>
      <c r="C212" s="3"/>
      <c r="D212" s="4"/>
      <c r="E212" s="5"/>
      <c r="F212" s="2"/>
      <c r="G212" s="6"/>
      <c r="H212" s="4"/>
      <c r="I212" s="2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2"/>
      <c r="C213" s="3"/>
      <c r="D213" s="4"/>
      <c r="E213" s="5"/>
      <c r="F213" s="2"/>
      <c r="G213" s="6"/>
      <c r="H213" s="4"/>
      <c r="I213" s="2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2"/>
      <c r="C214" s="3"/>
      <c r="D214" s="4"/>
      <c r="E214" s="5"/>
      <c r="F214" s="2"/>
      <c r="G214" s="6"/>
      <c r="H214" s="4"/>
      <c r="I214" s="2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2"/>
      <c r="C215" s="3"/>
      <c r="D215" s="4"/>
      <c r="E215" s="5"/>
      <c r="F215" s="2"/>
      <c r="G215" s="6"/>
      <c r="H215" s="4"/>
      <c r="I215" s="2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2"/>
      <c r="C216" s="3"/>
      <c r="D216" s="4"/>
      <c r="E216" s="5"/>
      <c r="F216" s="2"/>
      <c r="G216" s="6"/>
      <c r="H216" s="4"/>
      <c r="I216" s="2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2"/>
      <c r="C217" s="3"/>
      <c r="D217" s="4"/>
      <c r="E217" s="5"/>
      <c r="F217" s="2"/>
      <c r="G217" s="6"/>
      <c r="H217" s="4"/>
      <c r="I217" s="2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2"/>
      <c r="C218" s="3"/>
      <c r="D218" s="4"/>
      <c r="E218" s="5"/>
      <c r="F218" s="2"/>
      <c r="G218" s="6"/>
      <c r="H218" s="4"/>
      <c r="I218" s="2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2"/>
      <c r="C219" s="3"/>
      <c r="D219" s="4"/>
      <c r="E219" s="5"/>
      <c r="F219" s="2"/>
      <c r="G219" s="6"/>
      <c r="H219" s="4"/>
      <c r="I219" s="2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2"/>
      <c r="C220" s="3"/>
      <c r="D220" s="4"/>
      <c r="E220" s="5"/>
      <c r="F220" s="2"/>
      <c r="G220" s="6"/>
      <c r="H220" s="4"/>
      <c r="I220" s="2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2"/>
      <c r="C221" s="3"/>
      <c r="D221" s="4"/>
      <c r="E221" s="5"/>
      <c r="F221" s="2"/>
      <c r="G221" s="6"/>
      <c r="H221" s="4"/>
      <c r="I221" s="2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2"/>
      <c r="C222" s="3"/>
      <c r="D222" s="4"/>
      <c r="E222" s="5"/>
      <c r="F222" s="2"/>
      <c r="G222" s="6"/>
      <c r="H222" s="4"/>
      <c r="I222" s="2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2"/>
      <c r="C223" s="3"/>
      <c r="D223" s="4"/>
      <c r="E223" s="5"/>
      <c r="F223" s="2"/>
      <c r="G223" s="6"/>
      <c r="H223" s="4"/>
      <c r="I223" s="2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2"/>
      <c r="C224" s="3"/>
      <c r="D224" s="4"/>
      <c r="E224" s="5"/>
      <c r="F224" s="2"/>
      <c r="G224" s="6"/>
      <c r="H224" s="4"/>
      <c r="I224" s="2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2"/>
      <c r="C225" s="3"/>
      <c r="D225" s="4"/>
      <c r="E225" s="5"/>
      <c r="F225" s="2"/>
      <c r="G225" s="6"/>
      <c r="H225" s="4"/>
      <c r="I225" s="2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2"/>
      <c r="C226" s="3"/>
      <c r="D226" s="4"/>
      <c r="E226" s="5"/>
      <c r="F226" s="2"/>
      <c r="G226" s="6"/>
      <c r="H226" s="4"/>
      <c r="I226" s="2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2"/>
      <c r="C227" s="3"/>
      <c r="D227" s="4"/>
      <c r="E227" s="5"/>
      <c r="F227" s="2"/>
      <c r="G227" s="6"/>
      <c r="H227" s="4"/>
      <c r="I227" s="2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2"/>
      <c r="C228" s="3"/>
      <c r="D228" s="4"/>
      <c r="E228" s="5"/>
      <c r="F228" s="2"/>
      <c r="G228" s="6"/>
      <c r="H228" s="4"/>
      <c r="I228" s="2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2"/>
      <c r="C229" s="3"/>
      <c r="D229" s="4"/>
      <c r="E229" s="5"/>
      <c r="F229" s="2"/>
      <c r="G229" s="6"/>
      <c r="H229" s="4"/>
      <c r="I229" s="2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2"/>
      <c r="C230" s="3"/>
      <c r="D230" s="4"/>
      <c r="E230" s="5"/>
      <c r="F230" s="2"/>
      <c r="G230" s="6"/>
      <c r="H230" s="4"/>
      <c r="I230" s="2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2"/>
      <c r="C231" s="3"/>
      <c r="D231" s="4"/>
      <c r="E231" s="5"/>
      <c r="F231" s="2"/>
      <c r="G231" s="6"/>
      <c r="H231" s="4"/>
      <c r="I231" s="2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2"/>
      <c r="C232" s="3"/>
      <c r="D232" s="4"/>
      <c r="E232" s="5"/>
      <c r="F232" s="2"/>
      <c r="G232" s="6"/>
      <c r="H232" s="4"/>
      <c r="I232" s="2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2"/>
      <c r="C233" s="3"/>
      <c r="D233" s="4"/>
      <c r="E233" s="5"/>
      <c r="F233" s="2"/>
      <c r="G233" s="6"/>
      <c r="H233" s="4"/>
      <c r="I233" s="2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2"/>
      <c r="C234" s="3"/>
      <c r="D234" s="4"/>
      <c r="E234" s="5"/>
      <c r="F234" s="2"/>
      <c r="G234" s="6"/>
      <c r="H234" s="4"/>
      <c r="I234" s="2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2"/>
      <c r="C235" s="3"/>
      <c r="D235" s="4"/>
      <c r="E235" s="5"/>
      <c r="F235" s="2"/>
      <c r="G235" s="6"/>
      <c r="H235" s="4"/>
      <c r="I235" s="2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2"/>
      <c r="C236" s="3"/>
      <c r="D236" s="4"/>
      <c r="E236" s="5"/>
      <c r="F236" s="2"/>
      <c r="G236" s="6"/>
      <c r="H236" s="4"/>
      <c r="I236" s="2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2"/>
      <c r="C237" s="3"/>
      <c r="D237" s="4"/>
      <c r="E237" s="5"/>
      <c r="F237" s="2"/>
      <c r="G237" s="6"/>
      <c r="H237" s="4"/>
      <c r="I237" s="2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2"/>
      <c r="C238" s="3"/>
      <c r="D238" s="4"/>
      <c r="E238" s="5"/>
      <c r="F238" s="2"/>
      <c r="G238" s="6"/>
      <c r="H238" s="4"/>
      <c r="I238" s="2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2"/>
      <c r="C239" s="3"/>
      <c r="D239" s="4"/>
      <c r="E239" s="5"/>
      <c r="F239" s="2"/>
      <c r="G239" s="6"/>
      <c r="H239" s="4"/>
      <c r="I239" s="2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2"/>
      <c r="C240" s="3"/>
      <c r="D240" s="4"/>
      <c r="E240" s="5"/>
      <c r="F240" s="2"/>
      <c r="G240" s="6"/>
      <c r="H240" s="4"/>
      <c r="I240" s="2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2"/>
      <c r="C241" s="3"/>
      <c r="D241" s="4"/>
      <c r="E241" s="5"/>
      <c r="F241" s="2"/>
      <c r="G241" s="6"/>
      <c r="H241" s="4"/>
      <c r="I241" s="2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2"/>
      <c r="C242" s="3"/>
      <c r="D242" s="4"/>
      <c r="E242" s="5"/>
      <c r="F242" s="2"/>
      <c r="G242" s="6"/>
      <c r="H242" s="4"/>
      <c r="I242" s="2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2"/>
      <c r="C243" s="3"/>
      <c r="D243" s="4"/>
      <c r="E243" s="5"/>
      <c r="F243" s="2"/>
      <c r="G243" s="6"/>
      <c r="H243" s="4"/>
      <c r="I243" s="2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2"/>
      <c r="C244" s="3"/>
      <c r="D244" s="4"/>
      <c r="E244" s="5"/>
      <c r="F244" s="2"/>
      <c r="G244" s="6"/>
      <c r="H244" s="4"/>
      <c r="I244" s="2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2"/>
      <c r="C245" s="3"/>
      <c r="D245" s="4"/>
      <c r="E245" s="5"/>
      <c r="F245" s="2"/>
      <c r="G245" s="6"/>
      <c r="H245" s="4"/>
      <c r="I245" s="2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2"/>
      <c r="C246" s="3"/>
      <c r="D246" s="4"/>
      <c r="E246" s="5"/>
      <c r="F246" s="2"/>
      <c r="G246" s="6"/>
      <c r="H246" s="4"/>
      <c r="I246" s="2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2"/>
      <c r="C247" s="3"/>
      <c r="D247" s="4"/>
      <c r="E247" s="5"/>
      <c r="F247" s="2"/>
      <c r="G247" s="6"/>
      <c r="H247" s="4"/>
      <c r="I247" s="2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2"/>
      <c r="C248" s="3"/>
      <c r="D248" s="4"/>
      <c r="E248" s="5"/>
      <c r="F248" s="2"/>
      <c r="G248" s="6"/>
      <c r="H248" s="4"/>
      <c r="I248" s="2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2"/>
      <c r="C249" s="3"/>
      <c r="D249" s="4"/>
      <c r="E249" s="5"/>
      <c r="F249" s="2"/>
      <c r="G249" s="6"/>
      <c r="H249" s="4"/>
      <c r="I249" s="2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2"/>
      <c r="C250" s="3"/>
      <c r="D250" s="4"/>
      <c r="E250" s="5"/>
      <c r="F250" s="2"/>
      <c r="G250" s="6"/>
      <c r="H250" s="4"/>
      <c r="I250" s="2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2"/>
      <c r="C251" s="3"/>
      <c r="D251" s="4"/>
      <c r="E251" s="5"/>
      <c r="F251" s="2"/>
      <c r="G251" s="6"/>
      <c r="H251" s="4"/>
      <c r="I251" s="2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2"/>
      <c r="C252" s="3"/>
      <c r="D252" s="4"/>
      <c r="E252" s="5"/>
      <c r="F252" s="2"/>
      <c r="G252" s="6"/>
      <c r="H252" s="4"/>
      <c r="I252" s="2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2"/>
      <c r="C253" s="3"/>
      <c r="D253" s="4"/>
      <c r="E253" s="5"/>
      <c r="F253" s="2"/>
      <c r="G253" s="6"/>
      <c r="H253" s="4"/>
      <c r="I253" s="2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2"/>
      <c r="C254" s="3"/>
      <c r="D254" s="4"/>
      <c r="E254" s="5"/>
      <c r="F254" s="2"/>
      <c r="G254" s="6"/>
      <c r="H254" s="4"/>
      <c r="I254" s="2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2"/>
      <c r="C255" s="3"/>
      <c r="D255" s="4"/>
      <c r="E255" s="5"/>
      <c r="F255" s="2"/>
      <c r="G255" s="6"/>
      <c r="H255" s="4"/>
      <c r="I255" s="2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2"/>
      <c r="C256" s="3"/>
      <c r="D256" s="4"/>
      <c r="E256" s="5"/>
      <c r="F256" s="2"/>
      <c r="G256" s="6"/>
      <c r="H256" s="4"/>
      <c r="I256" s="2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2"/>
      <c r="C257" s="3"/>
      <c r="D257" s="4"/>
      <c r="E257" s="5"/>
      <c r="F257" s="2"/>
      <c r="G257" s="6"/>
      <c r="H257" s="4"/>
      <c r="I257" s="2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2"/>
      <c r="C258" s="3"/>
      <c r="D258" s="4"/>
      <c r="E258" s="5"/>
      <c r="F258" s="2"/>
      <c r="G258" s="6"/>
      <c r="H258" s="4"/>
      <c r="I258" s="2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2"/>
      <c r="C259" s="3"/>
      <c r="D259" s="4"/>
      <c r="E259" s="5"/>
      <c r="F259" s="2"/>
      <c r="G259" s="6"/>
      <c r="H259" s="4"/>
      <c r="I259" s="2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2"/>
      <c r="C260" s="3"/>
      <c r="D260" s="4"/>
      <c r="E260" s="5"/>
      <c r="F260" s="2"/>
      <c r="G260" s="6"/>
      <c r="H260" s="4"/>
      <c r="I260" s="2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2"/>
      <c r="C261" s="3"/>
      <c r="D261" s="4"/>
      <c r="E261" s="5"/>
      <c r="F261" s="2"/>
      <c r="G261" s="6"/>
      <c r="H261" s="4"/>
      <c r="I261" s="2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2"/>
      <c r="C262" s="3"/>
      <c r="D262" s="4"/>
      <c r="E262" s="5"/>
      <c r="F262" s="2"/>
      <c r="G262" s="6"/>
      <c r="H262" s="4"/>
      <c r="I262" s="2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2"/>
      <c r="C263" s="3"/>
      <c r="D263" s="4"/>
      <c r="E263" s="5"/>
      <c r="F263" s="2"/>
      <c r="G263" s="6"/>
      <c r="H263" s="4"/>
      <c r="I263" s="2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2"/>
      <c r="C264" s="3"/>
      <c r="D264" s="4"/>
      <c r="E264" s="5"/>
      <c r="F264" s="2"/>
      <c r="G264" s="6"/>
      <c r="H264" s="4"/>
      <c r="I264" s="2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2"/>
      <c r="C265" s="3"/>
      <c r="D265" s="4"/>
      <c r="E265" s="5"/>
      <c r="F265" s="2"/>
      <c r="G265" s="6"/>
      <c r="H265" s="4"/>
      <c r="I265" s="2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2"/>
      <c r="C266" s="3"/>
      <c r="D266" s="4"/>
      <c r="E266" s="5"/>
      <c r="F266" s="2"/>
      <c r="G266" s="6"/>
      <c r="H266" s="4"/>
      <c r="I266" s="2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2"/>
      <c r="C267" s="3"/>
      <c r="D267" s="4"/>
      <c r="E267" s="5"/>
      <c r="F267" s="2"/>
      <c r="G267" s="6"/>
      <c r="H267" s="4"/>
      <c r="I267" s="2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2"/>
      <c r="C268" s="3"/>
      <c r="D268" s="4"/>
      <c r="E268" s="5"/>
      <c r="F268" s="2"/>
      <c r="G268" s="6"/>
      <c r="H268" s="4"/>
      <c r="I268" s="2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2"/>
      <c r="C269" s="3"/>
      <c r="D269" s="4"/>
      <c r="E269" s="5"/>
      <c r="F269" s="2"/>
      <c r="G269" s="6"/>
      <c r="H269" s="4"/>
      <c r="I269" s="2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2"/>
      <c r="C270" s="3"/>
      <c r="D270" s="4"/>
      <c r="E270" s="5"/>
      <c r="F270" s="2"/>
      <c r="G270" s="6"/>
      <c r="H270" s="4"/>
      <c r="I270" s="2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2"/>
      <c r="C271" s="3"/>
      <c r="D271" s="4"/>
      <c r="E271" s="5"/>
      <c r="F271" s="2"/>
      <c r="G271" s="6"/>
      <c r="H271" s="4"/>
      <c r="I271" s="2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2"/>
      <c r="C272" s="3"/>
      <c r="D272" s="4"/>
      <c r="E272" s="5"/>
      <c r="F272" s="2"/>
      <c r="G272" s="6"/>
      <c r="H272" s="4"/>
      <c r="I272" s="2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2"/>
      <c r="C273" s="3"/>
      <c r="D273" s="4"/>
      <c r="E273" s="5"/>
      <c r="F273" s="2"/>
      <c r="G273" s="6"/>
      <c r="H273" s="4"/>
      <c r="I273" s="2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2"/>
      <c r="C274" s="3"/>
      <c r="D274" s="4"/>
      <c r="E274" s="5"/>
      <c r="F274" s="2"/>
      <c r="G274" s="6"/>
      <c r="H274" s="4"/>
      <c r="I274" s="2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2"/>
      <c r="C275" s="3"/>
      <c r="D275" s="4"/>
      <c r="E275" s="5"/>
      <c r="F275" s="2"/>
      <c r="G275" s="6"/>
      <c r="H275" s="4"/>
      <c r="I275" s="2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2"/>
      <c r="C276" s="3"/>
      <c r="D276" s="4"/>
      <c r="E276" s="5"/>
      <c r="F276" s="2"/>
      <c r="G276" s="6"/>
      <c r="H276" s="4"/>
      <c r="I276" s="2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2"/>
      <c r="C277" s="3"/>
      <c r="D277" s="4"/>
      <c r="E277" s="5"/>
      <c r="F277" s="2"/>
      <c r="G277" s="6"/>
      <c r="H277" s="4"/>
      <c r="I277" s="2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2"/>
      <c r="C278" s="3"/>
      <c r="D278" s="4"/>
      <c r="E278" s="5"/>
      <c r="F278" s="2"/>
      <c r="G278" s="6"/>
      <c r="H278" s="4"/>
      <c r="I278" s="2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2"/>
      <c r="C279" s="3"/>
      <c r="D279" s="4"/>
      <c r="E279" s="5"/>
      <c r="F279" s="2"/>
      <c r="G279" s="6"/>
      <c r="H279" s="4"/>
      <c r="I279" s="2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2"/>
      <c r="C280" s="3"/>
      <c r="D280" s="4"/>
      <c r="E280" s="5"/>
      <c r="F280" s="2"/>
      <c r="G280" s="6"/>
      <c r="H280" s="4"/>
      <c r="I280" s="2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2"/>
      <c r="C281" s="3"/>
      <c r="D281" s="4"/>
      <c r="E281" s="5"/>
      <c r="F281" s="2"/>
      <c r="G281" s="6"/>
      <c r="H281" s="4"/>
      <c r="I281" s="2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2"/>
      <c r="C282" s="3"/>
      <c r="D282" s="4"/>
      <c r="E282" s="5"/>
      <c r="F282" s="2"/>
      <c r="G282" s="6"/>
      <c r="H282" s="4"/>
      <c r="I282" s="2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2"/>
      <c r="C283" s="3"/>
      <c r="D283" s="4"/>
      <c r="E283" s="5"/>
      <c r="F283" s="2"/>
      <c r="G283" s="6"/>
      <c r="H283" s="4"/>
      <c r="I283" s="2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2"/>
      <c r="C284" s="3"/>
      <c r="D284" s="4"/>
      <c r="E284" s="5"/>
      <c r="F284" s="2"/>
      <c r="G284" s="6"/>
      <c r="H284" s="4"/>
      <c r="I284" s="2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2"/>
      <c r="C285" s="3"/>
      <c r="D285" s="4"/>
      <c r="E285" s="5"/>
      <c r="F285" s="2"/>
      <c r="G285" s="6"/>
      <c r="H285" s="4"/>
      <c r="I285" s="2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2"/>
      <c r="C286" s="3"/>
      <c r="D286" s="4"/>
      <c r="E286" s="5"/>
      <c r="F286" s="2"/>
      <c r="G286" s="6"/>
      <c r="H286" s="4"/>
      <c r="I286" s="2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2"/>
      <c r="C287" s="3"/>
      <c r="D287" s="4"/>
      <c r="E287" s="5"/>
      <c r="F287" s="2"/>
      <c r="G287" s="6"/>
      <c r="H287" s="4"/>
      <c r="I287" s="2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2"/>
      <c r="C288" s="3"/>
      <c r="D288" s="4"/>
      <c r="E288" s="5"/>
      <c r="F288" s="2"/>
      <c r="G288" s="6"/>
      <c r="H288" s="4"/>
      <c r="I288" s="2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2"/>
      <c r="C289" s="3"/>
      <c r="D289" s="4"/>
      <c r="E289" s="5"/>
      <c r="F289" s="2"/>
      <c r="G289" s="6"/>
      <c r="H289" s="4"/>
      <c r="I289" s="2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2"/>
      <c r="C290" s="3"/>
      <c r="D290" s="4"/>
      <c r="E290" s="5"/>
      <c r="F290" s="2"/>
      <c r="G290" s="6"/>
      <c r="H290" s="4"/>
      <c r="I290" s="2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2"/>
      <c r="C291" s="3"/>
      <c r="D291" s="4"/>
      <c r="E291" s="5"/>
      <c r="F291" s="2"/>
      <c r="G291" s="6"/>
      <c r="H291" s="4"/>
      <c r="I291" s="2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2"/>
      <c r="C292" s="3"/>
      <c r="D292" s="4"/>
      <c r="E292" s="5"/>
      <c r="F292" s="2"/>
      <c r="G292" s="6"/>
      <c r="H292" s="4"/>
      <c r="I292" s="2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2"/>
      <c r="C293" s="3"/>
      <c r="D293" s="4"/>
      <c r="E293" s="5"/>
      <c r="F293" s="2"/>
      <c r="G293" s="6"/>
      <c r="H293" s="4"/>
      <c r="I293" s="2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2"/>
      <c r="C294" s="3"/>
      <c r="D294" s="4"/>
      <c r="E294" s="5"/>
      <c r="F294" s="2"/>
      <c r="G294" s="6"/>
      <c r="H294" s="4"/>
      <c r="I294" s="2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2"/>
      <c r="C295" s="3"/>
      <c r="D295" s="4"/>
      <c r="E295" s="5"/>
      <c r="F295" s="2"/>
      <c r="G295" s="6"/>
      <c r="H295" s="4"/>
      <c r="I295" s="2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2"/>
      <c r="C296" s="3"/>
      <c r="D296" s="4"/>
      <c r="E296" s="5"/>
      <c r="F296" s="2"/>
      <c r="G296" s="6"/>
      <c r="H296" s="4"/>
      <c r="I296" s="2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2"/>
      <c r="C297" s="3"/>
      <c r="D297" s="4"/>
      <c r="E297" s="5"/>
      <c r="F297" s="2"/>
      <c r="G297" s="6"/>
      <c r="H297" s="4"/>
      <c r="I297" s="2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2"/>
      <c r="C298" s="3"/>
      <c r="D298" s="4"/>
      <c r="E298" s="5"/>
      <c r="F298" s="2"/>
      <c r="G298" s="6"/>
      <c r="H298" s="4"/>
      <c r="I298" s="2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2"/>
      <c r="C299" s="3"/>
      <c r="D299" s="4"/>
      <c r="E299" s="5"/>
      <c r="F299" s="2"/>
      <c r="G299" s="6"/>
      <c r="H299" s="4"/>
      <c r="I299" s="2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2"/>
      <c r="C300" s="3"/>
      <c r="D300" s="4"/>
      <c r="E300" s="5"/>
      <c r="F300" s="2"/>
      <c r="G300" s="6"/>
      <c r="H300" s="4"/>
      <c r="I300" s="2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2"/>
      <c r="C301" s="3"/>
      <c r="D301" s="4"/>
      <c r="E301" s="5"/>
      <c r="F301" s="2"/>
      <c r="G301" s="6"/>
      <c r="H301" s="4"/>
      <c r="I301" s="2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2"/>
      <c r="C302" s="3"/>
      <c r="D302" s="4"/>
      <c r="E302" s="5"/>
      <c r="F302" s="2"/>
      <c r="G302" s="6"/>
      <c r="H302" s="4"/>
      <c r="I302" s="2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2"/>
      <c r="C303" s="3"/>
      <c r="D303" s="4"/>
      <c r="E303" s="5"/>
      <c r="F303" s="2"/>
      <c r="G303" s="6"/>
      <c r="H303" s="4"/>
      <c r="I303" s="2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2"/>
      <c r="C304" s="3"/>
      <c r="D304" s="4"/>
      <c r="E304" s="5"/>
      <c r="F304" s="2"/>
      <c r="G304" s="6"/>
      <c r="H304" s="4"/>
      <c r="I304" s="2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2"/>
      <c r="C305" s="3"/>
      <c r="D305" s="4"/>
      <c r="E305" s="5"/>
      <c r="F305" s="2"/>
      <c r="G305" s="6"/>
      <c r="H305" s="4"/>
      <c r="I305" s="2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2"/>
      <c r="C306" s="3"/>
      <c r="D306" s="4"/>
      <c r="E306" s="5"/>
      <c r="F306" s="2"/>
      <c r="G306" s="6"/>
      <c r="H306" s="4"/>
      <c r="I306" s="2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2"/>
      <c r="C307" s="3"/>
      <c r="D307" s="4"/>
      <c r="E307" s="5"/>
      <c r="F307" s="2"/>
      <c r="G307" s="6"/>
      <c r="H307" s="4"/>
      <c r="I307" s="2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2"/>
      <c r="C308" s="3"/>
      <c r="D308" s="4"/>
      <c r="E308" s="5"/>
      <c r="F308" s="2"/>
      <c r="G308" s="6"/>
      <c r="H308" s="4"/>
      <c r="I308" s="2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2"/>
      <c r="C309" s="3"/>
      <c r="D309" s="4"/>
      <c r="E309" s="5"/>
      <c r="F309" s="2"/>
      <c r="G309" s="6"/>
      <c r="H309" s="4"/>
      <c r="I309" s="2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2"/>
      <c r="C310" s="3"/>
      <c r="D310" s="4"/>
      <c r="E310" s="5"/>
      <c r="F310" s="2"/>
      <c r="G310" s="6"/>
      <c r="H310" s="4"/>
      <c r="I310" s="2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2"/>
      <c r="C311" s="3"/>
      <c r="D311" s="4"/>
      <c r="E311" s="5"/>
      <c r="F311" s="2"/>
      <c r="G311" s="6"/>
      <c r="H311" s="4"/>
      <c r="I311" s="2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2"/>
      <c r="C312" s="3"/>
      <c r="D312" s="4"/>
      <c r="E312" s="5"/>
      <c r="F312" s="2"/>
      <c r="G312" s="6"/>
      <c r="H312" s="4"/>
      <c r="I312" s="2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2"/>
      <c r="C313" s="3"/>
      <c r="D313" s="4"/>
      <c r="E313" s="5"/>
      <c r="F313" s="2"/>
      <c r="G313" s="6"/>
      <c r="H313" s="4"/>
      <c r="I313" s="2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2"/>
      <c r="C314" s="3"/>
      <c r="D314" s="4"/>
      <c r="E314" s="5"/>
      <c r="F314" s="2"/>
      <c r="G314" s="6"/>
      <c r="H314" s="4"/>
      <c r="I314" s="2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2"/>
      <c r="C315" s="3"/>
      <c r="D315" s="4"/>
      <c r="E315" s="5"/>
      <c r="F315" s="2"/>
      <c r="G315" s="6"/>
      <c r="H315" s="4"/>
      <c r="I315" s="2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2"/>
      <c r="C316" s="3"/>
      <c r="D316" s="4"/>
      <c r="E316" s="5"/>
      <c r="F316" s="2"/>
      <c r="G316" s="6"/>
      <c r="H316" s="4"/>
      <c r="I316" s="2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2"/>
      <c r="C317" s="3"/>
      <c r="D317" s="4"/>
      <c r="E317" s="5"/>
      <c r="F317" s="2"/>
      <c r="G317" s="6"/>
      <c r="H317" s="4"/>
      <c r="I317" s="2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2"/>
      <c r="C318" s="3"/>
      <c r="D318" s="4"/>
      <c r="E318" s="5"/>
      <c r="F318" s="2"/>
      <c r="G318" s="6"/>
      <c r="H318" s="4"/>
      <c r="I318" s="2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2"/>
      <c r="C319" s="3"/>
      <c r="D319" s="4"/>
      <c r="E319" s="5"/>
      <c r="F319" s="2"/>
      <c r="G319" s="6"/>
      <c r="H319" s="4"/>
      <c r="I319" s="2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2"/>
      <c r="C320" s="3"/>
      <c r="D320" s="4"/>
      <c r="E320" s="5"/>
      <c r="F320" s="2"/>
      <c r="G320" s="6"/>
      <c r="H320" s="4"/>
      <c r="I320" s="2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2"/>
      <c r="C321" s="3"/>
      <c r="D321" s="4"/>
      <c r="E321" s="5"/>
      <c r="F321" s="2"/>
      <c r="G321" s="6"/>
      <c r="H321" s="4"/>
      <c r="I321" s="2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2"/>
      <c r="C322" s="3"/>
      <c r="D322" s="4"/>
      <c r="E322" s="5"/>
      <c r="F322" s="2"/>
      <c r="G322" s="6"/>
      <c r="H322" s="4"/>
      <c r="I322" s="2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2"/>
      <c r="C323" s="3"/>
      <c r="D323" s="4"/>
      <c r="E323" s="5"/>
      <c r="F323" s="2"/>
      <c r="G323" s="6"/>
      <c r="H323" s="4"/>
      <c r="I323" s="2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2"/>
      <c r="C324" s="3"/>
      <c r="D324" s="4"/>
      <c r="E324" s="5"/>
      <c r="F324" s="2"/>
      <c r="G324" s="6"/>
      <c r="H324" s="4"/>
      <c r="I324" s="2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2"/>
      <c r="C325" s="3"/>
      <c r="D325" s="4"/>
      <c r="E325" s="5"/>
      <c r="F325" s="2"/>
      <c r="G325" s="6"/>
      <c r="H325" s="4"/>
      <c r="I325" s="2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2"/>
      <c r="C326" s="3"/>
      <c r="D326" s="4"/>
      <c r="E326" s="5"/>
      <c r="F326" s="2"/>
      <c r="G326" s="6"/>
      <c r="H326" s="4"/>
      <c r="I326" s="2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2"/>
      <c r="C327" s="3"/>
      <c r="D327" s="4"/>
      <c r="E327" s="5"/>
      <c r="F327" s="2"/>
      <c r="G327" s="6"/>
      <c r="H327" s="4"/>
      <c r="I327" s="2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2"/>
      <c r="C328" s="3"/>
      <c r="D328" s="4"/>
      <c r="E328" s="5"/>
      <c r="F328" s="2"/>
      <c r="G328" s="6"/>
      <c r="H328" s="4"/>
      <c r="I328" s="2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2"/>
      <c r="C329" s="3"/>
      <c r="D329" s="4"/>
      <c r="E329" s="5"/>
      <c r="F329" s="2"/>
      <c r="G329" s="6"/>
      <c r="H329" s="4"/>
      <c r="I329" s="2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2"/>
      <c r="C330" s="3"/>
      <c r="D330" s="4"/>
      <c r="E330" s="5"/>
      <c r="F330" s="2"/>
      <c r="G330" s="6"/>
      <c r="H330" s="4"/>
      <c r="I330" s="2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2"/>
      <c r="C331" s="3"/>
      <c r="D331" s="4"/>
      <c r="E331" s="5"/>
      <c r="F331" s="2"/>
      <c r="G331" s="6"/>
      <c r="H331" s="4"/>
      <c r="I331" s="2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2"/>
      <c r="C332" s="3"/>
      <c r="D332" s="4"/>
      <c r="E332" s="5"/>
      <c r="F332" s="2"/>
      <c r="G332" s="6"/>
      <c r="H332" s="4"/>
      <c r="I332" s="2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2"/>
      <c r="C333" s="3"/>
      <c r="D333" s="4"/>
      <c r="E333" s="5"/>
      <c r="F333" s="2"/>
      <c r="G333" s="6"/>
      <c r="H333" s="4"/>
      <c r="I333" s="2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2"/>
      <c r="C334" s="3"/>
      <c r="D334" s="4"/>
      <c r="E334" s="5"/>
      <c r="F334" s="2"/>
      <c r="G334" s="6"/>
      <c r="H334" s="4"/>
      <c r="I334" s="2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2"/>
      <c r="C335" s="3"/>
      <c r="D335" s="4"/>
      <c r="E335" s="5"/>
      <c r="F335" s="2"/>
      <c r="G335" s="6"/>
      <c r="H335" s="4"/>
      <c r="I335" s="2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2"/>
      <c r="C336" s="3"/>
      <c r="D336" s="4"/>
      <c r="E336" s="5"/>
      <c r="F336" s="2"/>
      <c r="G336" s="6"/>
      <c r="H336" s="4"/>
      <c r="I336" s="2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2"/>
      <c r="C337" s="3"/>
      <c r="D337" s="4"/>
      <c r="E337" s="5"/>
      <c r="F337" s="2"/>
      <c r="G337" s="6"/>
      <c r="H337" s="4"/>
      <c r="I337" s="2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2"/>
      <c r="C338" s="3"/>
      <c r="D338" s="4"/>
      <c r="E338" s="5"/>
      <c r="F338" s="2"/>
      <c r="G338" s="6"/>
      <c r="H338" s="4"/>
      <c r="I338" s="2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2"/>
      <c r="C339" s="3"/>
      <c r="D339" s="4"/>
      <c r="E339" s="5"/>
      <c r="F339" s="2"/>
      <c r="G339" s="6"/>
      <c r="H339" s="4"/>
      <c r="I339" s="2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2"/>
      <c r="C340" s="3"/>
      <c r="D340" s="4"/>
      <c r="E340" s="5"/>
      <c r="F340" s="2"/>
      <c r="G340" s="6"/>
      <c r="H340" s="4"/>
      <c r="I340" s="2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2"/>
      <c r="C341" s="3"/>
      <c r="D341" s="4"/>
      <c r="E341" s="5"/>
      <c r="F341" s="2"/>
      <c r="G341" s="6"/>
      <c r="H341" s="4"/>
      <c r="I341" s="2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2"/>
      <c r="C342" s="3"/>
      <c r="D342" s="4"/>
      <c r="E342" s="5"/>
      <c r="F342" s="2"/>
      <c r="G342" s="6"/>
      <c r="H342" s="4"/>
      <c r="I342" s="2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2"/>
      <c r="C343" s="3"/>
      <c r="D343" s="4"/>
      <c r="E343" s="5"/>
      <c r="F343" s="2"/>
      <c r="G343" s="6"/>
      <c r="H343" s="4"/>
      <c r="I343" s="2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2"/>
      <c r="C344" s="3"/>
      <c r="D344" s="4"/>
      <c r="E344" s="5"/>
      <c r="F344" s="2"/>
      <c r="G344" s="6"/>
      <c r="H344" s="4"/>
      <c r="I344" s="2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2"/>
      <c r="C345" s="3"/>
      <c r="D345" s="4"/>
      <c r="E345" s="5"/>
      <c r="F345" s="2"/>
      <c r="G345" s="6"/>
      <c r="H345" s="4"/>
      <c r="I345" s="2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2"/>
      <c r="C346" s="3"/>
      <c r="D346" s="4"/>
      <c r="E346" s="5"/>
      <c r="F346" s="2"/>
      <c r="G346" s="6"/>
      <c r="H346" s="4"/>
      <c r="I346" s="2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2"/>
      <c r="C347" s="3"/>
      <c r="D347" s="4"/>
      <c r="E347" s="5"/>
      <c r="F347" s="2"/>
      <c r="G347" s="6"/>
      <c r="H347" s="4"/>
      <c r="I347" s="2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2"/>
      <c r="C348" s="3"/>
      <c r="D348" s="4"/>
      <c r="E348" s="5"/>
      <c r="F348" s="2"/>
      <c r="G348" s="6"/>
      <c r="H348" s="4"/>
      <c r="I348" s="2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2"/>
      <c r="C349" s="3"/>
      <c r="D349" s="4"/>
      <c r="E349" s="5"/>
      <c r="F349" s="2"/>
      <c r="G349" s="6"/>
      <c r="H349" s="4"/>
      <c r="I349" s="2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2"/>
      <c r="C350" s="3"/>
      <c r="D350" s="4"/>
      <c r="E350" s="5"/>
      <c r="F350" s="2"/>
      <c r="G350" s="6"/>
      <c r="H350" s="4"/>
      <c r="I350" s="2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2"/>
      <c r="C351" s="3"/>
      <c r="D351" s="4"/>
      <c r="E351" s="5"/>
      <c r="F351" s="2"/>
      <c r="G351" s="6"/>
      <c r="H351" s="4"/>
      <c r="I351" s="2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2"/>
      <c r="C352" s="3"/>
      <c r="D352" s="4"/>
      <c r="E352" s="5"/>
      <c r="F352" s="2"/>
      <c r="G352" s="6"/>
      <c r="H352" s="4"/>
      <c r="I352" s="2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2"/>
      <c r="C353" s="3"/>
      <c r="D353" s="4"/>
      <c r="E353" s="5"/>
      <c r="F353" s="2"/>
      <c r="G353" s="6"/>
      <c r="H353" s="4"/>
      <c r="I353" s="2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2"/>
      <c r="C354" s="3"/>
      <c r="D354" s="4"/>
      <c r="E354" s="5"/>
      <c r="F354" s="2"/>
      <c r="G354" s="6"/>
      <c r="H354" s="4"/>
      <c r="I354" s="2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2"/>
      <c r="C355" s="3"/>
      <c r="D355" s="4"/>
      <c r="E355" s="5"/>
      <c r="F355" s="2"/>
      <c r="G355" s="6"/>
      <c r="H355" s="4"/>
      <c r="I355" s="2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2"/>
      <c r="C356" s="3"/>
      <c r="D356" s="4"/>
      <c r="E356" s="5"/>
      <c r="F356" s="2"/>
      <c r="G356" s="6"/>
      <c r="H356" s="4"/>
      <c r="I356" s="2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2"/>
      <c r="C357" s="3"/>
      <c r="D357" s="4"/>
      <c r="E357" s="5"/>
      <c r="F357" s="2"/>
      <c r="G357" s="6"/>
      <c r="H357" s="4"/>
      <c r="I357" s="2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2"/>
      <c r="C358" s="3"/>
      <c r="D358" s="4"/>
      <c r="E358" s="5"/>
      <c r="F358" s="2"/>
      <c r="G358" s="6"/>
      <c r="H358" s="4"/>
      <c r="I358" s="2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2"/>
      <c r="C359" s="3"/>
      <c r="D359" s="4"/>
      <c r="E359" s="5"/>
      <c r="F359" s="2"/>
      <c r="G359" s="6"/>
      <c r="H359" s="4"/>
      <c r="I359" s="2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2"/>
      <c r="C360" s="3"/>
      <c r="D360" s="4"/>
      <c r="E360" s="5"/>
      <c r="F360" s="2"/>
      <c r="G360" s="6"/>
      <c r="H360" s="4"/>
      <c r="I360" s="2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2"/>
      <c r="C361" s="3"/>
      <c r="D361" s="4"/>
      <c r="E361" s="5"/>
      <c r="F361" s="2"/>
      <c r="G361" s="6"/>
      <c r="H361" s="4"/>
      <c r="I361" s="2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2"/>
      <c r="C362" s="3"/>
      <c r="D362" s="4"/>
      <c r="E362" s="5"/>
      <c r="F362" s="2"/>
      <c r="G362" s="6"/>
      <c r="H362" s="4"/>
      <c r="I362" s="2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2"/>
      <c r="C363" s="3"/>
      <c r="D363" s="4"/>
      <c r="E363" s="5"/>
      <c r="F363" s="2"/>
      <c r="G363" s="6"/>
      <c r="H363" s="4"/>
      <c r="I363" s="2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2"/>
      <c r="C364" s="3"/>
      <c r="D364" s="4"/>
      <c r="E364" s="5"/>
      <c r="F364" s="2"/>
      <c r="G364" s="6"/>
      <c r="H364" s="4"/>
      <c r="I364" s="2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2"/>
      <c r="C365" s="3"/>
      <c r="D365" s="4"/>
      <c r="E365" s="5"/>
      <c r="F365" s="2"/>
      <c r="G365" s="6"/>
      <c r="H365" s="4"/>
      <c r="I365" s="2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2"/>
      <c r="C366" s="3"/>
      <c r="D366" s="4"/>
      <c r="E366" s="5"/>
      <c r="F366" s="2"/>
      <c r="G366" s="6"/>
      <c r="H366" s="4"/>
      <c r="I366" s="2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2"/>
      <c r="C367" s="3"/>
      <c r="D367" s="4"/>
      <c r="E367" s="5"/>
      <c r="F367" s="2"/>
      <c r="G367" s="6"/>
      <c r="H367" s="4"/>
      <c r="I367" s="2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2"/>
      <c r="C368" s="3"/>
      <c r="D368" s="4"/>
      <c r="E368" s="5"/>
      <c r="F368" s="2"/>
      <c r="G368" s="6"/>
      <c r="H368" s="4"/>
      <c r="I368" s="2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2"/>
      <c r="C369" s="3"/>
      <c r="D369" s="4"/>
      <c r="E369" s="5"/>
      <c r="F369" s="2"/>
      <c r="G369" s="6"/>
      <c r="H369" s="4"/>
      <c r="I369" s="2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2"/>
      <c r="C370" s="3"/>
      <c r="D370" s="4"/>
      <c r="E370" s="5"/>
      <c r="F370" s="2"/>
      <c r="G370" s="6"/>
      <c r="H370" s="4"/>
      <c r="I370" s="2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2"/>
      <c r="C371" s="3"/>
      <c r="D371" s="4"/>
      <c r="E371" s="5"/>
      <c r="F371" s="2"/>
      <c r="G371" s="6"/>
      <c r="H371" s="4"/>
      <c r="I371" s="2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2"/>
      <c r="C372" s="3"/>
      <c r="D372" s="4"/>
      <c r="E372" s="5"/>
      <c r="F372" s="2"/>
      <c r="G372" s="6"/>
      <c r="H372" s="4"/>
      <c r="I372" s="2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2"/>
      <c r="C373" s="3"/>
      <c r="D373" s="4"/>
      <c r="E373" s="5"/>
      <c r="F373" s="2"/>
      <c r="G373" s="6"/>
      <c r="H373" s="4"/>
      <c r="I373" s="2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2"/>
      <c r="C374" s="3"/>
      <c r="D374" s="4"/>
      <c r="E374" s="5"/>
      <c r="F374" s="2"/>
      <c r="G374" s="6"/>
      <c r="H374" s="4"/>
      <c r="I374" s="2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2"/>
      <c r="C375" s="3"/>
      <c r="D375" s="4"/>
      <c r="E375" s="5"/>
      <c r="F375" s="2"/>
      <c r="G375" s="6"/>
      <c r="H375" s="4"/>
      <c r="I375" s="2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2"/>
      <c r="C376" s="3"/>
      <c r="D376" s="4"/>
      <c r="E376" s="5"/>
      <c r="F376" s="2"/>
      <c r="G376" s="6"/>
      <c r="H376" s="4"/>
      <c r="I376" s="2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2"/>
      <c r="C377" s="3"/>
      <c r="D377" s="4"/>
      <c r="E377" s="5"/>
      <c r="F377" s="2"/>
      <c r="G377" s="6"/>
      <c r="H377" s="4"/>
      <c r="I377" s="2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2"/>
      <c r="C378" s="3"/>
      <c r="D378" s="4"/>
      <c r="E378" s="5"/>
      <c r="F378" s="2"/>
      <c r="G378" s="6"/>
      <c r="H378" s="4"/>
      <c r="I378" s="2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2"/>
      <c r="C379" s="3"/>
      <c r="D379" s="4"/>
      <c r="E379" s="5"/>
      <c r="F379" s="2"/>
      <c r="G379" s="6"/>
      <c r="H379" s="4"/>
      <c r="I379" s="2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2"/>
      <c r="C380" s="3"/>
      <c r="D380" s="4"/>
      <c r="E380" s="5"/>
      <c r="F380" s="2"/>
      <c r="G380" s="6"/>
      <c r="H380" s="4"/>
      <c r="I380" s="2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2"/>
      <c r="C381" s="3"/>
      <c r="D381" s="4"/>
      <c r="E381" s="5"/>
      <c r="F381" s="2"/>
      <c r="G381" s="6"/>
      <c r="H381" s="4"/>
      <c r="I381" s="2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2"/>
      <c r="C382" s="3"/>
      <c r="D382" s="4"/>
      <c r="E382" s="5"/>
      <c r="F382" s="2"/>
      <c r="G382" s="6"/>
      <c r="H382" s="4"/>
      <c r="I382" s="2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2"/>
      <c r="C383" s="3"/>
      <c r="D383" s="4"/>
      <c r="E383" s="5"/>
      <c r="F383" s="2"/>
      <c r="G383" s="6"/>
      <c r="H383" s="4"/>
      <c r="I383" s="2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2"/>
      <c r="C384" s="3"/>
      <c r="D384" s="4"/>
      <c r="E384" s="5"/>
      <c r="F384" s="2"/>
      <c r="G384" s="6"/>
      <c r="H384" s="4"/>
      <c r="I384" s="2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2"/>
      <c r="C385" s="3"/>
      <c r="D385" s="4"/>
      <c r="E385" s="5"/>
      <c r="F385" s="2"/>
      <c r="G385" s="6"/>
      <c r="H385" s="4"/>
      <c r="I385" s="2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2"/>
      <c r="C386" s="3"/>
      <c r="D386" s="4"/>
      <c r="E386" s="5"/>
      <c r="F386" s="2"/>
      <c r="G386" s="6"/>
      <c r="H386" s="4"/>
      <c r="I386" s="2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2"/>
      <c r="C387" s="3"/>
      <c r="D387" s="4"/>
      <c r="E387" s="5"/>
      <c r="F387" s="2"/>
      <c r="G387" s="6"/>
      <c r="H387" s="4"/>
      <c r="I387" s="2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2"/>
      <c r="C388" s="3"/>
      <c r="D388" s="4"/>
      <c r="E388" s="5"/>
      <c r="F388" s="2"/>
      <c r="G388" s="6"/>
      <c r="H388" s="4"/>
      <c r="I388" s="2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2"/>
      <c r="C389" s="3"/>
      <c r="D389" s="4"/>
      <c r="E389" s="5"/>
      <c r="F389" s="2"/>
      <c r="G389" s="6"/>
      <c r="H389" s="4"/>
      <c r="I389" s="2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2"/>
      <c r="C390" s="3"/>
      <c r="D390" s="4"/>
      <c r="E390" s="5"/>
      <c r="F390" s="2"/>
      <c r="G390" s="6"/>
      <c r="H390" s="4"/>
      <c r="I390" s="2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2"/>
      <c r="C391" s="3"/>
      <c r="D391" s="4"/>
      <c r="E391" s="5"/>
      <c r="F391" s="2"/>
      <c r="G391" s="6"/>
      <c r="H391" s="4"/>
      <c r="I391" s="2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2"/>
      <c r="C392" s="3"/>
      <c r="D392" s="4"/>
      <c r="E392" s="5"/>
      <c r="F392" s="2"/>
      <c r="G392" s="6"/>
      <c r="H392" s="4"/>
      <c r="I392" s="2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2"/>
      <c r="C393" s="3"/>
      <c r="D393" s="4"/>
      <c r="E393" s="5"/>
      <c r="F393" s="2"/>
      <c r="G393" s="6"/>
      <c r="H393" s="4"/>
      <c r="I393" s="2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2"/>
      <c r="C394" s="3"/>
      <c r="D394" s="4"/>
      <c r="E394" s="5"/>
      <c r="F394" s="2"/>
      <c r="G394" s="6"/>
      <c r="H394" s="4"/>
      <c r="I394" s="2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2"/>
      <c r="C395" s="3"/>
      <c r="D395" s="4"/>
      <c r="E395" s="5"/>
      <c r="F395" s="2"/>
      <c r="G395" s="6"/>
      <c r="H395" s="4"/>
      <c r="I395" s="2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2"/>
      <c r="C396" s="3"/>
      <c r="D396" s="4"/>
      <c r="E396" s="5"/>
      <c r="F396" s="2"/>
      <c r="G396" s="6"/>
      <c r="H396" s="4"/>
      <c r="I396" s="2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2"/>
      <c r="C397" s="3"/>
      <c r="D397" s="4"/>
      <c r="E397" s="5"/>
      <c r="F397" s="2"/>
      <c r="G397" s="6"/>
      <c r="H397" s="4"/>
      <c r="I397" s="2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2"/>
      <c r="C398" s="3"/>
      <c r="D398" s="4"/>
      <c r="E398" s="5"/>
      <c r="F398" s="2"/>
      <c r="G398" s="6"/>
      <c r="H398" s="4"/>
      <c r="I398" s="2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2"/>
      <c r="C399" s="3"/>
      <c r="D399" s="4"/>
      <c r="E399" s="5"/>
      <c r="F399" s="2"/>
      <c r="G399" s="6"/>
      <c r="H399" s="4"/>
      <c r="I399" s="2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2"/>
      <c r="C400" s="3"/>
      <c r="D400" s="4"/>
      <c r="E400" s="5"/>
      <c r="F400" s="2"/>
      <c r="G400" s="6"/>
      <c r="H400" s="4"/>
      <c r="I400" s="2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2"/>
      <c r="C401" s="3"/>
      <c r="D401" s="4"/>
      <c r="E401" s="5"/>
      <c r="F401" s="2"/>
      <c r="G401" s="6"/>
      <c r="H401" s="4"/>
      <c r="I401" s="2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2"/>
      <c r="C402" s="3"/>
      <c r="D402" s="4"/>
      <c r="E402" s="5"/>
      <c r="F402" s="2"/>
      <c r="G402" s="6"/>
      <c r="H402" s="4"/>
      <c r="I402" s="2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2"/>
      <c r="C403" s="3"/>
      <c r="D403" s="4"/>
      <c r="E403" s="5"/>
      <c r="F403" s="2"/>
      <c r="G403" s="6"/>
      <c r="H403" s="4"/>
      <c r="I403" s="2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2"/>
      <c r="C404" s="3"/>
      <c r="D404" s="4"/>
      <c r="E404" s="5"/>
      <c r="F404" s="2"/>
      <c r="G404" s="6"/>
      <c r="H404" s="4"/>
      <c r="I404" s="2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2"/>
      <c r="C405" s="3"/>
      <c r="D405" s="4"/>
      <c r="E405" s="5"/>
      <c r="F405" s="2"/>
      <c r="G405" s="6"/>
      <c r="H405" s="4"/>
      <c r="I405" s="2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2"/>
      <c r="C406" s="3"/>
      <c r="D406" s="4"/>
      <c r="E406" s="5"/>
      <c r="F406" s="2"/>
      <c r="G406" s="6"/>
      <c r="H406" s="4"/>
      <c r="I406" s="2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2"/>
      <c r="C407" s="3"/>
      <c r="D407" s="4"/>
      <c r="E407" s="5"/>
      <c r="F407" s="2"/>
      <c r="G407" s="6"/>
      <c r="H407" s="4"/>
      <c r="I407" s="2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2"/>
      <c r="C408" s="3"/>
      <c r="D408" s="4"/>
      <c r="E408" s="5"/>
      <c r="F408" s="2"/>
      <c r="G408" s="6"/>
      <c r="H408" s="4"/>
      <c r="I408" s="2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2"/>
      <c r="C409" s="3"/>
      <c r="D409" s="4"/>
      <c r="E409" s="5"/>
      <c r="F409" s="2"/>
      <c r="G409" s="6"/>
      <c r="H409" s="4"/>
      <c r="I409" s="2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2"/>
      <c r="C410" s="3"/>
      <c r="D410" s="4"/>
      <c r="E410" s="5"/>
      <c r="F410" s="2"/>
      <c r="G410" s="6"/>
      <c r="H410" s="4"/>
      <c r="I410" s="2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2"/>
      <c r="C411" s="3"/>
      <c r="D411" s="4"/>
      <c r="E411" s="5"/>
      <c r="F411" s="2"/>
      <c r="G411" s="6"/>
      <c r="H411" s="4"/>
      <c r="I411" s="2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2"/>
      <c r="C412" s="3"/>
      <c r="D412" s="4"/>
      <c r="E412" s="5"/>
      <c r="F412" s="2"/>
      <c r="G412" s="6"/>
      <c r="H412" s="4"/>
      <c r="I412" s="2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2"/>
      <c r="C413" s="3"/>
      <c r="D413" s="4"/>
      <c r="E413" s="5"/>
      <c r="F413" s="2"/>
      <c r="G413" s="6"/>
      <c r="H413" s="4"/>
      <c r="I413" s="2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2"/>
      <c r="C414" s="3"/>
      <c r="D414" s="4"/>
      <c r="E414" s="5"/>
      <c r="F414" s="2"/>
      <c r="G414" s="6"/>
      <c r="H414" s="4"/>
      <c r="I414" s="2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2"/>
      <c r="C415" s="3"/>
      <c r="D415" s="4"/>
      <c r="E415" s="5"/>
      <c r="F415" s="2"/>
      <c r="G415" s="6"/>
      <c r="H415" s="4"/>
      <c r="I415" s="2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2"/>
      <c r="C416" s="3"/>
      <c r="D416" s="4"/>
      <c r="E416" s="5"/>
      <c r="F416" s="2"/>
      <c r="G416" s="6"/>
      <c r="H416" s="4"/>
      <c r="I416" s="2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2"/>
      <c r="C417" s="3"/>
      <c r="D417" s="4"/>
      <c r="E417" s="5"/>
      <c r="F417" s="2"/>
      <c r="G417" s="6"/>
      <c r="H417" s="4"/>
      <c r="I417" s="2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2"/>
      <c r="C418" s="3"/>
      <c r="D418" s="4"/>
      <c r="E418" s="5"/>
      <c r="F418" s="2"/>
      <c r="G418" s="6"/>
      <c r="H418" s="4"/>
      <c r="I418" s="2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2"/>
      <c r="C419" s="3"/>
      <c r="D419" s="4"/>
      <c r="E419" s="5"/>
      <c r="F419" s="2"/>
      <c r="G419" s="6"/>
      <c r="H419" s="4"/>
      <c r="I419" s="2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2"/>
      <c r="C420" s="3"/>
      <c r="D420" s="4"/>
      <c r="E420" s="5"/>
      <c r="F420" s="2"/>
      <c r="G420" s="6"/>
      <c r="H420" s="4"/>
      <c r="I420" s="2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2"/>
      <c r="C421" s="3"/>
      <c r="D421" s="4"/>
      <c r="E421" s="5"/>
      <c r="F421" s="2"/>
      <c r="G421" s="6"/>
      <c r="H421" s="4"/>
      <c r="I421" s="2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2"/>
      <c r="C422" s="3"/>
      <c r="D422" s="4"/>
      <c r="E422" s="5"/>
      <c r="F422" s="2"/>
      <c r="G422" s="6"/>
      <c r="H422" s="4"/>
      <c r="I422" s="2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2"/>
      <c r="C423" s="3"/>
      <c r="D423" s="4"/>
      <c r="E423" s="5"/>
      <c r="F423" s="2"/>
      <c r="G423" s="6"/>
      <c r="H423" s="4"/>
      <c r="I423" s="2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2"/>
      <c r="C424" s="3"/>
      <c r="D424" s="4"/>
      <c r="E424" s="5"/>
      <c r="F424" s="2"/>
      <c r="G424" s="6"/>
      <c r="H424" s="4"/>
      <c r="I424" s="2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2"/>
      <c r="C425" s="3"/>
      <c r="D425" s="4"/>
      <c r="E425" s="5"/>
      <c r="F425" s="2"/>
      <c r="G425" s="6"/>
      <c r="H425" s="4"/>
      <c r="I425" s="2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2"/>
      <c r="C426" s="3"/>
      <c r="D426" s="4"/>
      <c r="E426" s="5"/>
      <c r="F426" s="2"/>
      <c r="G426" s="6"/>
      <c r="H426" s="4"/>
      <c r="I426" s="2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2"/>
      <c r="C427" s="3"/>
      <c r="D427" s="4"/>
      <c r="E427" s="5"/>
      <c r="F427" s="2"/>
      <c r="G427" s="6"/>
      <c r="H427" s="4"/>
      <c r="I427" s="2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2"/>
      <c r="C428" s="3"/>
      <c r="D428" s="4"/>
      <c r="E428" s="5"/>
      <c r="F428" s="2"/>
      <c r="G428" s="6"/>
      <c r="H428" s="4"/>
      <c r="I428" s="2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2"/>
      <c r="C429" s="3"/>
      <c r="D429" s="4"/>
      <c r="E429" s="5"/>
      <c r="F429" s="2"/>
      <c r="G429" s="6"/>
      <c r="H429" s="4"/>
      <c r="I429" s="2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2"/>
      <c r="C430" s="3"/>
      <c r="D430" s="4"/>
      <c r="E430" s="5"/>
      <c r="F430" s="2"/>
      <c r="G430" s="6"/>
      <c r="H430" s="4"/>
      <c r="I430" s="2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2"/>
      <c r="C431" s="3"/>
      <c r="D431" s="4"/>
      <c r="E431" s="5"/>
      <c r="F431" s="2"/>
      <c r="G431" s="6"/>
      <c r="H431" s="4"/>
      <c r="I431" s="2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2"/>
      <c r="C432" s="3"/>
      <c r="D432" s="4"/>
      <c r="E432" s="5"/>
      <c r="F432" s="2"/>
      <c r="G432" s="6"/>
      <c r="H432" s="4"/>
      <c r="I432" s="2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2"/>
      <c r="C433" s="3"/>
      <c r="D433" s="4"/>
      <c r="E433" s="5"/>
      <c r="F433" s="2"/>
      <c r="G433" s="6"/>
      <c r="H433" s="4"/>
      <c r="I433" s="2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2"/>
      <c r="C434" s="3"/>
      <c r="D434" s="4"/>
      <c r="E434" s="5"/>
      <c r="F434" s="2"/>
      <c r="G434" s="6"/>
      <c r="H434" s="4"/>
      <c r="I434" s="2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2"/>
      <c r="C435" s="3"/>
      <c r="D435" s="4"/>
      <c r="E435" s="5"/>
      <c r="F435" s="2"/>
      <c r="G435" s="6"/>
      <c r="H435" s="4"/>
      <c r="I435" s="2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2"/>
      <c r="C436" s="3"/>
      <c r="D436" s="4"/>
      <c r="E436" s="5"/>
      <c r="F436" s="2"/>
      <c r="G436" s="6"/>
      <c r="H436" s="4"/>
      <c r="I436" s="2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2"/>
      <c r="C437" s="3"/>
      <c r="D437" s="4"/>
      <c r="E437" s="5"/>
      <c r="F437" s="2"/>
      <c r="G437" s="6"/>
      <c r="H437" s="4"/>
      <c r="I437" s="2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2"/>
      <c r="C438" s="3"/>
      <c r="D438" s="4"/>
      <c r="E438" s="5"/>
      <c r="F438" s="2"/>
      <c r="G438" s="6"/>
      <c r="H438" s="4"/>
      <c r="I438" s="2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2"/>
      <c r="C439" s="3"/>
      <c r="D439" s="4"/>
      <c r="E439" s="5"/>
      <c r="F439" s="2"/>
      <c r="G439" s="6"/>
      <c r="H439" s="4"/>
      <c r="I439" s="2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2"/>
      <c r="C440" s="3"/>
      <c r="D440" s="4"/>
      <c r="E440" s="5"/>
      <c r="F440" s="2"/>
      <c r="G440" s="6"/>
      <c r="H440" s="4"/>
      <c r="I440" s="2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2"/>
      <c r="C441" s="3"/>
      <c r="D441" s="4"/>
      <c r="E441" s="5"/>
      <c r="F441" s="2"/>
      <c r="G441" s="6"/>
      <c r="H441" s="4"/>
      <c r="I441" s="2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2"/>
      <c r="C442" s="3"/>
      <c r="D442" s="4"/>
      <c r="E442" s="5"/>
      <c r="F442" s="2"/>
      <c r="G442" s="6"/>
      <c r="H442" s="4"/>
      <c r="I442" s="2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2"/>
      <c r="C443" s="3"/>
      <c r="D443" s="4"/>
      <c r="E443" s="5"/>
      <c r="F443" s="2"/>
      <c r="G443" s="6"/>
      <c r="H443" s="4"/>
      <c r="I443" s="2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2"/>
      <c r="C444" s="3"/>
      <c r="D444" s="4"/>
      <c r="E444" s="5"/>
      <c r="F444" s="2"/>
      <c r="G444" s="6"/>
      <c r="H444" s="4"/>
      <c r="I444" s="2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2"/>
      <c r="C445" s="3"/>
      <c r="D445" s="4"/>
      <c r="E445" s="5"/>
      <c r="F445" s="2"/>
      <c r="G445" s="6"/>
      <c r="H445" s="4"/>
      <c r="I445" s="2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2"/>
      <c r="C446" s="3"/>
      <c r="D446" s="4"/>
      <c r="E446" s="5"/>
      <c r="F446" s="2"/>
      <c r="G446" s="6"/>
      <c r="H446" s="4"/>
      <c r="I446" s="2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2"/>
      <c r="C447" s="3"/>
      <c r="D447" s="4"/>
      <c r="E447" s="5"/>
      <c r="F447" s="2"/>
      <c r="G447" s="6"/>
      <c r="H447" s="4"/>
      <c r="I447" s="2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2"/>
      <c r="C448" s="3"/>
      <c r="D448" s="4"/>
      <c r="E448" s="5"/>
      <c r="F448" s="2"/>
      <c r="G448" s="6"/>
      <c r="H448" s="4"/>
      <c r="I448" s="2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2"/>
      <c r="C449" s="3"/>
      <c r="D449" s="4"/>
      <c r="E449" s="5"/>
      <c r="F449" s="2"/>
      <c r="G449" s="6"/>
      <c r="H449" s="4"/>
      <c r="I449" s="2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2"/>
      <c r="C450" s="3"/>
      <c r="D450" s="4"/>
      <c r="E450" s="5"/>
      <c r="F450" s="2"/>
      <c r="G450" s="6"/>
      <c r="H450" s="4"/>
      <c r="I450" s="2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2"/>
      <c r="C451" s="3"/>
      <c r="D451" s="4"/>
      <c r="E451" s="5"/>
      <c r="F451" s="2"/>
      <c r="G451" s="6"/>
      <c r="H451" s="4"/>
      <c r="I451" s="2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2"/>
      <c r="C452" s="3"/>
      <c r="D452" s="4"/>
      <c r="E452" s="5"/>
      <c r="F452" s="2"/>
      <c r="G452" s="6"/>
      <c r="H452" s="4"/>
      <c r="I452" s="2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2"/>
      <c r="C453" s="3"/>
      <c r="D453" s="4"/>
      <c r="E453" s="5"/>
      <c r="F453" s="2"/>
      <c r="G453" s="6"/>
      <c r="H453" s="4"/>
      <c r="I453" s="2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2"/>
      <c r="C454" s="3"/>
      <c r="D454" s="4"/>
      <c r="E454" s="5"/>
      <c r="F454" s="2"/>
      <c r="G454" s="6"/>
      <c r="H454" s="4"/>
      <c r="I454" s="2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2"/>
      <c r="C455" s="3"/>
      <c r="D455" s="4"/>
      <c r="E455" s="5"/>
      <c r="F455" s="2"/>
      <c r="G455" s="6"/>
      <c r="H455" s="4"/>
      <c r="I455" s="2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2"/>
      <c r="C456" s="3"/>
      <c r="D456" s="4"/>
      <c r="E456" s="5"/>
      <c r="F456" s="2"/>
      <c r="G456" s="6"/>
      <c r="H456" s="4"/>
      <c r="I456" s="2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2"/>
      <c r="C457" s="3"/>
      <c r="D457" s="4"/>
      <c r="E457" s="5"/>
      <c r="F457" s="2"/>
      <c r="G457" s="6"/>
      <c r="H457" s="4"/>
      <c r="I457" s="2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2"/>
      <c r="C458" s="3"/>
      <c r="D458" s="4"/>
      <c r="E458" s="5"/>
      <c r="F458" s="2"/>
      <c r="G458" s="6"/>
      <c r="H458" s="4"/>
      <c r="I458" s="2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2"/>
      <c r="C459" s="3"/>
      <c r="D459" s="4"/>
      <c r="E459" s="5"/>
      <c r="F459" s="2"/>
      <c r="G459" s="6"/>
      <c r="H459" s="4"/>
      <c r="I459" s="2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2"/>
      <c r="C460" s="3"/>
      <c r="D460" s="4"/>
      <c r="E460" s="5"/>
      <c r="F460" s="2"/>
      <c r="G460" s="6"/>
      <c r="H460" s="4"/>
      <c r="I460" s="2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2"/>
      <c r="C461" s="3"/>
      <c r="D461" s="4"/>
      <c r="E461" s="5"/>
      <c r="F461" s="2"/>
      <c r="G461" s="6"/>
      <c r="H461" s="4"/>
      <c r="I461" s="2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2"/>
      <c r="C462" s="3"/>
      <c r="D462" s="4"/>
      <c r="E462" s="5"/>
      <c r="F462" s="2"/>
      <c r="G462" s="6"/>
      <c r="H462" s="4"/>
      <c r="I462" s="2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2"/>
      <c r="C463" s="3"/>
      <c r="D463" s="4"/>
      <c r="E463" s="5"/>
      <c r="F463" s="2"/>
      <c r="G463" s="6"/>
      <c r="H463" s="4"/>
      <c r="I463" s="2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2"/>
      <c r="C464" s="3"/>
      <c r="D464" s="4"/>
      <c r="E464" s="5"/>
      <c r="F464" s="2"/>
      <c r="G464" s="6"/>
      <c r="H464" s="4"/>
      <c r="I464" s="2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2"/>
      <c r="C465" s="3"/>
      <c r="D465" s="4"/>
      <c r="E465" s="5"/>
      <c r="F465" s="2"/>
      <c r="G465" s="6"/>
      <c r="H465" s="4"/>
      <c r="I465" s="2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2"/>
      <c r="C466" s="3"/>
      <c r="D466" s="4"/>
      <c r="E466" s="5"/>
      <c r="F466" s="2"/>
      <c r="G466" s="6"/>
      <c r="H466" s="4"/>
      <c r="I466" s="2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2"/>
      <c r="C467" s="3"/>
      <c r="D467" s="4"/>
      <c r="E467" s="5"/>
      <c r="F467" s="2"/>
      <c r="G467" s="6"/>
      <c r="H467" s="4"/>
      <c r="I467" s="2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2"/>
      <c r="C468" s="3"/>
      <c r="D468" s="4"/>
      <c r="E468" s="5"/>
      <c r="F468" s="2"/>
      <c r="G468" s="6"/>
      <c r="H468" s="4"/>
      <c r="I468" s="2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2"/>
      <c r="C469" s="3"/>
      <c r="D469" s="4"/>
      <c r="E469" s="5"/>
      <c r="F469" s="2"/>
      <c r="G469" s="6"/>
      <c r="H469" s="4"/>
      <c r="I469" s="2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2"/>
      <c r="C470" s="3"/>
      <c r="D470" s="4"/>
      <c r="E470" s="5"/>
      <c r="F470" s="2"/>
      <c r="G470" s="6"/>
      <c r="H470" s="4"/>
      <c r="I470" s="2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2"/>
      <c r="C471" s="3"/>
      <c r="D471" s="4"/>
      <c r="E471" s="5"/>
      <c r="F471" s="2"/>
      <c r="G471" s="6"/>
      <c r="H471" s="4"/>
      <c r="I471" s="2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2"/>
      <c r="C472" s="3"/>
      <c r="D472" s="4"/>
      <c r="E472" s="5"/>
      <c r="F472" s="2"/>
      <c r="G472" s="6"/>
      <c r="H472" s="4"/>
      <c r="I472" s="2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2"/>
      <c r="C473" s="3"/>
      <c r="D473" s="4"/>
      <c r="E473" s="5"/>
      <c r="F473" s="2"/>
      <c r="G473" s="6"/>
      <c r="H473" s="4"/>
      <c r="I473" s="2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2"/>
      <c r="C474" s="3"/>
      <c r="D474" s="4"/>
      <c r="E474" s="5"/>
      <c r="F474" s="2"/>
      <c r="G474" s="6"/>
      <c r="H474" s="4"/>
      <c r="I474" s="2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2"/>
      <c r="C475" s="3"/>
      <c r="D475" s="4"/>
      <c r="E475" s="5"/>
      <c r="F475" s="2"/>
      <c r="G475" s="6"/>
      <c r="H475" s="4"/>
      <c r="I475" s="2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2"/>
      <c r="C476" s="3"/>
      <c r="D476" s="4"/>
      <c r="E476" s="5"/>
      <c r="F476" s="2"/>
      <c r="G476" s="6"/>
      <c r="H476" s="4"/>
      <c r="I476" s="2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2"/>
      <c r="C477" s="3"/>
      <c r="D477" s="4"/>
      <c r="E477" s="5"/>
      <c r="F477" s="2"/>
      <c r="G477" s="6"/>
      <c r="H477" s="4"/>
      <c r="I477" s="2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2"/>
      <c r="C478" s="3"/>
      <c r="D478" s="4"/>
      <c r="E478" s="5"/>
      <c r="F478" s="2"/>
      <c r="G478" s="6"/>
      <c r="H478" s="4"/>
      <c r="I478" s="2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2"/>
      <c r="C479" s="3"/>
      <c r="D479" s="4"/>
      <c r="E479" s="5"/>
      <c r="F479" s="2"/>
      <c r="G479" s="6"/>
      <c r="H479" s="4"/>
      <c r="I479" s="2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2"/>
      <c r="C480" s="3"/>
      <c r="D480" s="4"/>
      <c r="E480" s="5"/>
      <c r="F480" s="2"/>
      <c r="G480" s="6"/>
      <c r="H480" s="4"/>
      <c r="I480" s="2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2"/>
      <c r="C481" s="3"/>
      <c r="D481" s="4"/>
      <c r="E481" s="5"/>
      <c r="F481" s="2"/>
      <c r="G481" s="6"/>
      <c r="H481" s="4"/>
      <c r="I481" s="2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2"/>
      <c r="C482" s="3"/>
      <c r="D482" s="4"/>
      <c r="E482" s="5"/>
      <c r="F482" s="2"/>
      <c r="G482" s="6"/>
      <c r="H482" s="4"/>
      <c r="I482" s="2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2"/>
      <c r="C483" s="3"/>
      <c r="D483" s="4"/>
      <c r="E483" s="5"/>
      <c r="F483" s="2"/>
      <c r="G483" s="6"/>
      <c r="H483" s="4"/>
      <c r="I483" s="2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2"/>
      <c r="C484" s="3"/>
      <c r="D484" s="4"/>
      <c r="E484" s="5"/>
      <c r="F484" s="2"/>
      <c r="G484" s="6"/>
      <c r="H484" s="4"/>
      <c r="I484" s="2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2"/>
      <c r="C485" s="3"/>
      <c r="D485" s="4"/>
      <c r="E485" s="5"/>
      <c r="F485" s="2"/>
      <c r="G485" s="6"/>
      <c r="H485" s="4"/>
      <c r="I485" s="2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2"/>
      <c r="C486" s="3"/>
      <c r="D486" s="4"/>
      <c r="E486" s="5"/>
      <c r="F486" s="2"/>
      <c r="G486" s="6"/>
      <c r="H486" s="4"/>
      <c r="I486" s="2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2"/>
      <c r="C487" s="3"/>
      <c r="D487" s="4"/>
      <c r="E487" s="5"/>
      <c r="F487" s="2"/>
      <c r="G487" s="6"/>
      <c r="H487" s="4"/>
      <c r="I487" s="2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2"/>
      <c r="C488" s="3"/>
      <c r="D488" s="4"/>
      <c r="E488" s="5"/>
      <c r="F488" s="2"/>
      <c r="G488" s="6"/>
      <c r="H488" s="4"/>
      <c r="I488" s="2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2"/>
      <c r="C489" s="3"/>
      <c r="D489" s="4"/>
      <c r="E489" s="5"/>
      <c r="F489" s="2"/>
      <c r="G489" s="6"/>
      <c r="H489" s="4"/>
      <c r="I489" s="2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2"/>
      <c r="C490" s="3"/>
      <c r="D490" s="4"/>
      <c r="E490" s="5"/>
      <c r="F490" s="2"/>
      <c r="G490" s="6"/>
      <c r="H490" s="4"/>
      <c r="I490" s="2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2"/>
      <c r="C491" s="3"/>
      <c r="D491" s="4"/>
      <c r="E491" s="5"/>
      <c r="F491" s="2"/>
      <c r="G491" s="6"/>
      <c r="H491" s="4"/>
      <c r="I491" s="2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2"/>
      <c r="C492" s="3"/>
      <c r="D492" s="4"/>
      <c r="E492" s="5"/>
      <c r="F492" s="2"/>
      <c r="G492" s="6"/>
      <c r="H492" s="4"/>
      <c r="I492" s="2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2"/>
      <c r="C493" s="3"/>
      <c r="D493" s="4"/>
      <c r="E493" s="5"/>
      <c r="F493" s="2"/>
      <c r="G493" s="6"/>
      <c r="H493" s="4"/>
      <c r="I493" s="2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2"/>
      <c r="C494" s="3"/>
      <c r="D494" s="4"/>
      <c r="E494" s="5"/>
      <c r="F494" s="2"/>
      <c r="G494" s="6"/>
      <c r="H494" s="4"/>
      <c r="I494" s="2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2"/>
      <c r="C495" s="3"/>
      <c r="D495" s="4"/>
      <c r="E495" s="5"/>
      <c r="F495" s="2"/>
      <c r="G495" s="6"/>
      <c r="H495" s="4"/>
      <c r="I495" s="2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2"/>
      <c r="C496" s="3"/>
      <c r="D496" s="4"/>
      <c r="E496" s="5"/>
      <c r="F496" s="2"/>
      <c r="G496" s="6"/>
      <c r="H496" s="4"/>
      <c r="I496" s="2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2"/>
      <c r="C497" s="3"/>
      <c r="D497" s="4"/>
      <c r="E497" s="5"/>
      <c r="F497" s="2"/>
      <c r="G497" s="6"/>
      <c r="H497" s="4"/>
      <c r="I497" s="2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2"/>
      <c r="C498" s="3"/>
      <c r="D498" s="4"/>
      <c r="E498" s="5"/>
      <c r="F498" s="2"/>
      <c r="G498" s="6"/>
      <c r="H498" s="4"/>
      <c r="I498" s="2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2"/>
      <c r="C499" s="3"/>
      <c r="D499" s="4"/>
      <c r="E499" s="5"/>
      <c r="F499" s="2"/>
      <c r="G499" s="6"/>
      <c r="H499" s="4"/>
      <c r="I499" s="2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2"/>
      <c r="C500" s="3"/>
      <c r="D500" s="4"/>
      <c r="E500" s="5"/>
      <c r="F500" s="2"/>
      <c r="G500" s="6"/>
      <c r="H500" s="4"/>
      <c r="I500" s="2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2"/>
      <c r="C501" s="3"/>
      <c r="D501" s="4"/>
      <c r="E501" s="5"/>
      <c r="F501" s="2"/>
      <c r="G501" s="6"/>
      <c r="H501" s="4"/>
      <c r="I501" s="2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2"/>
      <c r="C502" s="3"/>
      <c r="D502" s="4"/>
      <c r="E502" s="5"/>
      <c r="F502" s="2"/>
      <c r="G502" s="6"/>
      <c r="H502" s="4"/>
      <c r="I502" s="2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2"/>
      <c r="C503" s="3"/>
      <c r="D503" s="4"/>
      <c r="E503" s="5"/>
      <c r="F503" s="2"/>
      <c r="G503" s="6"/>
      <c r="H503" s="4"/>
      <c r="I503" s="2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2"/>
      <c r="C504" s="3"/>
      <c r="D504" s="4"/>
      <c r="E504" s="5"/>
      <c r="F504" s="2"/>
      <c r="G504" s="6"/>
      <c r="H504" s="4"/>
      <c r="I504" s="2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2"/>
      <c r="C505" s="3"/>
      <c r="D505" s="4"/>
      <c r="E505" s="5"/>
      <c r="F505" s="2"/>
      <c r="G505" s="6"/>
      <c r="H505" s="4"/>
      <c r="I505" s="2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2"/>
      <c r="C506" s="3"/>
      <c r="D506" s="4"/>
      <c r="E506" s="5"/>
      <c r="F506" s="2"/>
      <c r="G506" s="6"/>
      <c r="H506" s="4"/>
      <c r="I506" s="2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2"/>
      <c r="C507" s="3"/>
      <c r="D507" s="4"/>
      <c r="E507" s="5"/>
      <c r="F507" s="2"/>
      <c r="G507" s="6"/>
      <c r="H507" s="4"/>
      <c r="I507" s="2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2"/>
      <c r="C508" s="3"/>
      <c r="D508" s="4"/>
      <c r="E508" s="5"/>
      <c r="F508" s="2"/>
      <c r="G508" s="6"/>
      <c r="H508" s="4"/>
      <c r="I508" s="2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2"/>
      <c r="C509" s="3"/>
      <c r="D509" s="4"/>
      <c r="E509" s="5"/>
      <c r="F509" s="2"/>
      <c r="G509" s="6"/>
      <c r="H509" s="4"/>
      <c r="I509" s="2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2"/>
      <c r="C510" s="3"/>
      <c r="D510" s="4"/>
      <c r="E510" s="5"/>
      <c r="F510" s="2"/>
      <c r="G510" s="6"/>
      <c r="H510" s="4"/>
      <c r="I510" s="2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2"/>
      <c r="C511" s="3"/>
      <c r="D511" s="4"/>
      <c r="E511" s="5"/>
      <c r="F511" s="2"/>
      <c r="G511" s="6"/>
      <c r="H511" s="4"/>
      <c r="I511" s="2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2"/>
      <c r="C512" s="3"/>
      <c r="D512" s="4"/>
      <c r="E512" s="5"/>
      <c r="F512" s="2"/>
      <c r="G512" s="6"/>
      <c r="H512" s="4"/>
      <c r="I512" s="2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2"/>
      <c r="C513" s="3"/>
      <c r="D513" s="4"/>
      <c r="E513" s="5"/>
      <c r="F513" s="2"/>
      <c r="G513" s="6"/>
      <c r="H513" s="4"/>
      <c r="I513" s="2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2"/>
      <c r="C514" s="3"/>
      <c r="D514" s="4"/>
      <c r="E514" s="5"/>
      <c r="F514" s="2"/>
      <c r="G514" s="6"/>
      <c r="H514" s="4"/>
      <c r="I514" s="2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2"/>
      <c r="C515" s="3"/>
      <c r="D515" s="4"/>
      <c r="E515" s="5"/>
      <c r="F515" s="2"/>
      <c r="G515" s="6"/>
      <c r="H515" s="4"/>
      <c r="I515" s="2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2"/>
      <c r="C516" s="3"/>
      <c r="D516" s="4"/>
      <c r="E516" s="5"/>
      <c r="F516" s="2"/>
      <c r="G516" s="6"/>
      <c r="H516" s="4"/>
      <c r="I516" s="2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2"/>
      <c r="C517" s="3"/>
      <c r="D517" s="4"/>
      <c r="E517" s="5"/>
      <c r="F517" s="2"/>
      <c r="G517" s="6"/>
      <c r="H517" s="4"/>
      <c r="I517" s="2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2"/>
      <c r="C518" s="3"/>
      <c r="D518" s="4"/>
      <c r="E518" s="5"/>
      <c r="F518" s="2"/>
      <c r="G518" s="6"/>
      <c r="H518" s="4"/>
      <c r="I518" s="2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2"/>
      <c r="C519" s="3"/>
      <c r="D519" s="4"/>
      <c r="E519" s="5"/>
      <c r="F519" s="2"/>
      <c r="G519" s="6"/>
      <c r="H519" s="4"/>
      <c r="I519" s="2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2"/>
      <c r="C520" s="3"/>
      <c r="D520" s="4"/>
      <c r="E520" s="5"/>
      <c r="F520" s="2"/>
      <c r="G520" s="6"/>
      <c r="H520" s="4"/>
      <c r="I520" s="2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2"/>
      <c r="C521" s="3"/>
      <c r="D521" s="4"/>
      <c r="E521" s="5"/>
      <c r="F521" s="2"/>
      <c r="G521" s="6"/>
      <c r="H521" s="4"/>
      <c r="I521" s="2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2"/>
      <c r="C522" s="3"/>
      <c r="D522" s="4"/>
      <c r="E522" s="5"/>
      <c r="F522" s="2"/>
      <c r="G522" s="6"/>
      <c r="H522" s="4"/>
      <c r="I522" s="2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2"/>
      <c r="C523" s="3"/>
      <c r="D523" s="4"/>
      <c r="E523" s="5"/>
      <c r="F523" s="2"/>
      <c r="G523" s="6"/>
      <c r="H523" s="4"/>
      <c r="I523" s="2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2"/>
      <c r="C524" s="3"/>
      <c r="D524" s="4"/>
      <c r="E524" s="5"/>
      <c r="F524" s="2"/>
      <c r="G524" s="6"/>
      <c r="H524" s="4"/>
      <c r="I524" s="2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2"/>
      <c r="C525" s="3"/>
      <c r="D525" s="4"/>
      <c r="E525" s="5"/>
      <c r="F525" s="2"/>
      <c r="G525" s="6"/>
      <c r="H525" s="4"/>
      <c r="I525" s="2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2"/>
      <c r="C526" s="3"/>
      <c r="D526" s="4"/>
      <c r="E526" s="5"/>
      <c r="F526" s="2"/>
      <c r="G526" s="6"/>
      <c r="H526" s="4"/>
      <c r="I526" s="2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2"/>
      <c r="C527" s="3"/>
      <c r="D527" s="4"/>
      <c r="E527" s="5"/>
      <c r="F527" s="2"/>
      <c r="G527" s="6"/>
      <c r="H527" s="4"/>
      <c r="I527" s="2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2"/>
      <c r="C528" s="3"/>
      <c r="D528" s="4"/>
      <c r="E528" s="5"/>
      <c r="F528" s="2"/>
      <c r="G528" s="6"/>
      <c r="H528" s="4"/>
      <c r="I528" s="2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2"/>
      <c r="C529" s="3"/>
      <c r="D529" s="4"/>
      <c r="E529" s="5"/>
      <c r="F529" s="2"/>
      <c r="G529" s="6"/>
      <c r="H529" s="4"/>
      <c r="I529" s="2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2"/>
      <c r="C530" s="3"/>
      <c r="D530" s="4"/>
      <c r="E530" s="5"/>
      <c r="F530" s="2"/>
      <c r="G530" s="6"/>
      <c r="H530" s="4"/>
      <c r="I530" s="2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2"/>
      <c r="C531" s="3"/>
      <c r="D531" s="4"/>
      <c r="E531" s="5"/>
      <c r="F531" s="2"/>
      <c r="G531" s="6"/>
      <c r="H531" s="4"/>
      <c r="I531" s="2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2"/>
      <c r="C532" s="3"/>
      <c r="D532" s="4"/>
      <c r="E532" s="5"/>
      <c r="F532" s="2"/>
      <c r="G532" s="6"/>
      <c r="H532" s="4"/>
      <c r="I532" s="2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2"/>
      <c r="C533" s="3"/>
      <c r="D533" s="4"/>
      <c r="E533" s="5"/>
      <c r="F533" s="2"/>
      <c r="G533" s="6"/>
      <c r="H533" s="4"/>
      <c r="I533" s="2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2"/>
      <c r="C534" s="3"/>
      <c r="D534" s="4"/>
      <c r="E534" s="5"/>
      <c r="F534" s="2"/>
      <c r="G534" s="6"/>
      <c r="H534" s="4"/>
      <c r="I534" s="2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2"/>
      <c r="C535" s="3"/>
      <c r="D535" s="4"/>
      <c r="E535" s="5"/>
      <c r="F535" s="2"/>
      <c r="G535" s="6"/>
      <c r="H535" s="4"/>
      <c r="I535" s="2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2"/>
      <c r="C536" s="3"/>
      <c r="D536" s="4"/>
      <c r="E536" s="5"/>
      <c r="F536" s="2"/>
      <c r="G536" s="6"/>
      <c r="H536" s="4"/>
      <c r="I536" s="2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2"/>
      <c r="C537" s="3"/>
      <c r="D537" s="4"/>
      <c r="E537" s="5"/>
      <c r="F537" s="2"/>
      <c r="G537" s="6"/>
      <c r="H537" s="4"/>
      <c r="I537" s="2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2"/>
      <c r="C538" s="3"/>
      <c r="D538" s="4"/>
      <c r="E538" s="5"/>
      <c r="F538" s="2"/>
      <c r="G538" s="6"/>
      <c r="H538" s="4"/>
      <c r="I538" s="2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2"/>
      <c r="C539" s="3"/>
      <c r="D539" s="4"/>
      <c r="E539" s="5"/>
      <c r="F539" s="2"/>
      <c r="G539" s="6"/>
      <c r="H539" s="4"/>
      <c r="I539" s="2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2"/>
      <c r="C540" s="3"/>
      <c r="D540" s="4"/>
      <c r="E540" s="5"/>
      <c r="F540" s="2"/>
      <c r="G540" s="6"/>
      <c r="H540" s="4"/>
      <c r="I540" s="2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2"/>
      <c r="C541" s="3"/>
      <c r="D541" s="4"/>
      <c r="E541" s="5"/>
      <c r="F541" s="2"/>
      <c r="G541" s="6"/>
      <c r="H541" s="4"/>
      <c r="I541" s="2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2"/>
      <c r="C542" s="3"/>
      <c r="D542" s="4"/>
      <c r="E542" s="5"/>
      <c r="F542" s="2"/>
      <c r="G542" s="6"/>
      <c r="H542" s="4"/>
      <c r="I542" s="2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2"/>
      <c r="C543" s="3"/>
      <c r="D543" s="4"/>
      <c r="E543" s="5"/>
      <c r="F543" s="2"/>
      <c r="G543" s="6"/>
      <c r="H543" s="4"/>
      <c r="I543" s="2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2"/>
      <c r="C544" s="3"/>
      <c r="D544" s="4"/>
      <c r="E544" s="5"/>
      <c r="F544" s="2"/>
      <c r="G544" s="6"/>
      <c r="H544" s="4"/>
      <c r="I544" s="2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2"/>
      <c r="C545" s="3"/>
      <c r="D545" s="4"/>
      <c r="E545" s="5"/>
      <c r="F545" s="2"/>
      <c r="G545" s="6"/>
      <c r="H545" s="4"/>
      <c r="I545" s="2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2"/>
      <c r="C546" s="3"/>
      <c r="D546" s="4"/>
      <c r="E546" s="5"/>
      <c r="F546" s="2"/>
      <c r="G546" s="6"/>
      <c r="H546" s="4"/>
      <c r="I546" s="2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2"/>
      <c r="C547" s="3"/>
      <c r="D547" s="4"/>
      <c r="E547" s="5"/>
      <c r="F547" s="2"/>
      <c r="G547" s="6"/>
      <c r="H547" s="4"/>
      <c r="I547" s="2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2"/>
      <c r="C548" s="3"/>
      <c r="D548" s="4"/>
      <c r="E548" s="5"/>
      <c r="F548" s="2"/>
      <c r="G548" s="6"/>
      <c r="H548" s="4"/>
      <c r="I548" s="2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2"/>
      <c r="C549" s="3"/>
      <c r="D549" s="4"/>
      <c r="E549" s="5"/>
      <c r="F549" s="2"/>
      <c r="G549" s="6"/>
      <c r="H549" s="4"/>
      <c r="I549" s="2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2"/>
      <c r="C550" s="3"/>
      <c r="D550" s="4"/>
      <c r="E550" s="5"/>
      <c r="F550" s="2"/>
      <c r="G550" s="6"/>
      <c r="H550" s="4"/>
      <c r="I550" s="2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2"/>
      <c r="C551" s="3"/>
      <c r="D551" s="4"/>
      <c r="E551" s="5"/>
      <c r="F551" s="2"/>
      <c r="G551" s="6"/>
      <c r="H551" s="4"/>
      <c r="I551" s="2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2"/>
      <c r="C552" s="3"/>
      <c r="D552" s="4"/>
      <c r="E552" s="5"/>
      <c r="F552" s="2"/>
      <c r="G552" s="6"/>
      <c r="H552" s="4"/>
      <c r="I552" s="2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2"/>
      <c r="C553" s="3"/>
      <c r="D553" s="4"/>
      <c r="E553" s="5"/>
      <c r="F553" s="2"/>
      <c r="G553" s="6"/>
      <c r="H553" s="4"/>
      <c r="I553" s="2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2"/>
      <c r="C554" s="3"/>
      <c r="D554" s="4"/>
      <c r="E554" s="5"/>
      <c r="F554" s="2"/>
      <c r="G554" s="6"/>
      <c r="H554" s="4"/>
      <c r="I554" s="2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2"/>
      <c r="C555" s="3"/>
      <c r="D555" s="4"/>
      <c r="E555" s="5"/>
      <c r="F555" s="2"/>
      <c r="G555" s="6"/>
      <c r="H555" s="4"/>
      <c r="I555" s="2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2"/>
      <c r="C556" s="3"/>
      <c r="D556" s="4"/>
      <c r="E556" s="5"/>
      <c r="F556" s="2"/>
      <c r="G556" s="6"/>
      <c r="H556" s="4"/>
      <c r="I556" s="2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2"/>
      <c r="C557" s="3"/>
      <c r="D557" s="4"/>
      <c r="E557" s="5"/>
      <c r="F557" s="2"/>
      <c r="G557" s="6"/>
      <c r="H557" s="4"/>
      <c r="I557" s="2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2"/>
      <c r="C558" s="3"/>
      <c r="D558" s="4"/>
      <c r="E558" s="5"/>
      <c r="F558" s="2"/>
      <c r="G558" s="6"/>
      <c r="H558" s="4"/>
      <c r="I558" s="2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2"/>
      <c r="C559" s="3"/>
      <c r="D559" s="4"/>
      <c r="E559" s="5"/>
      <c r="F559" s="2"/>
      <c r="G559" s="6"/>
      <c r="H559" s="4"/>
      <c r="I559" s="2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2"/>
      <c r="C560" s="3"/>
      <c r="D560" s="4"/>
      <c r="E560" s="5"/>
      <c r="F560" s="2"/>
      <c r="G560" s="6"/>
      <c r="H560" s="4"/>
      <c r="I560" s="2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2"/>
      <c r="C561" s="3"/>
      <c r="D561" s="4"/>
      <c r="E561" s="5"/>
      <c r="F561" s="2"/>
      <c r="G561" s="6"/>
      <c r="H561" s="4"/>
      <c r="I561" s="2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2"/>
      <c r="C562" s="3"/>
      <c r="D562" s="4"/>
      <c r="E562" s="5"/>
      <c r="F562" s="2"/>
      <c r="G562" s="6"/>
      <c r="H562" s="4"/>
      <c r="I562" s="2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2"/>
      <c r="C563" s="3"/>
      <c r="D563" s="4"/>
      <c r="E563" s="5"/>
      <c r="F563" s="2"/>
      <c r="G563" s="6"/>
      <c r="H563" s="4"/>
      <c r="I563" s="2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2"/>
      <c r="C564" s="3"/>
      <c r="D564" s="4"/>
      <c r="E564" s="5"/>
      <c r="F564" s="2"/>
      <c r="G564" s="6"/>
      <c r="H564" s="4"/>
      <c r="I564" s="2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2"/>
      <c r="C565" s="3"/>
      <c r="D565" s="4"/>
      <c r="E565" s="5"/>
      <c r="F565" s="2"/>
      <c r="G565" s="6"/>
      <c r="H565" s="4"/>
      <c r="I565" s="2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2"/>
      <c r="C566" s="3"/>
      <c r="D566" s="4"/>
      <c r="E566" s="5"/>
      <c r="F566" s="2"/>
      <c r="G566" s="6"/>
      <c r="H566" s="4"/>
      <c r="I566" s="2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2"/>
      <c r="C567" s="3"/>
      <c r="D567" s="4"/>
      <c r="E567" s="5"/>
      <c r="F567" s="2"/>
      <c r="G567" s="6"/>
      <c r="H567" s="4"/>
      <c r="I567" s="2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2"/>
      <c r="C568" s="3"/>
      <c r="D568" s="4"/>
      <c r="E568" s="5"/>
      <c r="F568" s="2"/>
      <c r="G568" s="6"/>
      <c r="H568" s="4"/>
      <c r="I568" s="2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2"/>
      <c r="C569" s="3"/>
      <c r="D569" s="4"/>
      <c r="E569" s="5"/>
      <c r="F569" s="2"/>
      <c r="G569" s="6"/>
      <c r="H569" s="4"/>
      <c r="I569" s="2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2"/>
      <c r="C570" s="3"/>
      <c r="D570" s="4"/>
      <c r="E570" s="5"/>
      <c r="F570" s="2"/>
      <c r="G570" s="6"/>
      <c r="H570" s="4"/>
      <c r="I570" s="2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2"/>
      <c r="C571" s="3"/>
      <c r="D571" s="4"/>
      <c r="E571" s="5"/>
      <c r="F571" s="2"/>
      <c r="G571" s="6"/>
      <c r="H571" s="4"/>
      <c r="I571" s="2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2"/>
      <c r="C572" s="3"/>
      <c r="D572" s="4"/>
      <c r="E572" s="5"/>
      <c r="F572" s="2"/>
      <c r="G572" s="6"/>
      <c r="H572" s="4"/>
      <c r="I572" s="2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2"/>
      <c r="C573" s="3"/>
      <c r="D573" s="4"/>
      <c r="E573" s="5"/>
      <c r="F573" s="2"/>
      <c r="G573" s="6"/>
      <c r="H573" s="4"/>
      <c r="I573" s="2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2"/>
      <c r="C574" s="3"/>
      <c r="D574" s="4"/>
      <c r="E574" s="5"/>
      <c r="F574" s="2"/>
      <c r="G574" s="6"/>
      <c r="H574" s="4"/>
      <c r="I574" s="2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2"/>
      <c r="C575" s="3"/>
      <c r="D575" s="4"/>
      <c r="E575" s="5"/>
      <c r="F575" s="2"/>
      <c r="G575" s="6"/>
      <c r="H575" s="4"/>
      <c r="I575" s="2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2"/>
      <c r="C576" s="3"/>
      <c r="D576" s="4"/>
      <c r="E576" s="5"/>
      <c r="F576" s="2"/>
      <c r="G576" s="6"/>
      <c r="H576" s="4"/>
      <c r="I576" s="2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2"/>
      <c r="C577" s="3"/>
      <c r="D577" s="4"/>
      <c r="E577" s="5"/>
      <c r="F577" s="2"/>
      <c r="G577" s="6"/>
      <c r="H577" s="4"/>
      <c r="I577" s="2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2"/>
      <c r="C578" s="3"/>
      <c r="D578" s="4"/>
      <c r="E578" s="5"/>
      <c r="F578" s="2"/>
      <c r="G578" s="6"/>
      <c r="H578" s="4"/>
      <c r="I578" s="2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2"/>
      <c r="C579" s="3"/>
      <c r="D579" s="4"/>
      <c r="E579" s="5"/>
      <c r="F579" s="2"/>
      <c r="G579" s="6"/>
      <c r="H579" s="4"/>
      <c r="I579" s="2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2"/>
      <c r="C580" s="3"/>
      <c r="D580" s="4"/>
      <c r="E580" s="5"/>
      <c r="F580" s="2"/>
      <c r="G580" s="6"/>
      <c r="H580" s="4"/>
      <c r="I580" s="2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2"/>
      <c r="C581" s="3"/>
      <c r="D581" s="4"/>
      <c r="E581" s="5"/>
      <c r="F581" s="2"/>
      <c r="G581" s="6"/>
      <c r="H581" s="4"/>
      <c r="I581" s="2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2"/>
      <c r="C582" s="3"/>
      <c r="D582" s="4"/>
      <c r="E582" s="5"/>
      <c r="F582" s="2"/>
      <c r="G582" s="6"/>
      <c r="H582" s="4"/>
      <c r="I582" s="2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2"/>
      <c r="C583" s="3"/>
      <c r="D583" s="4"/>
      <c r="E583" s="5"/>
      <c r="F583" s="2"/>
      <c r="G583" s="6"/>
      <c r="H583" s="4"/>
      <c r="I583" s="2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2"/>
      <c r="C584" s="3"/>
      <c r="D584" s="4"/>
      <c r="E584" s="5"/>
      <c r="F584" s="2"/>
      <c r="G584" s="6"/>
      <c r="H584" s="4"/>
      <c r="I584" s="2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2"/>
      <c r="C585" s="3"/>
      <c r="D585" s="4"/>
      <c r="E585" s="5"/>
      <c r="F585" s="2"/>
      <c r="G585" s="6"/>
      <c r="H585" s="4"/>
      <c r="I585" s="2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2"/>
      <c r="C586" s="3"/>
      <c r="D586" s="4"/>
      <c r="E586" s="5"/>
      <c r="F586" s="2"/>
      <c r="G586" s="6"/>
      <c r="H586" s="4"/>
      <c r="I586" s="2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2"/>
      <c r="C587" s="3"/>
      <c r="D587" s="4"/>
      <c r="E587" s="5"/>
      <c r="F587" s="2"/>
      <c r="G587" s="6"/>
      <c r="H587" s="4"/>
      <c r="I587" s="2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2"/>
      <c r="C588" s="3"/>
      <c r="D588" s="4"/>
      <c r="E588" s="5"/>
      <c r="F588" s="2"/>
      <c r="G588" s="6"/>
      <c r="H588" s="4"/>
      <c r="I588" s="2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2"/>
      <c r="C589" s="3"/>
      <c r="D589" s="4"/>
      <c r="E589" s="5"/>
      <c r="F589" s="2"/>
      <c r="G589" s="6"/>
      <c r="H589" s="4"/>
      <c r="I589" s="2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2"/>
      <c r="C590" s="3"/>
      <c r="D590" s="4"/>
      <c r="E590" s="5"/>
      <c r="F590" s="2"/>
      <c r="G590" s="6"/>
      <c r="H590" s="4"/>
      <c r="I590" s="2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2"/>
      <c r="C591" s="3"/>
      <c r="D591" s="4"/>
      <c r="E591" s="5"/>
      <c r="F591" s="2"/>
      <c r="G591" s="6"/>
      <c r="H591" s="4"/>
      <c r="I591" s="2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2"/>
      <c r="C592" s="3"/>
      <c r="D592" s="4"/>
      <c r="E592" s="5"/>
      <c r="F592" s="2"/>
      <c r="G592" s="6"/>
      <c r="H592" s="4"/>
      <c r="I592" s="2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2"/>
      <c r="C593" s="3"/>
      <c r="D593" s="4"/>
      <c r="E593" s="5"/>
      <c r="F593" s="2"/>
      <c r="G593" s="6"/>
      <c r="H593" s="4"/>
      <c r="I593" s="2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2"/>
      <c r="C594" s="3"/>
      <c r="D594" s="4"/>
      <c r="E594" s="5"/>
      <c r="F594" s="2"/>
      <c r="G594" s="6"/>
      <c r="H594" s="4"/>
      <c r="I594" s="2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2"/>
      <c r="C595" s="3"/>
      <c r="D595" s="4"/>
      <c r="E595" s="5"/>
      <c r="F595" s="2"/>
      <c r="G595" s="6"/>
      <c r="H595" s="4"/>
      <c r="I595" s="2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2"/>
      <c r="C596" s="3"/>
      <c r="D596" s="4"/>
      <c r="E596" s="5"/>
      <c r="F596" s="2"/>
      <c r="G596" s="6"/>
      <c r="H596" s="4"/>
      <c r="I596" s="2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2"/>
      <c r="C597" s="3"/>
      <c r="D597" s="4"/>
      <c r="E597" s="5"/>
      <c r="F597" s="2"/>
      <c r="G597" s="6"/>
      <c r="H597" s="4"/>
      <c r="I597" s="2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2"/>
      <c r="C598" s="3"/>
      <c r="D598" s="4"/>
      <c r="E598" s="5"/>
      <c r="F598" s="2"/>
      <c r="G598" s="6"/>
      <c r="H598" s="4"/>
      <c r="I598" s="2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2"/>
      <c r="C599" s="3"/>
      <c r="D599" s="4"/>
      <c r="E599" s="5"/>
      <c r="F599" s="2"/>
      <c r="G599" s="6"/>
      <c r="H599" s="4"/>
      <c r="I599" s="2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2"/>
      <c r="C600" s="3"/>
      <c r="D600" s="4"/>
      <c r="E600" s="5"/>
      <c r="F600" s="2"/>
      <c r="G600" s="6"/>
      <c r="H600" s="4"/>
      <c r="I600" s="2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2"/>
      <c r="C601" s="3"/>
      <c r="D601" s="4"/>
      <c r="E601" s="5"/>
      <c r="F601" s="2"/>
      <c r="G601" s="6"/>
      <c r="H601" s="4"/>
      <c r="I601" s="2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2"/>
      <c r="C602" s="3"/>
      <c r="D602" s="4"/>
      <c r="E602" s="5"/>
      <c r="F602" s="2"/>
      <c r="G602" s="6"/>
      <c r="H602" s="4"/>
      <c r="I602" s="2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2"/>
      <c r="C603" s="3"/>
      <c r="D603" s="4"/>
      <c r="E603" s="5"/>
      <c r="F603" s="2"/>
      <c r="G603" s="6"/>
      <c r="H603" s="4"/>
      <c r="I603" s="2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2"/>
      <c r="C604" s="3"/>
      <c r="D604" s="4"/>
      <c r="E604" s="5"/>
      <c r="F604" s="2"/>
      <c r="G604" s="6"/>
      <c r="H604" s="4"/>
      <c r="I604" s="2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2"/>
      <c r="C605" s="3"/>
      <c r="D605" s="4"/>
      <c r="E605" s="5"/>
      <c r="F605" s="2"/>
      <c r="G605" s="6"/>
      <c r="H605" s="4"/>
      <c r="I605" s="2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2"/>
      <c r="C606" s="3"/>
      <c r="D606" s="4"/>
      <c r="E606" s="5"/>
      <c r="F606" s="2"/>
      <c r="G606" s="6"/>
      <c r="H606" s="4"/>
      <c r="I606" s="2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2"/>
      <c r="C607" s="3"/>
      <c r="D607" s="4"/>
      <c r="E607" s="5"/>
      <c r="F607" s="2"/>
      <c r="G607" s="6"/>
      <c r="H607" s="4"/>
      <c r="I607" s="2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2"/>
      <c r="C608" s="3"/>
      <c r="D608" s="4"/>
      <c r="E608" s="5"/>
      <c r="F608" s="2"/>
      <c r="G608" s="6"/>
      <c r="H608" s="4"/>
      <c r="I608" s="2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2"/>
      <c r="C609" s="3"/>
      <c r="D609" s="4"/>
      <c r="E609" s="5"/>
      <c r="F609" s="2"/>
      <c r="G609" s="6"/>
      <c r="H609" s="4"/>
      <c r="I609" s="2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2"/>
      <c r="C610" s="3"/>
      <c r="D610" s="4"/>
      <c r="E610" s="5"/>
      <c r="F610" s="2"/>
      <c r="G610" s="6"/>
      <c r="H610" s="4"/>
      <c r="I610" s="2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2"/>
      <c r="C611" s="3"/>
      <c r="D611" s="4"/>
      <c r="E611" s="5"/>
      <c r="F611" s="2"/>
      <c r="G611" s="6"/>
      <c r="H611" s="4"/>
      <c r="I611" s="2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2"/>
      <c r="C612" s="3"/>
      <c r="D612" s="4"/>
      <c r="E612" s="5"/>
      <c r="F612" s="2"/>
      <c r="G612" s="6"/>
      <c r="H612" s="4"/>
      <c r="I612" s="2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2"/>
      <c r="C613" s="3"/>
      <c r="D613" s="4"/>
      <c r="E613" s="5"/>
      <c r="F613" s="2"/>
      <c r="G613" s="6"/>
      <c r="H613" s="4"/>
      <c r="I613" s="2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2"/>
      <c r="C614" s="3"/>
      <c r="D614" s="4"/>
      <c r="E614" s="5"/>
      <c r="F614" s="2"/>
      <c r="G614" s="6"/>
      <c r="H614" s="4"/>
      <c r="I614" s="2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2"/>
      <c r="C615" s="3"/>
      <c r="D615" s="4"/>
      <c r="E615" s="5"/>
      <c r="F615" s="2"/>
      <c r="G615" s="6"/>
      <c r="H615" s="4"/>
      <c r="I615" s="2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2"/>
      <c r="C616" s="3"/>
      <c r="D616" s="4"/>
      <c r="E616" s="5"/>
      <c r="F616" s="2"/>
      <c r="G616" s="6"/>
      <c r="H616" s="4"/>
      <c r="I616" s="2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2"/>
      <c r="C617" s="3"/>
      <c r="D617" s="4"/>
      <c r="E617" s="5"/>
      <c r="F617" s="2"/>
      <c r="G617" s="6"/>
      <c r="H617" s="4"/>
      <c r="I617" s="2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2"/>
      <c r="C618" s="3"/>
      <c r="D618" s="4"/>
      <c r="E618" s="5"/>
      <c r="F618" s="2"/>
      <c r="G618" s="6"/>
      <c r="H618" s="4"/>
      <c r="I618" s="2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2"/>
      <c r="C619" s="3"/>
      <c r="D619" s="4"/>
      <c r="E619" s="5"/>
      <c r="F619" s="2"/>
      <c r="G619" s="6"/>
      <c r="H619" s="4"/>
      <c r="I619" s="2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2"/>
      <c r="C620" s="3"/>
      <c r="D620" s="4"/>
      <c r="E620" s="5"/>
      <c r="F620" s="2"/>
      <c r="G620" s="6"/>
      <c r="H620" s="4"/>
      <c r="I620" s="2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2"/>
      <c r="C621" s="3"/>
      <c r="D621" s="4"/>
      <c r="E621" s="5"/>
      <c r="F621" s="2"/>
      <c r="G621" s="6"/>
      <c r="H621" s="4"/>
      <c r="I621" s="2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2"/>
      <c r="C622" s="3"/>
      <c r="D622" s="4"/>
      <c r="E622" s="5"/>
      <c r="F622" s="2"/>
      <c r="G622" s="6"/>
      <c r="H622" s="4"/>
      <c r="I622" s="2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2"/>
      <c r="C623" s="3"/>
      <c r="D623" s="4"/>
      <c r="E623" s="5"/>
      <c r="F623" s="2"/>
      <c r="G623" s="6"/>
      <c r="H623" s="4"/>
      <c r="I623" s="2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2"/>
      <c r="C624" s="3"/>
      <c r="D624" s="4"/>
      <c r="E624" s="5"/>
      <c r="F624" s="2"/>
      <c r="G624" s="6"/>
      <c r="H624" s="4"/>
      <c r="I624" s="2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2"/>
      <c r="C625" s="3"/>
      <c r="D625" s="4"/>
      <c r="E625" s="5"/>
      <c r="F625" s="2"/>
      <c r="G625" s="6"/>
      <c r="H625" s="4"/>
      <c r="I625" s="2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2"/>
      <c r="C626" s="3"/>
      <c r="D626" s="4"/>
      <c r="E626" s="5"/>
      <c r="F626" s="2"/>
      <c r="G626" s="6"/>
      <c r="H626" s="4"/>
      <c r="I626" s="2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2"/>
      <c r="C627" s="3"/>
      <c r="D627" s="4"/>
      <c r="E627" s="5"/>
      <c r="F627" s="2"/>
      <c r="G627" s="6"/>
      <c r="H627" s="4"/>
      <c r="I627" s="2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2"/>
      <c r="C628" s="3"/>
      <c r="D628" s="4"/>
      <c r="E628" s="5"/>
      <c r="F628" s="2"/>
      <c r="G628" s="6"/>
      <c r="H628" s="4"/>
      <c r="I628" s="2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2"/>
      <c r="C629" s="3"/>
      <c r="D629" s="4"/>
      <c r="E629" s="5"/>
      <c r="F629" s="2"/>
      <c r="G629" s="6"/>
      <c r="H629" s="4"/>
      <c r="I629" s="2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2"/>
      <c r="C630" s="3"/>
      <c r="D630" s="4"/>
      <c r="E630" s="5"/>
      <c r="F630" s="2"/>
      <c r="G630" s="6"/>
      <c r="H630" s="4"/>
      <c r="I630" s="2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2"/>
      <c r="C631" s="3"/>
      <c r="D631" s="4"/>
      <c r="E631" s="5"/>
      <c r="F631" s="2"/>
      <c r="G631" s="6"/>
      <c r="H631" s="4"/>
      <c r="I631" s="2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2"/>
      <c r="C632" s="3"/>
      <c r="D632" s="4"/>
      <c r="E632" s="5"/>
      <c r="F632" s="2"/>
      <c r="G632" s="6"/>
      <c r="H632" s="4"/>
      <c r="I632" s="2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2"/>
      <c r="C633" s="3"/>
      <c r="D633" s="4"/>
      <c r="E633" s="5"/>
      <c r="F633" s="2"/>
      <c r="G633" s="6"/>
      <c r="H633" s="4"/>
      <c r="I633" s="2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2"/>
      <c r="C634" s="3"/>
      <c r="D634" s="4"/>
      <c r="E634" s="5"/>
      <c r="F634" s="2"/>
      <c r="G634" s="6"/>
      <c r="H634" s="4"/>
      <c r="I634" s="2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2"/>
      <c r="C635" s="3"/>
      <c r="D635" s="4"/>
      <c r="E635" s="5"/>
      <c r="F635" s="2"/>
      <c r="G635" s="6"/>
      <c r="H635" s="4"/>
      <c r="I635" s="2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2"/>
      <c r="C636" s="3"/>
      <c r="D636" s="4"/>
      <c r="E636" s="5"/>
      <c r="F636" s="2"/>
      <c r="G636" s="6"/>
      <c r="H636" s="4"/>
      <c r="I636" s="2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2"/>
      <c r="C637" s="3"/>
      <c r="D637" s="4"/>
      <c r="E637" s="5"/>
      <c r="F637" s="2"/>
      <c r="G637" s="6"/>
      <c r="H637" s="4"/>
      <c r="I637" s="2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2"/>
      <c r="C638" s="3"/>
      <c r="D638" s="4"/>
      <c r="E638" s="5"/>
      <c r="F638" s="2"/>
      <c r="G638" s="6"/>
      <c r="H638" s="4"/>
      <c r="I638" s="2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2"/>
      <c r="C639" s="3"/>
      <c r="D639" s="4"/>
      <c r="E639" s="5"/>
      <c r="F639" s="2"/>
      <c r="G639" s="6"/>
      <c r="H639" s="4"/>
      <c r="I639" s="2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2"/>
      <c r="C640" s="3"/>
      <c r="D640" s="4"/>
      <c r="E640" s="5"/>
      <c r="F640" s="2"/>
      <c r="G640" s="6"/>
      <c r="H640" s="4"/>
      <c r="I640" s="2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2"/>
      <c r="C641" s="3"/>
      <c r="D641" s="4"/>
      <c r="E641" s="5"/>
      <c r="F641" s="2"/>
      <c r="G641" s="6"/>
      <c r="H641" s="4"/>
      <c r="I641" s="2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2"/>
      <c r="C642" s="3"/>
      <c r="D642" s="4"/>
      <c r="E642" s="5"/>
      <c r="F642" s="2"/>
      <c r="G642" s="6"/>
      <c r="H642" s="4"/>
      <c r="I642" s="2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2"/>
      <c r="C643" s="3"/>
      <c r="D643" s="4"/>
      <c r="E643" s="5"/>
      <c r="F643" s="2"/>
      <c r="G643" s="6"/>
      <c r="H643" s="4"/>
      <c r="I643" s="2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2"/>
      <c r="C644" s="3"/>
      <c r="D644" s="4"/>
      <c r="E644" s="5"/>
      <c r="F644" s="2"/>
      <c r="G644" s="6"/>
      <c r="H644" s="4"/>
      <c r="I644" s="2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2"/>
      <c r="C645" s="3"/>
      <c r="D645" s="4"/>
      <c r="E645" s="5"/>
      <c r="F645" s="2"/>
      <c r="G645" s="6"/>
      <c r="H645" s="4"/>
      <c r="I645" s="2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2"/>
      <c r="C646" s="3"/>
      <c r="D646" s="4"/>
      <c r="E646" s="5"/>
      <c r="F646" s="2"/>
      <c r="G646" s="6"/>
      <c r="H646" s="4"/>
      <c r="I646" s="2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2"/>
      <c r="C647" s="3"/>
      <c r="D647" s="4"/>
      <c r="E647" s="5"/>
      <c r="F647" s="2"/>
      <c r="G647" s="6"/>
      <c r="H647" s="4"/>
      <c r="I647" s="2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2"/>
      <c r="C648" s="3"/>
      <c r="D648" s="4"/>
      <c r="E648" s="5"/>
      <c r="F648" s="2"/>
      <c r="G648" s="6"/>
      <c r="H648" s="4"/>
      <c r="I648" s="2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2"/>
      <c r="C649" s="3"/>
      <c r="D649" s="4"/>
      <c r="E649" s="5"/>
      <c r="F649" s="2"/>
      <c r="G649" s="6"/>
      <c r="H649" s="4"/>
      <c r="I649" s="2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2"/>
      <c r="C650" s="3"/>
      <c r="D650" s="4"/>
      <c r="E650" s="5"/>
      <c r="F650" s="2"/>
      <c r="G650" s="6"/>
      <c r="H650" s="4"/>
      <c r="I650" s="2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2"/>
      <c r="C651" s="3"/>
      <c r="D651" s="4"/>
      <c r="E651" s="5"/>
      <c r="F651" s="2"/>
      <c r="G651" s="6"/>
      <c r="H651" s="4"/>
      <c r="I651" s="2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2"/>
      <c r="C652" s="3"/>
      <c r="D652" s="4"/>
      <c r="E652" s="5"/>
      <c r="F652" s="2"/>
      <c r="G652" s="6"/>
      <c r="H652" s="4"/>
      <c r="I652" s="2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2"/>
      <c r="C653" s="3"/>
      <c r="D653" s="4"/>
      <c r="E653" s="5"/>
      <c r="F653" s="2"/>
      <c r="G653" s="6"/>
      <c r="H653" s="4"/>
      <c r="I653" s="2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2"/>
      <c r="C654" s="3"/>
      <c r="D654" s="4"/>
      <c r="E654" s="5"/>
      <c r="F654" s="2"/>
      <c r="G654" s="6"/>
      <c r="H654" s="4"/>
      <c r="I654" s="2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2"/>
      <c r="C655" s="3"/>
      <c r="D655" s="4"/>
      <c r="E655" s="5"/>
      <c r="F655" s="2"/>
      <c r="G655" s="6"/>
      <c r="H655" s="4"/>
      <c r="I655" s="2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2"/>
      <c r="C656" s="3"/>
      <c r="D656" s="4"/>
      <c r="E656" s="5"/>
      <c r="F656" s="2"/>
      <c r="G656" s="6"/>
      <c r="H656" s="4"/>
      <c r="I656" s="2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2"/>
      <c r="C657" s="3"/>
      <c r="D657" s="4"/>
      <c r="E657" s="5"/>
      <c r="F657" s="2"/>
      <c r="G657" s="6"/>
      <c r="H657" s="4"/>
      <c r="I657" s="2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2"/>
      <c r="C658" s="3"/>
      <c r="D658" s="4"/>
      <c r="E658" s="5"/>
      <c r="F658" s="2"/>
      <c r="G658" s="6"/>
      <c r="H658" s="4"/>
      <c r="I658" s="2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2"/>
      <c r="C659" s="3"/>
      <c r="D659" s="4"/>
      <c r="E659" s="5"/>
      <c r="F659" s="2"/>
      <c r="G659" s="6"/>
      <c r="H659" s="4"/>
      <c r="I659" s="2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2"/>
      <c r="C660" s="3"/>
      <c r="D660" s="4"/>
      <c r="E660" s="5"/>
      <c r="F660" s="2"/>
      <c r="G660" s="6"/>
      <c r="H660" s="4"/>
      <c r="I660" s="2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2"/>
      <c r="C661" s="3"/>
      <c r="D661" s="4"/>
      <c r="E661" s="5"/>
      <c r="F661" s="2"/>
      <c r="G661" s="6"/>
      <c r="H661" s="4"/>
      <c r="I661" s="2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2"/>
      <c r="C662" s="3"/>
      <c r="D662" s="4"/>
      <c r="E662" s="5"/>
      <c r="F662" s="2"/>
      <c r="G662" s="6"/>
      <c r="H662" s="4"/>
      <c r="I662" s="2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2"/>
      <c r="C663" s="3"/>
      <c r="D663" s="4"/>
      <c r="E663" s="5"/>
      <c r="F663" s="2"/>
      <c r="G663" s="6"/>
      <c r="H663" s="4"/>
      <c r="I663" s="2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2"/>
      <c r="C664" s="3"/>
      <c r="D664" s="4"/>
      <c r="E664" s="5"/>
      <c r="F664" s="2"/>
      <c r="G664" s="6"/>
      <c r="H664" s="4"/>
      <c r="I664" s="2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2"/>
      <c r="C665" s="3"/>
      <c r="D665" s="4"/>
      <c r="E665" s="5"/>
      <c r="F665" s="2"/>
      <c r="G665" s="6"/>
      <c r="H665" s="4"/>
      <c r="I665" s="2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2"/>
      <c r="C666" s="3"/>
      <c r="D666" s="4"/>
      <c r="E666" s="5"/>
      <c r="F666" s="2"/>
      <c r="G666" s="6"/>
      <c r="H666" s="4"/>
      <c r="I666" s="2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2"/>
      <c r="C667" s="3"/>
      <c r="D667" s="4"/>
      <c r="E667" s="5"/>
      <c r="F667" s="2"/>
      <c r="G667" s="6"/>
      <c r="H667" s="4"/>
      <c r="I667" s="2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2"/>
      <c r="C668" s="3"/>
      <c r="D668" s="4"/>
      <c r="E668" s="5"/>
      <c r="F668" s="2"/>
      <c r="G668" s="6"/>
      <c r="H668" s="4"/>
      <c r="I668" s="2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2"/>
      <c r="C669" s="3"/>
      <c r="D669" s="4"/>
      <c r="E669" s="5"/>
      <c r="F669" s="2"/>
      <c r="G669" s="6"/>
      <c r="H669" s="4"/>
      <c r="I669" s="2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2"/>
      <c r="C670" s="3"/>
      <c r="D670" s="4"/>
      <c r="E670" s="5"/>
      <c r="F670" s="2"/>
      <c r="G670" s="6"/>
      <c r="H670" s="4"/>
      <c r="I670" s="2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2"/>
      <c r="C671" s="3"/>
      <c r="D671" s="4"/>
      <c r="E671" s="5"/>
      <c r="F671" s="2"/>
      <c r="G671" s="6"/>
      <c r="H671" s="4"/>
      <c r="I671" s="2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2"/>
      <c r="C672" s="3"/>
      <c r="D672" s="4"/>
      <c r="E672" s="5"/>
      <c r="F672" s="2"/>
      <c r="G672" s="6"/>
      <c r="H672" s="4"/>
      <c r="I672" s="2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2"/>
      <c r="C673" s="3"/>
      <c r="D673" s="4"/>
      <c r="E673" s="5"/>
      <c r="F673" s="2"/>
      <c r="G673" s="6"/>
      <c r="H673" s="4"/>
      <c r="I673" s="2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2"/>
      <c r="C674" s="3"/>
      <c r="D674" s="4"/>
      <c r="E674" s="5"/>
      <c r="F674" s="2"/>
      <c r="G674" s="6"/>
      <c r="H674" s="4"/>
      <c r="I674" s="2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2"/>
      <c r="C675" s="3"/>
      <c r="D675" s="4"/>
      <c r="E675" s="5"/>
      <c r="F675" s="2"/>
      <c r="G675" s="6"/>
      <c r="H675" s="4"/>
      <c r="I675" s="2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2"/>
      <c r="C676" s="3"/>
      <c r="D676" s="4"/>
      <c r="E676" s="5"/>
      <c r="F676" s="2"/>
      <c r="G676" s="6"/>
      <c r="H676" s="4"/>
      <c r="I676" s="2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2"/>
      <c r="C677" s="3"/>
      <c r="D677" s="4"/>
      <c r="E677" s="5"/>
      <c r="F677" s="2"/>
      <c r="G677" s="6"/>
      <c r="H677" s="4"/>
      <c r="I677" s="2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2"/>
      <c r="C678" s="3"/>
      <c r="D678" s="4"/>
      <c r="E678" s="5"/>
      <c r="F678" s="2"/>
      <c r="G678" s="6"/>
      <c r="H678" s="4"/>
      <c r="I678" s="2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2"/>
      <c r="C679" s="3"/>
      <c r="D679" s="4"/>
      <c r="E679" s="5"/>
      <c r="F679" s="2"/>
      <c r="G679" s="6"/>
      <c r="H679" s="4"/>
      <c r="I679" s="2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2"/>
      <c r="C680" s="3"/>
      <c r="D680" s="4"/>
      <c r="E680" s="5"/>
      <c r="F680" s="2"/>
      <c r="G680" s="6"/>
      <c r="H680" s="4"/>
      <c r="I680" s="2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2"/>
      <c r="C681" s="3"/>
      <c r="D681" s="4"/>
      <c r="E681" s="5"/>
      <c r="F681" s="2"/>
      <c r="G681" s="6"/>
      <c r="H681" s="4"/>
      <c r="I681" s="2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2"/>
      <c r="C682" s="3"/>
      <c r="D682" s="4"/>
      <c r="E682" s="5"/>
      <c r="F682" s="2"/>
      <c r="G682" s="6"/>
      <c r="H682" s="4"/>
      <c r="I682" s="2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2"/>
      <c r="C683" s="3"/>
      <c r="D683" s="4"/>
      <c r="E683" s="5"/>
      <c r="F683" s="2"/>
      <c r="G683" s="6"/>
      <c r="H683" s="4"/>
      <c r="I683" s="2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2"/>
      <c r="C684" s="3"/>
      <c r="D684" s="4"/>
      <c r="E684" s="5"/>
      <c r="F684" s="2"/>
      <c r="G684" s="6"/>
      <c r="H684" s="4"/>
      <c r="I684" s="2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2"/>
      <c r="C685" s="3"/>
      <c r="D685" s="4"/>
      <c r="E685" s="5"/>
      <c r="F685" s="2"/>
      <c r="G685" s="6"/>
      <c r="H685" s="4"/>
      <c r="I685" s="2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2"/>
      <c r="C686" s="3"/>
      <c r="D686" s="4"/>
      <c r="E686" s="5"/>
      <c r="F686" s="2"/>
      <c r="G686" s="6"/>
      <c r="H686" s="4"/>
      <c r="I686" s="2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2"/>
      <c r="C687" s="3"/>
      <c r="D687" s="4"/>
      <c r="E687" s="5"/>
      <c r="F687" s="2"/>
      <c r="G687" s="6"/>
      <c r="H687" s="4"/>
      <c r="I687" s="2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2"/>
      <c r="C688" s="3"/>
      <c r="D688" s="4"/>
      <c r="E688" s="5"/>
      <c r="F688" s="2"/>
      <c r="G688" s="6"/>
      <c r="H688" s="4"/>
      <c r="I688" s="2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2"/>
      <c r="C689" s="3"/>
      <c r="D689" s="4"/>
      <c r="E689" s="5"/>
      <c r="F689" s="2"/>
      <c r="G689" s="6"/>
      <c r="H689" s="4"/>
      <c r="I689" s="2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2"/>
      <c r="C690" s="3"/>
      <c r="D690" s="4"/>
      <c r="E690" s="5"/>
      <c r="F690" s="2"/>
      <c r="G690" s="6"/>
      <c r="H690" s="4"/>
      <c r="I690" s="2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2"/>
      <c r="C691" s="3"/>
      <c r="D691" s="4"/>
      <c r="E691" s="5"/>
      <c r="F691" s="2"/>
      <c r="G691" s="6"/>
      <c r="H691" s="4"/>
      <c r="I691" s="2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2"/>
      <c r="C692" s="3"/>
      <c r="D692" s="4"/>
      <c r="E692" s="5"/>
      <c r="F692" s="2"/>
      <c r="G692" s="6"/>
      <c r="H692" s="4"/>
      <c r="I692" s="2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2"/>
      <c r="C693" s="3"/>
      <c r="D693" s="4"/>
      <c r="E693" s="5"/>
      <c r="F693" s="2"/>
      <c r="G693" s="6"/>
      <c r="H693" s="4"/>
      <c r="I693" s="2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2"/>
      <c r="C694" s="3"/>
      <c r="D694" s="4"/>
      <c r="E694" s="5"/>
      <c r="F694" s="2"/>
      <c r="G694" s="6"/>
      <c r="H694" s="4"/>
      <c r="I694" s="2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2"/>
      <c r="C695" s="3"/>
      <c r="D695" s="4"/>
      <c r="E695" s="5"/>
      <c r="F695" s="2"/>
      <c r="G695" s="6"/>
      <c r="H695" s="4"/>
      <c r="I695" s="2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2"/>
      <c r="C696" s="3"/>
      <c r="D696" s="4"/>
      <c r="E696" s="5"/>
      <c r="F696" s="2"/>
      <c r="G696" s="6"/>
      <c r="H696" s="4"/>
      <c r="I696" s="2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2"/>
      <c r="C697" s="3"/>
      <c r="D697" s="4"/>
      <c r="E697" s="5"/>
      <c r="F697" s="2"/>
      <c r="G697" s="6"/>
      <c r="H697" s="4"/>
      <c r="I697" s="2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2"/>
      <c r="C698" s="3"/>
      <c r="D698" s="4"/>
      <c r="E698" s="5"/>
      <c r="F698" s="2"/>
      <c r="G698" s="6"/>
      <c r="H698" s="4"/>
      <c r="I698" s="2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2"/>
      <c r="C699" s="3"/>
      <c r="D699" s="4"/>
      <c r="E699" s="5"/>
      <c r="F699" s="2"/>
      <c r="G699" s="6"/>
      <c r="H699" s="4"/>
      <c r="I699" s="2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2"/>
      <c r="C700" s="3"/>
      <c r="D700" s="4"/>
      <c r="E700" s="5"/>
      <c r="F700" s="2"/>
      <c r="G700" s="6"/>
      <c r="H700" s="4"/>
      <c r="I700" s="2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2"/>
      <c r="C701" s="3"/>
      <c r="D701" s="4"/>
      <c r="E701" s="5"/>
      <c r="F701" s="2"/>
      <c r="G701" s="6"/>
      <c r="H701" s="4"/>
      <c r="I701" s="2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2"/>
      <c r="C702" s="3"/>
      <c r="D702" s="4"/>
      <c r="E702" s="5"/>
      <c r="F702" s="2"/>
      <c r="G702" s="6"/>
      <c r="H702" s="4"/>
      <c r="I702" s="2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2"/>
      <c r="C703" s="3"/>
      <c r="D703" s="4"/>
      <c r="E703" s="5"/>
      <c r="F703" s="2"/>
      <c r="G703" s="6"/>
      <c r="H703" s="4"/>
      <c r="I703" s="2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2"/>
      <c r="C704" s="3"/>
      <c r="D704" s="4"/>
      <c r="E704" s="5"/>
      <c r="F704" s="2"/>
      <c r="G704" s="6"/>
      <c r="H704" s="4"/>
      <c r="I704" s="2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2"/>
      <c r="C705" s="3"/>
      <c r="D705" s="4"/>
      <c r="E705" s="5"/>
      <c r="F705" s="2"/>
      <c r="G705" s="6"/>
      <c r="H705" s="4"/>
      <c r="I705" s="2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2"/>
      <c r="C706" s="3"/>
      <c r="D706" s="4"/>
      <c r="E706" s="5"/>
      <c r="F706" s="2"/>
      <c r="G706" s="6"/>
      <c r="H706" s="4"/>
      <c r="I706" s="2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2"/>
      <c r="C707" s="3"/>
      <c r="D707" s="4"/>
      <c r="E707" s="5"/>
      <c r="F707" s="2"/>
      <c r="G707" s="6"/>
      <c r="H707" s="4"/>
      <c r="I707" s="2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2"/>
      <c r="C708" s="3"/>
      <c r="D708" s="4"/>
      <c r="E708" s="5"/>
      <c r="F708" s="2"/>
      <c r="G708" s="6"/>
      <c r="H708" s="4"/>
      <c r="I708" s="2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2"/>
      <c r="C709" s="3"/>
      <c r="D709" s="4"/>
      <c r="E709" s="5"/>
      <c r="F709" s="2"/>
      <c r="G709" s="6"/>
      <c r="H709" s="4"/>
      <c r="I709" s="2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2"/>
      <c r="C710" s="3"/>
      <c r="D710" s="4"/>
      <c r="E710" s="5"/>
      <c r="F710" s="2"/>
      <c r="G710" s="6"/>
      <c r="H710" s="4"/>
      <c r="I710" s="2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2"/>
      <c r="C711" s="3"/>
      <c r="D711" s="4"/>
      <c r="E711" s="5"/>
      <c r="F711" s="2"/>
      <c r="G711" s="6"/>
      <c r="H711" s="4"/>
      <c r="I711" s="2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2"/>
      <c r="C712" s="3"/>
      <c r="D712" s="4"/>
      <c r="E712" s="5"/>
      <c r="F712" s="2"/>
      <c r="G712" s="6"/>
      <c r="H712" s="4"/>
      <c r="I712" s="2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2"/>
      <c r="C713" s="3"/>
      <c r="D713" s="4"/>
      <c r="E713" s="5"/>
      <c r="F713" s="2"/>
      <c r="G713" s="6"/>
      <c r="H713" s="4"/>
      <c r="I713" s="2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2"/>
      <c r="C714" s="3"/>
      <c r="D714" s="4"/>
      <c r="E714" s="5"/>
      <c r="F714" s="2"/>
      <c r="G714" s="6"/>
      <c r="H714" s="4"/>
      <c r="I714" s="2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2"/>
      <c r="C715" s="3"/>
      <c r="D715" s="4"/>
      <c r="E715" s="5"/>
      <c r="F715" s="2"/>
      <c r="G715" s="6"/>
      <c r="H715" s="4"/>
      <c r="I715" s="2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2"/>
      <c r="C716" s="3"/>
      <c r="D716" s="4"/>
      <c r="E716" s="5"/>
      <c r="F716" s="2"/>
      <c r="G716" s="6"/>
      <c r="H716" s="4"/>
      <c r="I716" s="2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2"/>
      <c r="C717" s="3"/>
      <c r="D717" s="4"/>
      <c r="E717" s="5"/>
      <c r="F717" s="2"/>
      <c r="G717" s="6"/>
      <c r="H717" s="4"/>
      <c r="I717" s="2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2"/>
      <c r="C718" s="3"/>
      <c r="D718" s="4"/>
      <c r="E718" s="5"/>
      <c r="F718" s="2"/>
      <c r="G718" s="6"/>
      <c r="H718" s="4"/>
      <c r="I718" s="2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2"/>
      <c r="C719" s="3"/>
      <c r="D719" s="4"/>
      <c r="E719" s="5"/>
      <c r="F719" s="2"/>
      <c r="G719" s="6"/>
      <c r="H719" s="4"/>
      <c r="I719" s="2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2"/>
      <c r="C720" s="3"/>
      <c r="D720" s="4"/>
      <c r="E720" s="5"/>
      <c r="F720" s="2"/>
      <c r="G720" s="6"/>
      <c r="H720" s="4"/>
      <c r="I720" s="2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2"/>
      <c r="C721" s="3"/>
      <c r="D721" s="4"/>
      <c r="E721" s="5"/>
      <c r="F721" s="2"/>
      <c r="G721" s="6"/>
      <c r="H721" s="4"/>
      <c r="I721" s="2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2"/>
      <c r="C722" s="3"/>
      <c r="D722" s="4"/>
      <c r="E722" s="5"/>
      <c r="F722" s="2"/>
      <c r="G722" s="6"/>
      <c r="H722" s="4"/>
      <c r="I722" s="2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2"/>
      <c r="C723" s="3"/>
      <c r="D723" s="4"/>
      <c r="E723" s="5"/>
      <c r="F723" s="2"/>
      <c r="G723" s="6"/>
      <c r="H723" s="4"/>
      <c r="I723" s="2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2"/>
      <c r="C724" s="3"/>
      <c r="D724" s="4"/>
      <c r="E724" s="5"/>
      <c r="F724" s="2"/>
      <c r="G724" s="6"/>
      <c r="H724" s="4"/>
      <c r="I724" s="2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2"/>
      <c r="C725" s="3"/>
      <c r="D725" s="4"/>
      <c r="E725" s="5"/>
      <c r="F725" s="2"/>
      <c r="G725" s="6"/>
      <c r="H725" s="4"/>
      <c r="I725" s="2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2"/>
      <c r="C726" s="3"/>
      <c r="D726" s="4"/>
      <c r="E726" s="5"/>
      <c r="F726" s="2"/>
      <c r="G726" s="6"/>
      <c r="H726" s="4"/>
      <c r="I726" s="2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2"/>
      <c r="C727" s="3"/>
      <c r="D727" s="4"/>
      <c r="E727" s="5"/>
      <c r="F727" s="2"/>
      <c r="G727" s="6"/>
      <c r="H727" s="4"/>
      <c r="I727" s="2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2"/>
      <c r="C728" s="3"/>
      <c r="D728" s="4"/>
      <c r="E728" s="5"/>
      <c r="F728" s="2"/>
      <c r="G728" s="6"/>
      <c r="H728" s="4"/>
      <c r="I728" s="2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2"/>
      <c r="C729" s="3"/>
      <c r="D729" s="4"/>
      <c r="E729" s="5"/>
      <c r="F729" s="2"/>
      <c r="G729" s="6"/>
      <c r="H729" s="4"/>
      <c r="I729" s="2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2"/>
      <c r="C730" s="3"/>
      <c r="D730" s="4"/>
      <c r="E730" s="5"/>
      <c r="F730" s="2"/>
      <c r="G730" s="6"/>
      <c r="H730" s="4"/>
      <c r="I730" s="2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2"/>
      <c r="C731" s="3"/>
      <c r="D731" s="4"/>
      <c r="E731" s="5"/>
      <c r="F731" s="2"/>
      <c r="G731" s="6"/>
      <c r="H731" s="4"/>
      <c r="I731" s="2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2"/>
      <c r="C732" s="3"/>
      <c r="D732" s="4"/>
      <c r="E732" s="5"/>
      <c r="F732" s="2"/>
      <c r="G732" s="6"/>
      <c r="H732" s="4"/>
      <c r="I732" s="2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2"/>
      <c r="C733" s="3"/>
      <c r="D733" s="4"/>
      <c r="E733" s="5"/>
      <c r="F733" s="2"/>
      <c r="G733" s="6"/>
      <c r="H733" s="4"/>
      <c r="I733" s="2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2"/>
      <c r="C734" s="3"/>
      <c r="D734" s="4"/>
      <c r="E734" s="5"/>
      <c r="F734" s="2"/>
      <c r="G734" s="6"/>
      <c r="H734" s="4"/>
      <c r="I734" s="2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2"/>
      <c r="C735" s="3"/>
      <c r="D735" s="4"/>
      <c r="E735" s="5"/>
      <c r="F735" s="2"/>
      <c r="G735" s="6"/>
      <c r="H735" s="4"/>
      <c r="I735" s="2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2"/>
      <c r="C736" s="3"/>
      <c r="D736" s="4"/>
      <c r="E736" s="5"/>
      <c r="F736" s="2"/>
      <c r="G736" s="6"/>
      <c r="H736" s="4"/>
      <c r="I736" s="2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2"/>
      <c r="C737" s="3"/>
      <c r="D737" s="4"/>
      <c r="E737" s="5"/>
      <c r="F737" s="2"/>
      <c r="G737" s="6"/>
      <c r="H737" s="4"/>
      <c r="I737" s="2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2"/>
      <c r="C738" s="3"/>
      <c r="D738" s="4"/>
      <c r="E738" s="5"/>
      <c r="F738" s="2"/>
      <c r="G738" s="6"/>
      <c r="H738" s="4"/>
      <c r="I738" s="2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2"/>
      <c r="C739" s="3"/>
      <c r="D739" s="4"/>
      <c r="E739" s="5"/>
      <c r="F739" s="2"/>
      <c r="G739" s="6"/>
      <c r="H739" s="4"/>
      <c r="I739" s="2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2"/>
      <c r="C740" s="3"/>
      <c r="D740" s="4"/>
      <c r="E740" s="5"/>
      <c r="F740" s="2"/>
      <c r="G740" s="6"/>
      <c r="H740" s="4"/>
      <c r="I740" s="2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2"/>
      <c r="C741" s="3"/>
      <c r="D741" s="4"/>
      <c r="E741" s="5"/>
      <c r="F741" s="2"/>
      <c r="G741" s="6"/>
      <c r="H741" s="4"/>
      <c r="I741" s="2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2"/>
      <c r="C742" s="3"/>
      <c r="D742" s="4"/>
      <c r="E742" s="5"/>
      <c r="F742" s="2"/>
      <c r="G742" s="6"/>
      <c r="H742" s="4"/>
      <c r="I742" s="2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2"/>
      <c r="C743" s="3"/>
      <c r="D743" s="4"/>
      <c r="E743" s="5"/>
      <c r="F743" s="2"/>
      <c r="G743" s="6"/>
      <c r="H743" s="4"/>
      <c r="I743" s="2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2"/>
      <c r="C744" s="3"/>
      <c r="D744" s="4"/>
      <c r="E744" s="5"/>
      <c r="F744" s="2"/>
      <c r="G744" s="6"/>
      <c r="H744" s="4"/>
      <c r="I744" s="2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2"/>
      <c r="C745" s="3"/>
      <c r="D745" s="4"/>
      <c r="E745" s="5"/>
      <c r="F745" s="2"/>
      <c r="G745" s="6"/>
      <c r="H745" s="4"/>
      <c r="I745" s="2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2"/>
      <c r="C746" s="3"/>
      <c r="D746" s="4"/>
      <c r="E746" s="5"/>
      <c r="F746" s="2"/>
      <c r="G746" s="6"/>
      <c r="H746" s="4"/>
      <c r="I746" s="2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2"/>
      <c r="C747" s="3"/>
      <c r="D747" s="4"/>
      <c r="E747" s="5"/>
      <c r="F747" s="2"/>
      <c r="G747" s="6"/>
      <c r="H747" s="4"/>
      <c r="I747" s="2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2"/>
      <c r="C748" s="3"/>
      <c r="D748" s="4"/>
      <c r="E748" s="5"/>
      <c r="F748" s="2"/>
      <c r="G748" s="6"/>
      <c r="H748" s="4"/>
      <c r="I748" s="2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2"/>
      <c r="C749" s="3"/>
      <c r="D749" s="4"/>
      <c r="E749" s="5"/>
      <c r="F749" s="2"/>
      <c r="G749" s="6"/>
      <c r="H749" s="4"/>
      <c r="I749" s="2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2"/>
      <c r="C750" s="3"/>
      <c r="D750" s="4"/>
      <c r="E750" s="5"/>
      <c r="F750" s="2"/>
      <c r="G750" s="6"/>
      <c r="H750" s="4"/>
      <c r="I750" s="2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2"/>
      <c r="C751" s="3"/>
      <c r="D751" s="4"/>
      <c r="E751" s="5"/>
      <c r="F751" s="2"/>
      <c r="G751" s="6"/>
      <c r="H751" s="4"/>
      <c r="I751" s="2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2"/>
      <c r="C752" s="3"/>
      <c r="D752" s="4"/>
      <c r="E752" s="5"/>
      <c r="F752" s="2"/>
      <c r="G752" s="6"/>
      <c r="H752" s="4"/>
      <c r="I752" s="2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2"/>
      <c r="C753" s="3"/>
      <c r="D753" s="4"/>
      <c r="E753" s="5"/>
      <c r="F753" s="2"/>
      <c r="G753" s="6"/>
      <c r="H753" s="4"/>
      <c r="I753" s="2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2"/>
      <c r="C754" s="3"/>
      <c r="D754" s="4"/>
      <c r="E754" s="5"/>
      <c r="F754" s="2"/>
      <c r="G754" s="6"/>
      <c r="H754" s="4"/>
      <c r="I754" s="2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2"/>
      <c r="C755" s="3"/>
      <c r="D755" s="4"/>
      <c r="E755" s="5"/>
      <c r="F755" s="2"/>
      <c r="G755" s="6"/>
      <c r="H755" s="4"/>
      <c r="I755" s="2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2"/>
      <c r="C756" s="3"/>
      <c r="D756" s="4"/>
      <c r="E756" s="5"/>
      <c r="F756" s="2"/>
      <c r="G756" s="6"/>
      <c r="H756" s="4"/>
      <c r="I756" s="2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2"/>
      <c r="C757" s="3"/>
      <c r="D757" s="4"/>
      <c r="E757" s="5"/>
      <c r="F757" s="2"/>
      <c r="G757" s="6"/>
      <c r="H757" s="4"/>
      <c r="I757" s="2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2"/>
      <c r="C758" s="3"/>
      <c r="D758" s="4"/>
      <c r="E758" s="5"/>
      <c r="F758" s="2"/>
      <c r="G758" s="6"/>
      <c r="H758" s="4"/>
      <c r="I758" s="2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2"/>
      <c r="C759" s="3"/>
      <c r="D759" s="4"/>
      <c r="E759" s="5"/>
      <c r="F759" s="2"/>
      <c r="G759" s="6"/>
      <c r="H759" s="4"/>
      <c r="I759" s="2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2"/>
      <c r="C760" s="3"/>
      <c r="D760" s="4"/>
      <c r="E760" s="5"/>
      <c r="F760" s="2"/>
      <c r="G760" s="6"/>
      <c r="H760" s="4"/>
      <c r="I760" s="2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2"/>
      <c r="C761" s="3"/>
      <c r="D761" s="4"/>
      <c r="E761" s="5"/>
      <c r="F761" s="2"/>
      <c r="G761" s="6"/>
      <c r="H761" s="4"/>
      <c r="I761" s="2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2"/>
      <c r="C762" s="3"/>
      <c r="D762" s="4"/>
      <c r="E762" s="5"/>
      <c r="F762" s="2"/>
      <c r="G762" s="6"/>
      <c r="H762" s="4"/>
      <c r="I762" s="2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2"/>
      <c r="C763" s="3"/>
      <c r="D763" s="4"/>
      <c r="E763" s="5"/>
      <c r="F763" s="2"/>
      <c r="G763" s="6"/>
      <c r="H763" s="4"/>
      <c r="I763" s="2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2"/>
      <c r="C764" s="3"/>
      <c r="D764" s="4"/>
      <c r="E764" s="5"/>
      <c r="F764" s="2"/>
      <c r="G764" s="6"/>
      <c r="H764" s="4"/>
      <c r="I764" s="2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2"/>
      <c r="C765" s="3"/>
      <c r="D765" s="4"/>
      <c r="E765" s="5"/>
      <c r="F765" s="2"/>
      <c r="G765" s="6"/>
      <c r="H765" s="4"/>
      <c r="I765" s="2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2"/>
      <c r="C766" s="3"/>
      <c r="D766" s="4"/>
      <c r="E766" s="5"/>
      <c r="F766" s="2"/>
      <c r="G766" s="6"/>
      <c r="H766" s="4"/>
      <c r="I766" s="2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2"/>
      <c r="C767" s="3"/>
      <c r="D767" s="4"/>
      <c r="E767" s="5"/>
      <c r="F767" s="2"/>
      <c r="G767" s="6"/>
      <c r="H767" s="4"/>
      <c r="I767" s="2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2"/>
      <c r="C768" s="3"/>
      <c r="D768" s="4"/>
      <c r="E768" s="5"/>
      <c r="F768" s="2"/>
      <c r="G768" s="6"/>
      <c r="H768" s="4"/>
      <c r="I768" s="2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2"/>
      <c r="C769" s="3"/>
      <c r="D769" s="4"/>
      <c r="E769" s="5"/>
      <c r="F769" s="2"/>
      <c r="G769" s="6"/>
      <c r="H769" s="4"/>
      <c r="I769" s="2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2"/>
      <c r="C770" s="3"/>
      <c r="D770" s="4"/>
      <c r="E770" s="5"/>
      <c r="F770" s="2"/>
      <c r="G770" s="6"/>
      <c r="H770" s="4"/>
      <c r="I770" s="2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2"/>
      <c r="C771" s="3"/>
      <c r="D771" s="4"/>
      <c r="E771" s="5"/>
      <c r="F771" s="2"/>
      <c r="G771" s="6"/>
      <c r="H771" s="4"/>
      <c r="I771" s="2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2"/>
      <c r="C772" s="3"/>
      <c r="D772" s="4"/>
      <c r="E772" s="5"/>
      <c r="F772" s="2"/>
      <c r="G772" s="6"/>
      <c r="H772" s="4"/>
      <c r="I772" s="2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2"/>
      <c r="C773" s="3"/>
      <c r="D773" s="4"/>
      <c r="E773" s="5"/>
      <c r="F773" s="2"/>
      <c r="G773" s="6"/>
      <c r="H773" s="4"/>
      <c r="I773" s="2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2"/>
      <c r="C774" s="3"/>
      <c r="D774" s="4"/>
      <c r="E774" s="5"/>
      <c r="F774" s="2"/>
      <c r="G774" s="6"/>
      <c r="H774" s="4"/>
      <c r="I774" s="2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2"/>
      <c r="C775" s="3"/>
      <c r="D775" s="4"/>
      <c r="E775" s="5"/>
      <c r="F775" s="2"/>
      <c r="G775" s="6"/>
      <c r="H775" s="4"/>
      <c r="I775" s="2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2"/>
      <c r="C776" s="3"/>
      <c r="D776" s="4"/>
      <c r="E776" s="5"/>
      <c r="F776" s="2"/>
      <c r="G776" s="6"/>
      <c r="H776" s="4"/>
      <c r="I776" s="2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2"/>
      <c r="C777" s="3"/>
      <c r="D777" s="4"/>
      <c r="E777" s="5"/>
      <c r="F777" s="2"/>
      <c r="G777" s="6"/>
      <c r="H777" s="4"/>
      <c r="I777" s="2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2"/>
      <c r="C778" s="3"/>
      <c r="D778" s="4"/>
      <c r="E778" s="5"/>
      <c r="F778" s="2"/>
      <c r="G778" s="6"/>
      <c r="H778" s="4"/>
      <c r="I778" s="2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2"/>
      <c r="C779" s="3"/>
      <c r="D779" s="4"/>
      <c r="E779" s="5"/>
      <c r="F779" s="2"/>
      <c r="G779" s="6"/>
      <c r="H779" s="4"/>
      <c r="I779" s="2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2"/>
      <c r="C780" s="3"/>
      <c r="D780" s="4"/>
      <c r="E780" s="5"/>
      <c r="F780" s="2"/>
      <c r="G780" s="6"/>
      <c r="H780" s="4"/>
      <c r="I780" s="2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2"/>
      <c r="C781" s="3"/>
      <c r="D781" s="4"/>
      <c r="E781" s="5"/>
      <c r="F781" s="2"/>
      <c r="G781" s="6"/>
      <c r="H781" s="4"/>
      <c r="I781" s="2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2"/>
      <c r="C782" s="3"/>
      <c r="D782" s="4"/>
      <c r="E782" s="5"/>
      <c r="F782" s="2"/>
      <c r="G782" s="6"/>
      <c r="H782" s="4"/>
      <c r="I782" s="2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2"/>
      <c r="C783" s="3"/>
      <c r="D783" s="4"/>
      <c r="E783" s="5"/>
      <c r="F783" s="2"/>
      <c r="G783" s="6"/>
      <c r="H783" s="4"/>
      <c r="I783" s="2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2"/>
      <c r="C784" s="3"/>
      <c r="D784" s="4"/>
      <c r="E784" s="5"/>
      <c r="F784" s="2"/>
      <c r="G784" s="6"/>
      <c r="H784" s="4"/>
      <c r="I784" s="2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2"/>
      <c r="C785" s="3"/>
      <c r="D785" s="4"/>
      <c r="E785" s="5"/>
      <c r="F785" s="2"/>
      <c r="G785" s="6"/>
      <c r="H785" s="4"/>
      <c r="I785" s="2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2"/>
      <c r="C786" s="3"/>
      <c r="D786" s="4"/>
      <c r="E786" s="5"/>
      <c r="F786" s="2"/>
      <c r="G786" s="6"/>
      <c r="H786" s="4"/>
      <c r="I786" s="2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2"/>
      <c r="C787" s="3"/>
      <c r="D787" s="4"/>
      <c r="E787" s="5"/>
      <c r="F787" s="2"/>
      <c r="G787" s="6"/>
      <c r="H787" s="4"/>
      <c r="I787" s="2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2"/>
      <c r="C788" s="3"/>
      <c r="D788" s="4"/>
      <c r="E788" s="5"/>
      <c r="F788" s="2"/>
      <c r="G788" s="6"/>
      <c r="H788" s="4"/>
      <c r="I788" s="2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2"/>
      <c r="C789" s="3"/>
      <c r="D789" s="4"/>
      <c r="E789" s="5"/>
      <c r="F789" s="2"/>
      <c r="G789" s="6"/>
      <c r="H789" s="4"/>
      <c r="I789" s="2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2"/>
      <c r="C790" s="3"/>
      <c r="D790" s="4"/>
      <c r="E790" s="5"/>
      <c r="F790" s="2"/>
      <c r="G790" s="6"/>
      <c r="H790" s="4"/>
      <c r="I790" s="2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2"/>
      <c r="C791" s="3"/>
      <c r="D791" s="4"/>
      <c r="E791" s="5"/>
      <c r="F791" s="2"/>
      <c r="G791" s="6"/>
      <c r="H791" s="4"/>
      <c r="I791" s="2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2"/>
      <c r="C792" s="3"/>
      <c r="D792" s="4"/>
      <c r="E792" s="5"/>
      <c r="F792" s="2"/>
      <c r="G792" s="6"/>
      <c r="H792" s="4"/>
      <c r="I792" s="2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2"/>
      <c r="C793" s="3"/>
      <c r="D793" s="4"/>
      <c r="E793" s="5"/>
      <c r="F793" s="2"/>
      <c r="G793" s="6"/>
      <c r="H793" s="4"/>
      <c r="I793" s="2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2"/>
      <c r="C794" s="3"/>
      <c r="D794" s="4"/>
      <c r="E794" s="5"/>
      <c r="F794" s="2"/>
      <c r="G794" s="6"/>
      <c r="H794" s="4"/>
      <c r="I794" s="2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2"/>
      <c r="C795" s="3"/>
      <c r="D795" s="4"/>
      <c r="E795" s="5"/>
      <c r="F795" s="2"/>
      <c r="G795" s="6"/>
      <c r="H795" s="4"/>
      <c r="I795" s="2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2"/>
      <c r="C796" s="3"/>
      <c r="D796" s="4"/>
      <c r="E796" s="5"/>
      <c r="F796" s="2"/>
      <c r="G796" s="6"/>
      <c r="H796" s="4"/>
      <c r="I796" s="2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2"/>
      <c r="C797" s="3"/>
      <c r="D797" s="4"/>
      <c r="E797" s="5"/>
      <c r="F797" s="2"/>
      <c r="G797" s="6"/>
      <c r="H797" s="4"/>
      <c r="I797" s="2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2"/>
      <c r="C798" s="3"/>
      <c r="D798" s="4"/>
      <c r="E798" s="5"/>
      <c r="F798" s="2"/>
      <c r="G798" s="6"/>
      <c r="H798" s="4"/>
      <c r="I798" s="2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2"/>
      <c r="C799" s="3"/>
      <c r="D799" s="4"/>
      <c r="E799" s="5"/>
      <c r="F799" s="2"/>
      <c r="G799" s="6"/>
      <c r="H799" s="4"/>
      <c r="I799" s="2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2"/>
      <c r="C800" s="3"/>
      <c r="D800" s="4"/>
      <c r="E800" s="5"/>
      <c r="F800" s="2"/>
      <c r="G800" s="6"/>
      <c r="H800" s="4"/>
      <c r="I800" s="2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2"/>
      <c r="C801" s="3"/>
      <c r="D801" s="4"/>
      <c r="E801" s="5"/>
      <c r="F801" s="2"/>
      <c r="G801" s="6"/>
      <c r="H801" s="4"/>
      <c r="I801" s="2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2"/>
      <c r="C802" s="3"/>
      <c r="D802" s="4"/>
      <c r="E802" s="5"/>
      <c r="F802" s="2"/>
      <c r="G802" s="6"/>
      <c r="H802" s="4"/>
      <c r="I802" s="2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2"/>
      <c r="C803" s="3"/>
      <c r="D803" s="4"/>
      <c r="E803" s="5"/>
      <c r="F803" s="2"/>
      <c r="G803" s="6"/>
      <c r="H803" s="4"/>
      <c r="I803" s="2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2"/>
      <c r="C804" s="3"/>
      <c r="D804" s="4"/>
      <c r="E804" s="5"/>
      <c r="F804" s="2"/>
      <c r="G804" s="6"/>
      <c r="H804" s="4"/>
      <c r="I804" s="2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2"/>
      <c r="C805" s="3"/>
      <c r="D805" s="4"/>
      <c r="E805" s="5"/>
      <c r="F805" s="2"/>
      <c r="G805" s="6"/>
      <c r="H805" s="4"/>
      <c r="I805" s="2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2"/>
      <c r="C806" s="3"/>
      <c r="D806" s="4"/>
      <c r="E806" s="5"/>
      <c r="F806" s="2"/>
      <c r="G806" s="6"/>
      <c r="H806" s="4"/>
      <c r="I806" s="2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2"/>
      <c r="C807" s="3"/>
      <c r="D807" s="4"/>
      <c r="E807" s="5"/>
      <c r="F807" s="2"/>
      <c r="G807" s="6"/>
      <c r="H807" s="4"/>
      <c r="I807" s="2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2"/>
      <c r="C808" s="3"/>
      <c r="D808" s="4"/>
      <c r="E808" s="5"/>
      <c r="F808" s="2"/>
      <c r="G808" s="6"/>
      <c r="H808" s="4"/>
      <c r="I808" s="2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2"/>
      <c r="C809" s="3"/>
      <c r="D809" s="4"/>
      <c r="E809" s="5"/>
      <c r="F809" s="2"/>
      <c r="G809" s="6"/>
      <c r="H809" s="4"/>
      <c r="I809" s="2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2"/>
      <c r="C810" s="3"/>
      <c r="D810" s="4"/>
      <c r="E810" s="5"/>
      <c r="F810" s="2"/>
      <c r="G810" s="6"/>
      <c r="H810" s="4"/>
      <c r="I810" s="2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2"/>
      <c r="C811" s="3"/>
      <c r="D811" s="4"/>
      <c r="E811" s="5"/>
      <c r="F811" s="2"/>
      <c r="G811" s="6"/>
      <c r="H811" s="4"/>
      <c r="I811" s="2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2"/>
      <c r="C812" s="3"/>
      <c r="D812" s="4"/>
      <c r="E812" s="5"/>
      <c r="F812" s="2"/>
      <c r="G812" s="6"/>
      <c r="H812" s="4"/>
      <c r="I812" s="2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2"/>
      <c r="C813" s="3"/>
      <c r="D813" s="4"/>
      <c r="E813" s="5"/>
      <c r="F813" s="2"/>
      <c r="G813" s="6"/>
      <c r="H813" s="4"/>
      <c r="I813" s="2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2"/>
      <c r="C814" s="3"/>
      <c r="D814" s="4"/>
      <c r="E814" s="5"/>
      <c r="F814" s="2"/>
      <c r="G814" s="6"/>
      <c r="H814" s="4"/>
      <c r="I814" s="2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2"/>
      <c r="C815" s="3"/>
      <c r="D815" s="4"/>
      <c r="E815" s="5"/>
      <c r="F815" s="2"/>
      <c r="G815" s="6"/>
      <c r="H815" s="4"/>
      <c r="I815" s="2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2"/>
      <c r="C816" s="3"/>
      <c r="D816" s="4"/>
      <c r="E816" s="5"/>
      <c r="F816" s="2"/>
      <c r="G816" s="6"/>
      <c r="H816" s="4"/>
      <c r="I816" s="2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2"/>
      <c r="C817" s="3"/>
      <c r="D817" s="4"/>
      <c r="E817" s="5"/>
      <c r="F817" s="2"/>
      <c r="G817" s="6"/>
      <c r="H817" s="4"/>
      <c r="I817" s="2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2"/>
      <c r="C818" s="3"/>
      <c r="D818" s="4"/>
      <c r="E818" s="5"/>
      <c r="F818" s="2"/>
      <c r="G818" s="6"/>
      <c r="H818" s="4"/>
      <c r="I818" s="2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2"/>
      <c r="C819" s="3"/>
      <c r="D819" s="4"/>
      <c r="E819" s="5"/>
      <c r="F819" s="2"/>
      <c r="G819" s="6"/>
      <c r="H819" s="4"/>
      <c r="I819" s="2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2"/>
      <c r="C820" s="3"/>
      <c r="D820" s="4"/>
      <c r="E820" s="5"/>
      <c r="F820" s="2"/>
      <c r="G820" s="6"/>
      <c r="H820" s="4"/>
      <c r="I820" s="2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2"/>
      <c r="C821" s="3"/>
      <c r="D821" s="4"/>
      <c r="E821" s="5"/>
      <c r="F821" s="2"/>
      <c r="G821" s="6"/>
      <c r="H821" s="4"/>
      <c r="I821" s="2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2"/>
      <c r="C822" s="3"/>
      <c r="D822" s="4"/>
      <c r="E822" s="5"/>
      <c r="F822" s="2"/>
      <c r="G822" s="6"/>
      <c r="H822" s="4"/>
      <c r="I822" s="2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2"/>
      <c r="C823" s="3"/>
      <c r="D823" s="4"/>
      <c r="E823" s="5"/>
      <c r="F823" s="2"/>
      <c r="G823" s="6"/>
      <c r="H823" s="4"/>
      <c r="I823" s="2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2"/>
      <c r="C824" s="3"/>
      <c r="D824" s="4"/>
      <c r="E824" s="5"/>
      <c r="F824" s="2"/>
      <c r="G824" s="6"/>
      <c r="H824" s="4"/>
      <c r="I824" s="2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2"/>
      <c r="C825" s="3"/>
      <c r="D825" s="4"/>
      <c r="E825" s="5"/>
      <c r="F825" s="2"/>
      <c r="G825" s="6"/>
      <c r="H825" s="4"/>
      <c r="I825" s="2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2"/>
      <c r="C826" s="3"/>
      <c r="D826" s="4"/>
      <c r="E826" s="5"/>
      <c r="F826" s="2"/>
      <c r="G826" s="6"/>
      <c r="H826" s="4"/>
      <c r="I826" s="2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2"/>
      <c r="C827" s="3"/>
      <c r="D827" s="4"/>
      <c r="E827" s="5"/>
      <c r="F827" s="2"/>
      <c r="G827" s="6"/>
      <c r="H827" s="4"/>
      <c r="I827" s="2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2"/>
      <c r="C828" s="3"/>
      <c r="D828" s="4"/>
      <c r="E828" s="5"/>
      <c r="F828" s="2"/>
      <c r="G828" s="6"/>
      <c r="H828" s="4"/>
      <c r="I828" s="2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2"/>
      <c r="C829" s="3"/>
      <c r="D829" s="4"/>
      <c r="E829" s="5"/>
      <c r="F829" s="2"/>
      <c r="G829" s="6"/>
      <c r="H829" s="4"/>
      <c r="I829" s="2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2"/>
      <c r="C830" s="3"/>
      <c r="D830" s="4"/>
      <c r="E830" s="5"/>
      <c r="F830" s="2"/>
      <c r="G830" s="6"/>
      <c r="H830" s="4"/>
      <c r="I830" s="2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2"/>
      <c r="C831" s="3"/>
      <c r="D831" s="4"/>
      <c r="E831" s="5"/>
      <c r="F831" s="2"/>
      <c r="G831" s="6"/>
      <c r="H831" s="4"/>
      <c r="I831" s="2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2"/>
      <c r="C832" s="3"/>
      <c r="D832" s="4"/>
      <c r="E832" s="5"/>
      <c r="F832" s="2"/>
      <c r="G832" s="6"/>
      <c r="H832" s="4"/>
      <c r="I832" s="2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2"/>
      <c r="C833" s="3"/>
      <c r="D833" s="4"/>
      <c r="E833" s="5"/>
      <c r="F833" s="2"/>
      <c r="G833" s="6"/>
      <c r="H833" s="4"/>
      <c r="I833" s="2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2"/>
      <c r="C834" s="3"/>
      <c r="D834" s="4"/>
      <c r="E834" s="5"/>
      <c r="F834" s="2"/>
      <c r="G834" s="6"/>
      <c r="H834" s="4"/>
      <c r="I834" s="2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2"/>
      <c r="C835" s="3"/>
      <c r="D835" s="4"/>
      <c r="E835" s="5"/>
      <c r="F835" s="2"/>
      <c r="G835" s="6"/>
      <c r="H835" s="4"/>
      <c r="I835" s="2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2"/>
      <c r="C836" s="3"/>
      <c r="D836" s="4"/>
      <c r="E836" s="5"/>
      <c r="F836" s="2"/>
      <c r="G836" s="6"/>
      <c r="H836" s="4"/>
      <c r="I836" s="2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2"/>
      <c r="C837" s="3"/>
      <c r="D837" s="4"/>
      <c r="E837" s="5"/>
      <c r="F837" s="2"/>
      <c r="G837" s="6"/>
      <c r="H837" s="4"/>
      <c r="I837" s="2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2"/>
      <c r="C838" s="3"/>
      <c r="D838" s="4"/>
      <c r="E838" s="5"/>
      <c r="F838" s="2"/>
      <c r="G838" s="6"/>
      <c r="H838" s="4"/>
      <c r="I838" s="2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2"/>
      <c r="C839" s="3"/>
      <c r="D839" s="4"/>
      <c r="E839" s="5"/>
      <c r="F839" s="2"/>
      <c r="G839" s="6"/>
      <c r="H839" s="4"/>
      <c r="I839" s="2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2"/>
      <c r="C840" s="3"/>
      <c r="D840" s="4"/>
      <c r="E840" s="5"/>
      <c r="F840" s="2"/>
      <c r="G840" s="6"/>
      <c r="H840" s="4"/>
      <c r="I840" s="2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2"/>
      <c r="C841" s="3"/>
      <c r="D841" s="4"/>
      <c r="E841" s="5"/>
      <c r="F841" s="2"/>
      <c r="G841" s="6"/>
      <c r="H841" s="4"/>
      <c r="I841" s="2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2"/>
      <c r="C842" s="3"/>
      <c r="D842" s="4"/>
      <c r="E842" s="5"/>
      <c r="F842" s="2"/>
      <c r="G842" s="6"/>
      <c r="H842" s="4"/>
      <c r="I842" s="2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2"/>
      <c r="C843" s="3"/>
      <c r="D843" s="4"/>
      <c r="E843" s="5"/>
      <c r="F843" s="2"/>
      <c r="G843" s="6"/>
      <c r="H843" s="4"/>
      <c r="I843" s="2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2"/>
      <c r="C844" s="3"/>
      <c r="D844" s="4"/>
      <c r="E844" s="5"/>
      <c r="F844" s="2"/>
      <c r="G844" s="6"/>
      <c r="H844" s="4"/>
      <c r="I844" s="2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2"/>
      <c r="C845" s="3"/>
      <c r="D845" s="4"/>
      <c r="E845" s="5"/>
      <c r="F845" s="2"/>
      <c r="G845" s="6"/>
      <c r="H845" s="4"/>
      <c r="I845" s="2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2"/>
      <c r="C846" s="3"/>
      <c r="D846" s="4"/>
      <c r="E846" s="5"/>
      <c r="F846" s="2"/>
      <c r="G846" s="6"/>
      <c r="H846" s="4"/>
      <c r="I846" s="2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2"/>
      <c r="C847" s="3"/>
      <c r="D847" s="4"/>
      <c r="E847" s="5"/>
      <c r="F847" s="2"/>
      <c r="G847" s="6"/>
      <c r="H847" s="4"/>
      <c r="I847" s="2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2"/>
      <c r="C848" s="3"/>
      <c r="D848" s="4"/>
      <c r="E848" s="5"/>
      <c r="F848" s="2"/>
      <c r="G848" s="6"/>
      <c r="H848" s="4"/>
      <c r="I848" s="2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2"/>
      <c r="C849" s="3"/>
      <c r="D849" s="4"/>
      <c r="E849" s="5"/>
      <c r="F849" s="2"/>
      <c r="G849" s="6"/>
      <c r="H849" s="4"/>
      <c r="I849" s="2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2"/>
      <c r="C850" s="3"/>
      <c r="D850" s="4"/>
      <c r="E850" s="5"/>
      <c r="F850" s="2"/>
      <c r="G850" s="6"/>
      <c r="H850" s="4"/>
      <c r="I850" s="2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2"/>
      <c r="C851" s="3"/>
      <c r="D851" s="4"/>
      <c r="E851" s="5"/>
      <c r="F851" s="2"/>
      <c r="G851" s="6"/>
      <c r="H851" s="4"/>
      <c r="I851" s="2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2"/>
      <c r="C852" s="3"/>
      <c r="D852" s="4"/>
      <c r="E852" s="5"/>
      <c r="F852" s="2"/>
      <c r="G852" s="6"/>
      <c r="H852" s="4"/>
      <c r="I852" s="2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2"/>
      <c r="C853" s="3"/>
      <c r="D853" s="4"/>
      <c r="E853" s="5"/>
      <c r="F853" s="2"/>
      <c r="G853" s="6"/>
      <c r="H853" s="4"/>
      <c r="I853" s="2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2"/>
      <c r="C854" s="3"/>
      <c r="D854" s="4"/>
      <c r="E854" s="5"/>
      <c r="F854" s="2"/>
      <c r="G854" s="6"/>
      <c r="H854" s="4"/>
      <c r="I854" s="2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2"/>
      <c r="C855" s="3"/>
      <c r="D855" s="4"/>
      <c r="E855" s="5"/>
      <c r="F855" s="2"/>
      <c r="G855" s="6"/>
      <c r="H855" s="4"/>
      <c r="I855" s="2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2"/>
      <c r="C856" s="3"/>
      <c r="D856" s="4"/>
      <c r="E856" s="5"/>
      <c r="F856" s="2"/>
      <c r="G856" s="6"/>
      <c r="H856" s="4"/>
      <c r="I856" s="2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2"/>
      <c r="C857" s="3"/>
      <c r="D857" s="4"/>
      <c r="E857" s="5"/>
      <c r="F857" s="2"/>
      <c r="G857" s="6"/>
      <c r="H857" s="4"/>
      <c r="I857" s="2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2"/>
      <c r="C858" s="3"/>
      <c r="D858" s="4"/>
      <c r="E858" s="5"/>
      <c r="F858" s="2"/>
      <c r="G858" s="6"/>
      <c r="H858" s="4"/>
      <c r="I858" s="2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2"/>
      <c r="C859" s="3"/>
      <c r="D859" s="4"/>
      <c r="E859" s="5"/>
      <c r="F859" s="2"/>
      <c r="G859" s="6"/>
      <c r="H859" s="4"/>
      <c r="I859" s="2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2"/>
      <c r="C860" s="3"/>
      <c r="D860" s="4"/>
      <c r="E860" s="5"/>
      <c r="F860" s="2"/>
      <c r="G860" s="6"/>
      <c r="H860" s="4"/>
      <c r="I860" s="2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2"/>
      <c r="C861" s="3"/>
      <c r="D861" s="4"/>
      <c r="E861" s="5"/>
      <c r="F861" s="2"/>
      <c r="G861" s="6"/>
      <c r="H861" s="4"/>
      <c r="I861" s="2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2"/>
      <c r="C862" s="3"/>
      <c r="D862" s="4"/>
      <c r="E862" s="5"/>
      <c r="F862" s="2"/>
      <c r="G862" s="6"/>
      <c r="H862" s="4"/>
      <c r="I862" s="2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2"/>
      <c r="C863" s="3"/>
      <c r="D863" s="4"/>
      <c r="E863" s="5"/>
      <c r="F863" s="2"/>
      <c r="G863" s="6"/>
      <c r="H863" s="4"/>
      <c r="I863" s="2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2"/>
      <c r="C864" s="3"/>
      <c r="D864" s="4"/>
      <c r="E864" s="5"/>
      <c r="F864" s="2"/>
      <c r="G864" s="6"/>
      <c r="H864" s="4"/>
      <c r="I864" s="2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2"/>
      <c r="C865" s="3"/>
      <c r="D865" s="4"/>
      <c r="E865" s="5"/>
      <c r="F865" s="2"/>
      <c r="G865" s="6"/>
      <c r="H865" s="4"/>
      <c r="I865" s="2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2"/>
      <c r="C866" s="3"/>
      <c r="D866" s="4"/>
      <c r="E866" s="5"/>
      <c r="F866" s="2"/>
      <c r="G866" s="6"/>
      <c r="H866" s="4"/>
      <c r="I866" s="2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2"/>
      <c r="C867" s="3"/>
      <c r="D867" s="4"/>
      <c r="E867" s="5"/>
      <c r="F867" s="2"/>
      <c r="G867" s="6"/>
      <c r="H867" s="4"/>
      <c r="I867" s="2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2"/>
      <c r="C868" s="3"/>
      <c r="D868" s="4"/>
      <c r="E868" s="5"/>
      <c r="F868" s="2"/>
      <c r="G868" s="6"/>
      <c r="H868" s="4"/>
      <c r="I868" s="2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2"/>
      <c r="C869" s="3"/>
      <c r="D869" s="4"/>
      <c r="E869" s="5"/>
      <c r="F869" s="2"/>
      <c r="G869" s="6"/>
      <c r="H869" s="4"/>
      <c r="I869" s="2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2"/>
      <c r="C870" s="3"/>
      <c r="D870" s="4"/>
      <c r="E870" s="5"/>
      <c r="F870" s="2"/>
      <c r="G870" s="6"/>
      <c r="H870" s="4"/>
      <c r="I870" s="2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2"/>
      <c r="C871" s="3"/>
      <c r="D871" s="4"/>
      <c r="E871" s="5"/>
      <c r="F871" s="2"/>
      <c r="G871" s="6"/>
      <c r="H871" s="4"/>
      <c r="I871" s="2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2"/>
      <c r="C872" s="3"/>
      <c r="D872" s="4"/>
      <c r="E872" s="5"/>
      <c r="F872" s="2"/>
      <c r="G872" s="6"/>
      <c r="H872" s="4"/>
      <c r="I872" s="2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2"/>
      <c r="C873" s="3"/>
      <c r="D873" s="4"/>
      <c r="E873" s="5"/>
      <c r="F873" s="2"/>
      <c r="G873" s="6"/>
      <c r="H873" s="4"/>
      <c r="I873" s="2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2"/>
      <c r="C874" s="3"/>
      <c r="D874" s="4"/>
      <c r="E874" s="5"/>
      <c r="F874" s="2"/>
      <c r="G874" s="6"/>
      <c r="H874" s="4"/>
      <c r="I874" s="2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2"/>
      <c r="C875" s="3"/>
      <c r="D875" s="4"/>
      <c r="E875" s="5"/>
      <c r="F875" s="2"/>
      <c r="G875" s="6"/>
      <c r="H875" s="4"/>
      <c r="I875" s="2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2"/>
      <c r="C876" s="3"/>
      <c r="D876" s="4"/>
      <c r="E876" s="5"/>
      <c r="F876" s="2"/>
      <c r="G876" s="6"/>
      <c r="H876" s="4"/>
      <c r="I876" s="2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2"/>
      <c r="C877" s="3"/>
      <c r="D877" s="4"/>
      <c r="E877" s="5"/>
      <c r="F877" s="2"/>
      <c r="G877" s="6"/>
      <c r="H877" s="4"/>
      <c r="I877" s="2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2"/>
      <c r="C878" s="3"/>
      <c r="D878" s="4"/>
      <c r="E878" s="5"/>
      <c r="F878" s="2"/>
      <c r="G878" s="6"/>
      <c r="H878" s="4"/>
      <c r="I878" s="2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2"/>
      <c r="C879" s="3"/>
      <c r="D879" s="4"/>
      <c r="E879" s="5"/>
      <c r="F879" s="2"/>
      <c r="G879" s="6"/>
      <c r="H879" s="4"/>
      <c r="I879" s="2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2"/>
      <c r="C880" s="3"/>
      <c r="D880" s="4"/>
      <c r="E880" s="5"/>
      <c r="F880" s="2"/>
      <c r="G880" s="6"/>
      <c r="H880" s="4"/>
      <c r="I880" s="2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2"/>
      <c r="C881" s="3"/>
      <c r="D881" s="4"/>
      <c r="E881" s="5"/>
      <c r="F881" s="2"/>
      <c r="G881" s="6"/>
      <c r="H881" s="4"/>
      <c r="I881" s="2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2"/>
      <c r="C882" s="3"/>
      <c r="D882" s="4"/>
      <c r="E882" s="5"/>
      <c r="F882" s="2"/>
      <c r="G882" s="6"/>
      <c r="H882" s="4"/>
      <c r="I882" s="2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2"/>
      <c r="C883" s="3"/>
      <c r="D883" s="4"/>
      <c r="E883" s="5"/>
      <c r="F883" s="2"/>
      <c r="G883" s="6"/>
      <c r="H883" s="4"/>
      <c r="I883" s="2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2"/>
      <c r="C884" s="3"/>
      <c r="D884" s="4"/>
      <c r="E884" s="5"/>
      <c r="F884" s="2"/>
      <c r="G884" s="6"/>
      <c r="H884" s="4"/>
      <c r="I884" s="2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2"/>
      <c r="C885" s="3"/>
      <c r="D885" s="4"/>
      <c r="E885" s="5"/>
      <c r="F885" s="2"/>
      <c r="G885" s="6"/>
      <c r="H885" s="4"/>
      <c r="I885" s="2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2"/>
      <c r="C886" s="3"/>
      <c r="D886" s="4"/>
      <c r="E886" s="5"/>
      <c r="F886" s="2"/>
      <c r="G886" s="6"/>
      <c r="H886" s="4"/>
      <c r="I886" s="2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2"/>
      <c r="C887" s="3"/>
      <c r="D887" s="4"/>
      <c r="E887" s="5"/>
      <c r="F887" s="2"/>
      <c r="G887" s="6"/>
      <c r="H887" s="4"/>
      <c r="I887" s="2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2"/>
      <c r="C888" s="3"/>
      <c r="D888" s="4"/>
      <c r="E888" s="5"/>
      <c r="F888" s="2"/>
      <c r="G888" s="6"/>
      <c r="H888" s="4"/>
      <c r="I888" s="2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2"/>
      <c r="C889" s="3"/>
      <c r="D889" s="4"/>
      <c r="E889" s="5"/>
      <c r="F889" s="2"/>
      <c r="G889" s="6"/>
      <c r="H889" s="4"/>
      <c r="I889" s="2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2"/>
      <c r="C890" s="3"/>
      <c r="D890" s="4"/>
      <c r="E890" s="5"/>
      <c r="F890" s="2"/>
      <c r="G890" s="6"/>
      <c r="H890" s="4"/>
      <c r="I890" s="2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2"/>
      <c r="C891" s="3"/>
      <c r="D891" s="4"/>
      <c r="E891" s="5"/>
      <c r="F891" s="2"/>
      <c r="G891" s="6"/>
      <c r="H891" s="4"/>
      <c r="I891" s="2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2"/>
      <c r="C892" s="3"/>
      <c r="D892" s="4"/>
      <c r="E892" s="5"/>
      <c r="F892" s="2"/>
      <c r="G892" s="6"/>
      <c r="H892" s="4"/>
      <c r="I892" s="2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2"/>
      <c r="C893" s="3"/>
      <c r="D893" s="4"/>
      <c r="E893" s="5"/>
      <c r="F893" s="2"/>
      <c r="G893" s="6"/>
      <c r="H893" s="4"/>
      <c r="I893" s="2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2"/>
      <c r="C894" s="3"/>
      <c r="D894" s="4"/>
      <c r="E894" s="5"/>
      <c r="F894" s="2"/>
      <c r="G894" s="6"/>
      <c r="H894" s="4"/>
      <c r="I894" s="2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2"/>
      <c r="C895" s="3"/>
      <c r="D895" s="4"/>
      <c r="E895" s="5"/>
      <c r="F895" s="2"/>
      <c r="G895" s="6"/>
      <c r="H895" s="4"/>
      <c r="I895" s="2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2"/>
      <c r="C896" s="3"/>
      <c r="D896" s="4"/>
      <c r="E896" s="5"/>
      <c r="F896" s="2"/>
      <c r="G896" s="6"/>
      <c r="H896" s="4"/>
      <c r="I896" s="2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2"/>
      <c r="C897" s="3"/>
      <c r="D897" s="4"/>
      <c r="E897" s="5"/>
      <c r="F897" s="2"/>
      <c r="G897" s="6"/>
      <c r="H897" s="4"/>
      <c r="I897" s="2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2"/>
      <c r="C898" s="3"/>
      <c r="D898" s="4"/>
      <c r="E898" s="5"/>
      <c r="F898" s="2"/>
      <c r="G898" s="6"/>
      <c r="H898" s="4"/>
      <c r="I898" s="2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2"/>
      <c r="C899" s="3"/>
      <c r="D899" s="4"/>
      <c r="E899" s="5"/>
      <c r="F899" s="2"/>
      <c r="G899" s="6"/>
      <c r="H899" s="4"/>
      <c r="I899" s="2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2"/>
      <c r="C900" s="3"/>
      <c r="D900" s="4"/>
      <c r="E900" s="5"/>
      <c r="F900" s="2"/>
      <c r="G900" s="6"/>
      <c r="H900" s="4"/>
      <c r="I900" s="2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2"/>
      <c r="C901" s="3"/>
      <c r="D901" s="4"/>
      <c r="E901" s="5"/>
      <c r="F901" s="2"/>
      <c r="G901" s="6"/>
      <c r="H901" s="4"/>
      <c r="I901" s="2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2"/>
      <c r="C902" s="3"/>
      <c r="D902" s="4"/>
      <c r="E902" s="5"/>
      <c r="F902" s="2"/>
      <c r="G902" s="6"/>
      <c r="H902" s="4"/>
      <c r="I902" s="2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2"/>
      <c r="C903" s="3"/>
      <c r="D903" s="4"/>
      <c r="E903" s="5"/>
      <c r="F903" s="2"/>
      <c r="G903" s="6"/>
      <c r="H903" s="4"/>
      <c r="I903" s="2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2"/>
      <c r="C904" s="3"/>
      <c r="D904" s="4"/>
      <c r="E904" s="5"/>
      <c r="F904" s="2"/>
      <c r="G904" s="6"/>
      <c r="H904" s="4"/>
      <c r="I904" s="2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2"/>
      <c r="C905" s="3"/>
      <c r="D905" s="4"/>
      <c r="E905" s="5"/>
      <c r="F905" s="2"/>
      <c r="G905" s="6"/>
      <c r="H905" s="4"/>
      <c r="I905" s="2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2"/>
      <c r="C906" s="3"/>
      <c r="D906" s="4"/>
      <c r="E906" s="5"/>
      <c r="F906" s="2"/>
      <c r="G906" s="6"/>
      <c r="H906" s="4"/>
      <c r="I906" s="2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2"/>
      <c r="C907" s="3"/>
      <c r="D907" s="4"/>
      <c r="E907" s="5"/>
      <c r="F907" s="2"/>
      <c r="G907" s="6"/>
      <c r="H907" s="4"/>
      <c r="I907" s="2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2"/>
      <c r="C908" s="3"/>
      <c r="D908" s="4"/>
      <c r="E908" s="5"/>
      <c r="F908" s="2"/>
      <c r="G908" s="6"/>
      <c r="H908" s="4"/>
      <c r="I908" s="2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2"/>
      <c r="C909" s="3"/>
      <c r="D909" s="4"/>
      <c r="E909" s="5"/>
      <c r="F909" s="2"/>
      <c r="G909" s="6"/>
      <c r="H909" s="4"/>
      <c r="I909" s="2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2"/>
      <c r="C910" s="3"/>
      <c r="D910" s="4"/>
      <c r="E910" s="5"/>
      <c r="F910" s="2"/>
      <c r="G910" s="6"/>
      <c r="H910" s="4"/>
      <c r="I910" s="2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2"/>
      <c r="C911" s="3"/>
      <c r="D911" s="4"/>
      <c r="E911" s="5"/>
      <c r="F911" s="2"/>
      <c r="G911" s="6"/>
      <c r="H911" s="4"/>
      <c r="I911" s="2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2"/>
      <c r="C912" s="3"/>
      <c r="D912" s="4"/>
      <c r="E912" s="5"/>
      <c r="F912" s="2"/>
      <c r="G912" s="6"/>
      <c r="H912" s="4"/>
      <c r="I912" s="2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2"/>
      <c r="C913" s="3"/>
      <c r="D913" s="4"/>
      <c r="E913" s="5"/>
      <c r="F913" s="2"/>
      <c r="G913" s="6"/>
      <c r="H913" s="4"/>
      <c r="I913" s="2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2"/>
      <c r="C914" s="3"/>
      <c r="D914" s="4"/>
      <c r="E914" s="5"/>
      <c r="F914" s="2"/>
      <c r="G914" s="6"/>
      <c r="H914" s="4"/>
      <c r="I914" s="2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2"/>
      <c r="C915" s="3"/>
      <c r="D915" s="4"/>
      <c r="E915" s="5"/>
      <c r="F915" s="2"/>
      <c r="G915" s="6"/>
      <c r="H915" s="4"/>
      <c r="I915" s="2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2"/>
      <c r="C916" s="3"/>
      <c r="D916" s="4"/>
      <c r="E916" s="5"/>
      <c r="F916" s="2"/>
      <c r="G916" s="6"/>
      <c r="H916" s="4"/>
      <c r="I916" s="2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2"/>
      <c r="C917" s="3"/>
      <c r="D917" s="4"/>
      <c r="E917" s="5"/>
      <c r="F917" s="2"/>
      <c r="G917" s="6"/>
      <c r="H917" s="4"/>
      <c r="I917" s="2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2"/>
      <c r="C918" s="3"/>
      <c r="D918" s="4"/>
      <c r="E918" s="5"/>
      <c r="F918" s="2"/>
      <c r="G918" s="6"/>
      <c r="H918" s="4"/>
      <c r="I918" s="2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2"/>
      <c r="C919" s="3"/>
      <c r="D919" s="4"/>
      <c r="E919" s="5"/>
      <c r="F919" s="2"/>
      <c r="G919" s="6"/>
      <c r="H919" s="4"/>
      <c r="I919" s="2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2"/>
      <c r="C920" s="3"/>
      <c r="D920" s="4"/>
      <c r="E920" s="5"/>
      <c r="F920" s="2"/>
      <c r="G920" s="6"/>
      <c r="H920" s="4"/>
      <c r="I920" s="2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2"/>
      <c r="C921" s="3"/>
      <c r="D921" s="4"/>
      <c r="E921" s="5"/>
      <c r="F921" s="2"/>
      <c r="G921" s="6"/>
      <c r="H921" s="4"/>
      <c r="I921" s="2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2"/>
      <c r="C922" s="3"/>
      <c r="D922" s="4"/>
      <c r="E922" s="5"/>
      <c r="F922" s="2"/>
      <c r="G922" s="6"/>
      <c r="H922" s="4"/>
      <c r="I922" s="2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2"/>
      <c r="C923" s="3"/>
      <c r="D923" s="4"/>
      <c r="E923" s="5"/>
      <c r="F923" s="2"/>
      <c r="G923" s="6"/>
      <c r="H923" s="4"/>
      <c r="I923" s="2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2"/>
      <c r="C924" s="3"/>
      <c r="D924" s="4"/>
      <c r="E924" s="5"/>
      <c r="F924" s="2"/>
      <c r="G924" s="6"/>
      <c r="H924" s="4"/>
      <c r="I924" s="2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2"/>
      <c r="C925" s="3"/>
      <c r="D925" s="4"/>
      <c r="E925" s="5"/>
      <c r="F925" s="2"/>
      <c r="G925" s="6"/>
      <c r="H925" s="4"/>
      <c r="I925" s="2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2"/>
      <c r="C926" s="3"/>
      <c r="D926" s="4"/>
      <c r="E926" s="5"/>
      <c r="F926" s="2"/>
      <c r="G926" s="6"/>
      <c r="H926" s="4"/>
      <c r="I926" s="2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2"/>
      <c r="C927" s="3"/>
      <c r="D927" s="4"/>
      <c r="E927" s="5"/>
      <c r="F927" s="2"/>
      <c r="G927" s="6"/>
      <c r="H927" s="4"/>
      <c r="I927" s="2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2"/>
      <c r="C928" s="3"/>
      <c r="D928" s="4"/>
      <c r="E928" s="5"/>
      <c r="F928" s="2"/>
      <c r="G928" s="6"/>
      <c r="H928" s="4"/>
      <c r="I928" s="2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2"/>
      <c r="C929" s="3"/>
      <c r="D929" s="4"/>
      <c r="E929" s="5"/>
      <c r="F929" s="2"/>
      <c r="G929" s="6"/>
      <c r="H929" s="4"/>
      <c r="I929" s="2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2"/>
      <c r="C930" s="3"/>
      <c r="D930" s="4"/>
      <c r="E930" s="5"/>
      <c r="F930" s="2"/>
      <c r="G930" s="6"/>
      <c r="H930" s="4"/>
      <c r="I930" s="2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2"/>
      <c r="C931" s="3"/>
      <c r="D931" s="4"/>
      <c r="E931" s="5"/>
      <c r="F931" s="2"/>
      <c r="G931" s="6"/>
      <c r="H931" s="4"/>
      <c r="I931" s="2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2"/>
      <c r="C932" s="3"/>
      <c r="D932" s="4"/>
      <c r="E932" s="5"/>
      <c r="F932" s="2"/>
      <c r="G932" s="6"/>
      <c r="H932" s="4"/>
      <c r="I932" s="2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2"/>
      <c r="C933" s="3"/>
      <c r="D933" s="4"/>
      <c r="E933" s="5"/>
      <c r="F933" s="2"/>
      <c r="G933" s="6"/>
      <c r="H933" s="4"/>
      <c r="I933" s="2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2"/>
      <c r="C934" s="3"/>
      <c r="D934" s="4"/>
      <c r="E934" s="5"/>
      <c r="F934" s="2"/>
      <c r="G934" s="6"/>
      <c r="H934" s="4"/>
      <c r="I934" s="2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2"/>
      <c r="C935" s="3"/>
      <c r="D935" s="4"/>
      <c r="E935" s="5"/>
      <c r="F935" s="2"/>
      <c r="G935" s="6"/>
      <c r="H935" s="4"/>
      <c r="I935" s="2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2"/>
      <c r="C936" s="3"/>
      <c r="D936" s="4"/>
      <c r="E936" s="5"/>
      <c r="F936" s="2"/>
      <c r="G936" s="6"/>
      <c r="H936" s="4"/>
      <c r="I936" s="2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2"/>
      <c r="C937" s="3"/>
      <c r="D937" s="4"/>
      <c r="E937" s="5"/>
      <c r="F937" s="2"/>
      <c r="G937" s="6"/>
      <c r="H937" s="4"/>
      <c r="I937" s="2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2"/>
      <c r="C938" s="3"/>
      <c r="D938" s="4"/>
      <c r="E938" s="5"/>
      <c r="F938" s="2"/>
      <c r="G938" s="6"/>
      <c r="H938" s="4"/>
      <c r="I938" s="2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2"/>
      <c r="C939" s="3"/>
      <c r="D939" s="4"/>
      <c r="E939" s="5"/>
      <c r="F939" s="2"/>
      <c r="G939" s="6"/>
      <c r="H939" s="4"/>
      <c r="I939" s="2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2"/>
      <c r="C940" s="3"/>
      <c r="D940" s="4"/>
      <c r="E940" s="5"/>
      <c r="F940" s="2"/>
      <c r="G940" s="6"/>
      <c r="H940" s="4"/>
      <c r="I940" s="2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2"/>
      <c r="C941" s="3"/>
      <c r="D941" s="4"/>
      <c r="E941" s="5"/>
      <c r="F941" s="2"/>
      <c r="G941" s="6"/>
      <c r="H941" s="4"/>
      <c r="I941" s="2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2"/>
      <c r="C942" s="3"/>
      <c r="D942" s="4"/>
      <c r="E942" s="5"/>
      <c r="F942" s="2"/>
      <c r="G942" s="6"/>
      <c r="H942" s="4"/>
      <c r="I942" s="2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2"/>
      <c r="C943" s="3"/>
      <c r="D943" s="4"/>
      <c r="E943" s="5"/>
      <c r="F943" s="2"/>
      <c r="G943" s="6"/>
      <c r="H943" s="4"/>
      <c r="I943" s="2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2"/>
      <c r="C944" s="3"/>
      <c r="D944" s="4"/>
      <c r="E944" s="5"/>
      <c r="F944" s="2"/>
      <c r="G944" s="6"/>
      <c r="H944" s="4"/>
      <c r="I944" s="2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2"/>
      <c r="C945" s="3"/>
      <c r="D945" s="4"/>
      <c r="E945" s="5"/>
      <c r="F945" s="2"/>
      <c r="G945" s="6"/>
      <c r="H945" s="4"/>
      <c r="I945" s="2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2"/>
      <c r="C946" s="3"/>
      <c r="D946" s="4"/>
      <c r="E946" s="5"/>
      <c r="F946" s="2"/>
      <c r="G946" s="6"/>
      <c r="H946" s="4"/>
      <c r="I946" s="2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2"/>
      <c r="C947" s="3"/>
      <c r="D947" s="4"/>
      <c r="E947" s="5"/>
      <c r="F947" s="2"/>
      <c r="G947" s="6"/>
      <c r="H947" s="4"/>
      <c r="I947" s="2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2"/>
      <c r="C948" s="3"/>
      <c r="D948" s="4"/>
      <c r="E948" s="5"/>
      <c r="F948" s="2"/>
      <c r="G948" s="6"/>
      <c r="H948" s="4"/>
      <c r="I948" s="2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2"/>
      <c r="C949" s="3"/>
      <c r="D949" s="4"/>
      <c r="E949" s="5"/>
      <c r="F949" s="2"/>
      <c r="G949" s="6"/>
      <c r="H949" s="4"/>
      <c r="I949" s="2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2"/>
      <c r="C950" s="3"/>
      <c r="D950" s="4"/>
      <c r="E950" s="5"/>
      <c r="F950" s="2"/>
      <c r="G950" s="6"/>
      <c r="H950" s="4"/>
      <c r="I950" s="2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2"/>
      <c r="C951" s="3"/>
      <c r="D951" s="4"/>
      <c r="E951" s="5"/>
      <c r="F951" s="2"/>
      <c r="G951" s="6"/>
      <c r="H951" s="4"/>
      <c r="I951" s="2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2"/>
      <c r="C952" s="3"/>
      <c r="D952" s="4"/>
      <c r="E952" s="5"/>
      <c r="F952" s="2"/>
      <c r="G952" s="6"/>
      <c r="H952" s="4"/>
      <c r="I952" s="2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2"/>
      <c r="C953" s="3"/>
      <c r="D953" s="4"/>
      <c r="E953" s="5"/>
      <c r="F953" s="2"/>
      <c r="G953" s="6"/>
      <c r="H953" s="4"/>
      <c r="I953" s="2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2"/>
      <c r="C954" s="3"/>
      <c r="D954" s="4"/>
      <c r="E954" s="5"/>
      <c r="F954" s="2"/>
      <c r="G954" s="6"/>
      <c r="H954" s="4"/>
      <c r="I954" s="2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2"/>
      <c r="C955" s="3"/>
      <c r="D955" s="4"/>
      <c r="E955" s="5"/>
      <c r="F955" s="2"/>
      <c r="G955" s="6"/>
      <c r="H955" s="4"/>
      <c r="I955" s="2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2"/>
      <c r="C956" s="3"/>
      <c r="D956" s="4"/>
      <c r="E956" s="5"/>
      <c r="F956" s="2"/>
      <c r="G956" s="6"/>
      <c r="H956" s="4"/>
      <c r="I956" s="2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2"/>
      <c r="C957" s="3"/>
      <c r="D957" s="4"/>
      <c r="E957" s="5"/>
      <c r="F957" s="2"/>
      <c r="G957" s="6"/>
      <c r="H957" s="4"/>
      <c r="I957" s="2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2"/>
      <c r="C958" s="3"/>
      <c r="D958" s="4"/>
      <c r="E958" s="5"/>
      <c r="F958" s="2"/>
      <c r="G958" s="6"/>
      <c r="H958" s="4"/>
      <c r="I958" s="2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2"/>
      <c r="C959" s="3"/>
      <c r="D959" s="4"/>
      <c r="E959" s="5"/>
      <c r="F959" s="2"/>
      <c r="G959" s="6"/>
      <c r="H959" s="4"/>
      <c r="I959" s="2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2"/>
      <c r="C960" s="3"/>
      <c r="D960" s="4"/>
      <c r="E960" s="5"/>
      <c r="F960" s="2"/>
      <c r="G960" s="6"/>
      <c r="H960" s="4"/>
      <c r="I960" s="2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2"/>
      <c r="C961" s="3"/>
      <c r="D961" s="4"/>
      <c r="E961" s="5"/>
      <c r="F961" s="2"/>
      <c r="G961" s="6"/>
      <c r="H961" s="4"/>
      <c r="I961" s="2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2"/>
      <c r="C962" s="3"/>
      <c r="D962" s="4"/>
      <c r="E962" s="5"/>
      <c r="F962" s="2"/>
      <c r="G962" s="6"/>
      <c r="H962" s="4"/>
      <c r="I962" s="2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2"/>
      <c r="C963" s="3"/>
      <c r="D963" s="4"/>
      <c r="E963" s="5"/>
      <c r="F963" s="2"/>
      <c r="G963" s="6"/>
      <c r="H963" s="4"/>
      <c r="I963" s="2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2"/>
      <c r="C964" s="3"/>
      <c r="D964" s="4"/>
      <c r="E964" s="5"/>
      <c r="F964" s="2"/>
      <c r="G964" s="6"/>
      <c r="H964" s="4"/>
      <c r="I964" s="2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2"/>
      <c r="C965" s="3"/>
      <c r="D965" s="4"/>
      <c r="E965" s="5"/>
      <c r="F965" s="2"/>
      <c r="G965" s="6"/>
      <c r="H965" s="4"/>
      <c r="I965" s="2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2"/>
      <c r="C966" s="3"/>
      <c r="D966" s="4"/>
      <c r="E966" s="5"/>
      <c r="F966" s="2"/>
      <c r="G966" s="6"/>
      <c r="H966" s="4"/>
      <c r="I966" s="2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2"/>
      <c r="C967" s="3"/>
      <c r="D967" s="4"/>
      <c r="E967" s="5"/>
      <c r="F967" s="2"/>
      <c r="G967" s="6"/>
      <c r="H967" s="4"/>
      <c r="I967" s="2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2"/>
      <c r="C968" s="3"/>
      <c r="D968" s="4"/>
      <c r="E968" s="5"/>
      <c r="F968" s="2"/>
      <c r="G968" s="6"/>
      <c r="H968" s="4"/>
      <c r="I968" s="2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2"/>
      <c r="C969" s="3"/>
      <c r="D969" s="4"/>
      <c r="E969" s="5"/>
      <c r="F969" s="2"/>
      <c r="G969" s="6"/>
      <c r="H969" s="4"/>
      <c r="I969" s="2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2"/>
      <c r="C970" s="3"/>
      <c r="D970" s="4"/>
      <c r="E970" s="5"/>
      <c r="F970" s="2"/>
      <c r="G970" s="6"/>
      <c r="H970" s="4"/>
      <c r="I970" s="2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2"/>
      <c r="C971" s="3"/>
      <c r="D971" s="4"/>
      <c r="E971" s="5"/>
      <c r="F971" s="2"/>
      <c r="G971" s="6"/>
      <c r="H971" s="4"/>
      <c r="I971" s="2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2"/>
      <c r="C972" s="3"/>
      <c r="D972" s="4"/>
      <c r="E972" s="5"/>
      <c r="F972" s="2"/>
      <c r="G972" s="6"/>
      <c r="H972" s="4"/>
      <c r="I972" s="2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2"/>
      <c r="C973" s="3"/>
      <c r="D973" s="4"/>
      <c r="E973" s="5"/>
      <c r="F973" s="2"/>
      <c r="G973" s="6"/>
      <c r="H973" s="4"/>
      <c r="I973" s="2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2"/>
      <c r="C974" s="3"/>
      <c r="D974" s="4"/>
      <c r="E974" s="5"/>
      <c r="F974" s="2"/>
      <c r="G974" s="6"/>
      <c r="H974" s="4"/>
      <c r="I974" s="2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2"/>
      <c r="C975" s="3"/>
      <c r="D975" s="4"/>
      <c r="E975" s="5"/>
      <c r="F975" s="2"/>
      <c r="G975" s="6"/>
      <c r="H975" s="4"/>
      <c r="I975" s="2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2"/>
      <c r="C976" s="3"/>
      <c r="D976" s="4"/>
      <c r="E976" s="5"/>
      <c r="F976" s="2"/>
      <c r="G976" s="6"/>
      <c r="H976" s="4"/>
      <c r="I976" s="2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2"/>
      <c r="C977" s="3"/>
      <c r="D977" s="4"/>
      <c r="E977" s="5"/>
      <c r="F977" s="2"/>
      <c r="G977" s="6"/>
      <c r="H977" s="4"/>
      <c r="I977" s="2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2"/>
      <c r="C978" s="3"/>
      <c r="D978" s="4"/>
      <c r="E978" s="5"/>
      <c r="F978" s="2"/>
      <c r="G978" s="6"/>
      <c r="H978" s="4"/>
      <c r="I978" s="2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2"/>
      <c r="C979" s="3"/>
      <c r="D979" s="4"/>
      <c r="E979" s="5"/>
      <c r="F979" s="2"/>
      <c r="G979" s="6"/>
      <c r="H979" s="4"/>
      <c r="I979" s="2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2"/>
      <c r="C980" s="3"/>
      <c r="D980" s="4"/>
      <c r="E980" s="5"/>
      <c r="F980" s="2"/>
      <c r="G980" s="6"/>
      <c r="H980" s="4"/>
      <c r="I980" s="2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2"/>
      <c r="C981" s="3"/>
      <c r="D981" s="4"/>
      <c r="E981" s="5"/>
      <c r="F981" s="2"/>
      <c r="G981" s="6"/>
      <c r="H981" s="4"/>
      <c r="I981" s="2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2"/>
      <c r="C982" s="3"/>
      <c r="D982" s="4"/>
      <c r="E982" s="5"/>
      <c r="F982" s="2"/>
      <c r="G982" s="6"/>
      <c r="H982" s="4"/>
      <c r="I982" s="2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2"/>
      <c r="C983" s="3"/>
      <c r="D983" s="4"/>
      <c r="E983" s="5"/>
      <c r="F983" s="2"/>
      <c r="G983" s="6"/>
      <c r="H983" s="4"/>
      <c r="I983" s="2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2"/>
      <c r="C984" s="3"/>
      <c r="D984" s="4"/>
      <c r="E984" s="5"/>
      <c r="F984" s="2"/>
      <c r="G984" s="6"/>
      <c r="H984" s="4"/>
      <c r="I984" s="2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2"/>
      <c r="C985" s="3"/>
      <c r="D985" s="4"/>
      <c r="E985" s="5"/>
      <c r="F985" s="2"/>
      <c r="G985" s="6"/>
      <c r="H985" s="4"/>
      <c r="I985" s="2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2"/>
      <c r="C986" s="3"/>
      <c r="D986" s="4"/>
      <c r="E986" s="5"/>
      <c r="F986" s="2"/>
      <c r="G986" s="6"/>
      <c r="H986" s="4"/>
      <c r="I986" s="2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2"/>
      <c r="C987" s="3"/>
      <c r="D987" s="4"/>
      <c r="E987" s="5"/>
      <c r="F987" s="2"/>
      <c r="G987" s="6"/>
      <c r="H987" s="4"/>
      <c r="I987" s="2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2"/>
      <c r="C988" s="3"/>
      <c r="D988" s="4"/>
      <c r="E988" s="5"/>
      <c r="F988" s="2"/>
      <c r="G988" s="6"/>
      <c r="H988" s="4"/>
      <c r="I988" s="2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2"/>
      <c r="C989" s="3"/>
      <c r="D989" s="4"/>
      <c r="E989" s="5"/>
      <c r="F989" s="2"/>
      <c r="G989" s="6"/>
      <c r="H989" s="4"/>
      <c r="I989" s="2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2"/>
      <c r="C990" s="3"/>
      <c r="D990" s="4"/>
      <c r="E990" s="5"/>
      <c r="F990" s="2"/>
      <c r="G990" s="6"/>
      <c r="H990" s="4"/>
      <c r="I990" s="2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2"/>
      <c r="C991" s="3"/>
      <c r="D991" s="4"/>
      <c r="E991" s="5"/>
      <c r="F991" s="2"/>
      <c r="G991" s="6"/>
      <c r="H991" s="4"/>
      <c r="I991" s="2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2"/>
      <c r="C992" s="3"/>
      <c r="D992" s="4"/>
      <c r="E992" s="5"/>
      <c r="F992" s="2"/>
      <c r="G992" s="6"/>
      <c r="H992" s="4"/>
      <c r="I992" s="2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2"/>
      <c r="C993" s="3"/>
      <c r="D993" s="4"/>
      <c r="E993" s="5"/>
      <c r="F993" s="2"/>
      <c r="G993" s="6"/>
      <c r="H993" s="4"/>
      <c r="I993" s="2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2"/>
      <c r="C994" s="3"/>
      <c r="D994" s="4"/>
      <c r="E994" s="5"/>
      <c r="F994" s="2"/>
      <c r="G994" s="6"/>
      <c r="H994" s="4"/>
      <c r="I994" s="2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2"/>
      <c r="C995" s="3"/>
      <c r="D995" s="4"/>
      <c r="E995" s="5"/>
      <c r="F995" s="2"/>
      <c r="G995" s="6"/>
      <c r="H995" s="4"/>
      <c r="I995" s="2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2"/>
      <c r="C996" s="3"/>
      <c r="D996" s="4"/>
      <c r="E996" s="5"/>
      <c r="F996" s="2"/>
      <c r="G996" s="6"/>
      <c r="H996" s="4"/>
      <c r="I996" s="2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2"/>
      <c r="C997" s="3"/>
      <c r="D997" s="4"/>
      <c r="E997" s="5"/>
      <c r="F997" s="2"/>
      <c r="G997" s="6"/>
      <c r="H997" s="4"/>
      <c r="I997" s="2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2"/>
      <c r="C998" s="3"/>
      <c r="D998" s="4"/>
      <c r="E998" s="5"/>
      <c r="F998" s="2"/>
      <c r="G998" s="6"/>
      <c r="H998" s="4"/>
      <c r="I998" s="2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2"/>
      <c r="C999" s="3"/>
      <c r="D999" s="4"/>
      <c r="E999" s="5"/>
      <c r="F999" s="2"/>
      <c r="G999" s="6"/>
      <c r="H999" s="4"/>
      <c r="I999" s="2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2"/>
      <c r="C1000" s="3"/>
      <c r="D1000" s="4"/>
      <c r="E1000" s="5"/>
      <c r="F1000" s="2"/>
      <c r="G1000" s="6"/>
      <c r="H1000" s="4"/>
      <c r="I1000" s="2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2"/>
      <c r="C1001" s="3"/>
      <c r="D1001" s="4"/>
      <c r="E1001" s="5"/>
      <c r="F1001" s="2"/>
      <c r="G1001" s="6"/>
      <c r="H1001" s="4"/>
      <c r="I1001" s="2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2"/>
      <c r="C1002" s="3"/>
      <c r="D1002" s="4"/>
      <c r="E1002" s="5"/>
      <c r="F1002" s="2"/>
      <c r="G1002" s="6"/>
      <c r="H1002" s="4"/>
      <c r="I1002" s="2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2"/>
      <c r="C1003" s="3"/>
      <c r="D1003" s="4"/>
      <c r="E1003" s="5"/>
      <c r="F1003" s="2"/>
      <c r="G1003" s="6"/>
      <c r="H1003" s="4"/>
      <c r="I1003" s="2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2"/>
      <c r="C1004" s="3"/>
      <c r="D1004" s="4"/>
      <c r="E1004" s="5"/>
      <c r="F1004" s="2"/>
      <c r="G1004" s="6"/>
      <c r="H1004" s="4"/>
      <c r="I1004" s="2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2"/>
      <c r="C1005" s="3"/>
      <c r="D1005" s="4"/>
      <c r="E1005" s="5"/>
      <c r="F1005" s="2"/>
      <c r="G1005" s="6"/>
      <c r="H1005" s="4"/>
      <c r="I1005" s="2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2"/>
      <c r="C1006" s="3"/>
      <c r="D1006" s="4"/>
      <c r="E1006" s="5"/>
      <c r="F1006" s="2"/>
      <c r="G1006" s="6"/>
      <c r="H1006" s="4"/>
      <c r="I1006" s="2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2"/>
      <c r="C1007" s="3"/>
      <c r="D1007" s="4"/>
      <c r="E1007" s="5"/>
      <c r="F1007" s="2"/>
      <c r="G1007" s="6"/>
      <c r="H1007" s="4"/>
      <c r="I1007" s="2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2"/>
      <c r="C1008" s="3"/>
      <c r="D1008" s="4"/>
      <c r="E1008" s="5"/>
      <c r="F1008" s="2"/>
      <c r="G1008" s="6"/>
      <c r="H1008" s="4"/>
      <c r="I1008" s="2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2"/>
      <c r="C1009" s="3"/>
      <c r="D1009" s="4"/>
      <c r="E1009" s="5"/>
      <c r="F1009" s="2"/>
      <c r="G1009" s="6"/>
      <c r="H1009" s="4"/>
      <c r="I1009" s="2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2"/>
      <c r="C1010" s="3"/>
      <c r="D1010" s="4"/>
      <c r="E1010" s="5"/>
      <c r="F1010" s="2"/>
      <c r="G1010" s="6"/>
      <c r="H1010" s="4"/>
      <c r="I1010" s="2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2"/>
      <c r="C1011" s="3"/>
      <c r="D1011" s="4"/>
      <c r="E1011" s="5"/>
      <c r="F1011" s="2"/>
      <c r="G1011" s="6"/>
      <c r="H1011" s="4"/>
      <c r="I1011" s="2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2"/>
      <c r="C1012" s="3"/>
      <c r="D1012" s="4"/>
      <c r="E1012" s="5"/>
      <c r="F1012" s="2"/>
      <c r="G1012" s="6"/>
      <c r="H1012" s="4"/>
      <c r="I1012" s="2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2"/>
      <c r="C1013" s="3"/>
      <c r="D1013" s="4"/>
      <c r="E1013" s="5"/>
      <c r="F1013" s="2"/>
      <c r="G1013" s="6"/>
      <c r="H1013" s="4"/>
      <c r="I1013" s="2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2"/>
      <c r="C1014" s="3"/>
      <c r="D1014" s="4"/>
      <c r="E1014" s="5"/>
      <c r="F1014" s="2"/>
      <c r="G1014" s="6"/>
      <c r="H1014" s="4"/>
      <c r="I1014" s="2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2"/>
      <c r="C1015" s="3"/>
      <c r="D1015" s="4"/>
      <c r="E1015" s="5"/>
      <c r="F1015" s="2"/>
      <c r="G1015" s="6"/>
      <c r="H1015" s="4"/>
      <c r="I1015" s="2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2"/>
      <c r="C1016" s="3"/>
      <c r="D1016" s="4"/>
      <c r="E1016" s="5"/>
      <c r="F1016" s="2"/>
      <c r="G1016" s="6"/>
      <c r="H1016" s="4"/>
      <c r="I1016" s="2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2"/>
      <c r="C1017" s="3"/>
      <c r="D1017" s="4"/>
      <c r="E1017" s="5"/>
      <c r="F1017" s="2"/>
      <c r="G1017" s="6"/>
      <c r="H1017" s="4"/>
      <c r="I1017" s="2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2"/>
      <c r="C1018" s="3"/>
      <c r="D1018" s="4"/>
      <c r="E1018" s="5"/>
      <c r="F1018" s="2"/>
      <c r="G1018" s="6"/>
      <c r="H1018" s="4"/>
      <c r="I1018" s="2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2"/>
      <c r="C1019" s="3"/>
      <c r="D1019" s="4"/>
      <c r="E1019" s="5"/>
      <c r="F1019" s="2"/>
      <c r="G1019" s="6"/>
      <c r="H1019" s="4"/>
      <c r="I1019" s="2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2"/>
      <c r="C1020" s="3"/>
      <c r="D1020" s="4"/>
      <c r="E1020" s="5"/>
      <c r="F1020" s="2"/>
      <c r="G1020" s="6"/>
      <c r="H1020" s="4"/>
      <c r="I1020" s="2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2"/>
      <c r="C1021" s="3"/>
      <c r="D1021" s="4"/>
      <c r="E1021" s="5"/>
      <c r="F1021" s="2"/>
      <c r="G1021" s="6"/>
      <c r="H1021" s="4"/>
      <c r="I1021" s="2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2"/>
      <c r="C1022" s="3"/>
      <c r="D1022" s="4"/>
      <c r="E1022" s="5"/>
      <c r="F1022" s="2"/>
      <c r="G1022" s="6"/>
      <c r="H1022" s="4"/>
      <c r="I1022" s="2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2"/>
      <c r="C1023" s="3"/>
      <c r="D1023" s="4"/>
      <c r="E1023" s="5"/>
      <c r="F1023" s="2"/>
      <c r="G1023" s="6"/>
      <c r="H1023" s="4"/>
      <c r="I1023" s="2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/>
      <c r="B1024" s="2"/>
      <c r="C1024" s="3"/>
      <c r="D1024" s="4"/>
      <c r="E1024" s="5"/>
      <c r="F1024" s="2"/>
      <c r="G1024" s="6"/>
      <c r="H1024" s="4"/>
      <c r="I1024" s="2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5"/>
      <c r="B1025" s="2"/>
      <c r="C1025" s="3"/>
      <c r="D1025" s="4"/>
      <c r="E1025" s="5"/>
      <c r="F1025" s="2"/>
      <c r="G1025" s="6"/>
      <c r="H1025" s="4"/>
      <c r="I1025" s="2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5"/>
      <c r="B1026" s="2"/>
      <c r="C1026" s="3"/>
      <c r="D1026" s="4"/>
      <c r="E1026" s="5"/>
      <c r="F1026" s="2"/>
      <c r="G1026" s="6"/>
      <c r="H1026" s="4"/>
      <c r="I1026" s="2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5"/>
      <c r="B1027" s="2"/>
      <c r="C1027" s="3"/>
      <c r="D1027" s="4"/>
      <c r="E1027" s="5"/>
      <c r="F1027" s="2"/>
      <c r="G1027" s="6"/>
      <c r="H1027" s="4"/>
      <c r="I1027" s="2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5"/>
      <c r="B1028" s="2"/>
      <c r="C1028" s="3"/>
      <c r="D1028" s="4"/>
      <c r="E1028" s="5"/>
      <c r="F1028" s="2"/>
      <c r="G1028" s="6"/>
      <c r="H1028" s="4"/>
      <c r="I1028" s="2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5"/>
      <c r="B1029" s="2"/>
      <c r="C1029" s="3"/>
      <c r="D1029" s="4"/>
      <c r="E1029" s="5"/>
      <c r="F1029" s="2"/>
      <c r="G1029" s="6"/>
      <c r="H1029" s="4"/>
      <c r="I1029" s="2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5"/>
      <c r="B1030" s="2"/>
      <c r="C1030" s="3"/>
      <c r="D1030" s="4"/>
      <c r="E1030" s="5"/>
      <c r="F1030" s="2"/>
      <c r="G1030" s="6"/>
      <c r="H1030" s="4"/>
      <c r="I1030" s="2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5"/>
      <c r="B1031" s="2"/>
      <c r="C1031" s="3"/>
      <c r="D1031" s="4"/>
      <c r="E1031" s="5"/>
      <c r="F1031" s="2"/>
      <c r="G1031" s="6"/>
      <c r="H1031" s="4"/>
      <c r="I1031" s="2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5"/>
      <c r="B1032" s="2"/>
      <c r="C1032" s="3"/>
      <c r="D1032" s="4"/>
      <c r="E1032" s="5"/>
      <c r="F1032" s="2"/>
      <c r="G1032" s="6"/>
      <c r="H1032" s="4"/>
      <c r="I1032" s="2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5"/>
      <c r="B1033" s="2"/>
      <c r="C1033" s="3"/>
      <c r="D1033" s="4"/>
      <c r="E1033" s="5"/>
      <c r="F1033" s="2"/>
      <c r="G1033" s="6"/>
      <c r="H1033" s="4"/>
      <c r="I1033" s="2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5"/>
      <c r="B1034" s="2"/>
      <c r="C1034" s="3"/>
      <c r="D1034" s="4"/>
      <c r="E1034" s="5"/>
      <c r="F1034" s="2"/>
      <c r="G1034" s="6"/>
      <c r="H1034" s="4"/>
      <c r="I1034" s="2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5"/>
      <c r="B1035" s="2"/>
      <c r="C1035" s="3"/>
      <c r="D1035" s="4"/>
      <c r="E1035" s="5"/>
      <c r="F1035" s="2"/>
      <c r="G1035" s="6"/>
      <c r="H1035" s="4"/>
      <c r="I1035" s="2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5"/>
      <c r="B1036" s="2"/>
      <c r="C1036" s="3"/>
      <c r="D1036" s="4"/>
      <c r="E1036" s="5"/>
      <c r="F1036" s="2"/>
      <c r="G1036" s="6"/>
      <c r="H1036" s="4"/>
      <c r="I1036" s="2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5"/>
      <c r="B1037" s="2"/>
      <c r="C1037" s="3"/>
      <c r="D1037" s="4"/>
      <c r="E1037" s="5"/>
      <c r="F1037" s="2"/>
      <c r="G1037" s="6"/>
      <c r="H1037" s="4"/>
      <c r="I1037" s="2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5"/>
      <c r="B1038" s="2"/>
      <c r="C1038" s="3"/>
      <c r="D1038" s="4"/>
      <c r="E1038" s="5"/>
      <c r="F1038" s="2"/>
      <c r="G1038" s="6"/>
      <c r="H1038" s="4"/>
      <c r="I1038" s="2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5"/>
      <c r="B1039" s="2"/>
      <c r="C1039" s="3"/>
      <c r="D1039" s="4"/>
      <c r="E1039" s="5"/>
      <c r="F1039" s="2"/>
      <c r="G1039" s="6"/>
      <c r="H1039" s="4"/>
      <c r="I1039" s="2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5"/>
      <c r="B1040" s="2"/>
      <c r="C1040" s="3"/>
      <c r="D1040" s="4"/>
      <c r="E1040" s="5"/>
      <c r="F1040" s="2"/>
      <c r="G1040" s="6"/>
      <c r="H1040" s="4"/>
      <c r="I1040" s="2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5"/>
      <c r="B1041" s="2"/>
      <c r="C1041" s="3"/>
      <c r="D1041" s="4"/>
      <c r="E1041" s="5"/>
      <c r="F1041" s="2"/>
      <c r="G1041" s="6"/>
      <c r="H1041" s="4"/>
      <c r="I1041" s="2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5"/>
      <c r="B1042" s="2"/>
      <c r="C1042" s="3"/>
      <c r="D1042" s="4"/>
      <c r="E1042" s="5"/>
      <c r="F1042" s="2"/>
      <c r="G1042" s="6"/>
      <c r="H1042" s="4"/>
      <c r="I1042" s="2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5"/>
      <c r="B1043" s="2"/>
      <c r="C1043" s="3"/>
      <c r="D1043" s="4"/>
      <c r="E1043" s="5"/>
      <c r="F1043" s="2"/>
      <c r="G1043" s="6"/>
      <c r="H1043" s="4"/>
      <c r="I1043" s="2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5"/>
      <c r="B1044" s="2"/>
      <c r="C1044" s="3"/>
      <c r="D1044" s="4"/>
      <c r="E1044" s="5"/>
      <c r="F1044" s="2"/>
      <c r="G1044" s="6"/>
      <c r="H1044" s="4"/>
      <c r="I1044" s="2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5"/>
      <c r="B1045" s="2"/>
      <c r="C1045" s="3"/>
      <c r="D1045" s="4"/>
      <c r="E1045" s="5"/>
      <c r="F1045" s="2"/>
      <c r="G1045" s="6"/>
      <c r="H1045" s="4"/>
      <c r="I1045" s="2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5"/>
      <c r="B1046" s="2"/>
      <c r="C1046" s="3"/>
      <c r="D1046" s="4"/>
      <c r="E1046" s="5"/>
      <c r="F1046" s="2"/>
      <c r="G1046" s="6"/>
      <c r="H1046" s="4"/>
      <c r="I1046" s="2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5"/>
      <c r="B1047" s="2"/>
      <c r="C1047" s="3"/>
      <c r="D1047" s="4"/>
      <c r="E1047" s="5"/>
      <c r="F1047" s="2"/>
      <c r="G1047" s="6"/>
      <c r="H1047" s="4"/>
      <c r="I1047" s="2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5"/>
      <c r="B1048" s="2"/>
      <c r="C1048" s="3"/>
      <c r="D1048" s="4"/>
      <c r="E1048" s="5"/>
      <c r="F1048" s="2"/>
      <c r="G1048" s="6"/>
      <c r="H1048" s="4"/>
      <c r="I1048" s="2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5"/>
      <c r="B1049" s="2"/>
      <c r="C1049" s="3"/>
      <c r="D1049" s="4"/>
      <c r="E1049" s="5"/>
      <c r="F1049" s="2"/>
      <c r="G1049" s="6"/>
      <c r="H1049" s="4"/>
      <c r="I1049" s="2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5"/>
      <c r="B1050" s="2"/>
      <c r="C1050" s="3"/>
      <c r="D1050" s="4"/>
      <c r="E1050" s="5"/>
      <c r="F1050" s="2"/>
      <c r="G1050" s="6"/>
      <c r="H1050" s="4"/>
      <c r="I1050" s="2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5"/>
      <c r="B1051" s="2"/>
      <c r="C1051" s="3"/>
      <c r="D1051" s="4"/>
      <c r="E1051" s="5"/>
      <c r="F1051" s="2"/>
      <c r="G1051" s="6"/>
      <c r="H1051" s="4"/>
      <c r="I1051" s="2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5"/>
      <c r="B1052" s="2"/>
      <c r="C1052" s="3"/>
      <c r="D1052" s="4"/>
      <c r="E1052" s="5"/>
      <c r="F1052" s="2"/>
      <c r="G1052" s="6"/>
      <c r="H1052" s="4"/>
      <c r="I1052" s="2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5"/>
      <c r="B1053" s="2"/>
      <c r="C1053" s="3"/>
      <c r="D1053" s="4"/>
      <c r="E1053" s="5"/>
      <c r="F1053" s="2"/>
      <c r="G1053" s="6"/>
      <c r="H1053" s="4"/>
      <c r="I1053" s="2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5"/>
      <c r="B1054" s="2"/>
      <c r="C1054" s="3"/>
      <c r="D1054" s="4"/>
      <c r="E1054" s="5"/>
      <c r="F1054" s="2"/>
      <c r="G1054" s="6"/>
      <c r="H1054" s="4"/>
      <c r="I1054" s="2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5"/>
      <c r="B1055" s="2"/>
      <c r="C1055" s="3"/>
      <c r="D1055" s="4"/>
      <c r="E1055" s="5"/>
      <c r="F1055" s="2"/>
      <c r="G1055" s="6"/>
      <c r="H1055" s="4"/>
      <c r="I1055" s="2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5"/>
      <c r="B1056" s="2"/>
      <c r="C1056" s="3"/>
      <c r="D1056" s="4"/>
      <c r="E1056" s="5"/>
      <c r="F1056" s="2"/>
      <c r="G1056" s="6"/>
      <c r="H1056" s="4"/>
      <c r="I1056" s="2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5"/>
      <c r="B1057" s="2"/>
      <c r="C1057" s="3"/>
      <c r="D1057" s="4"/>
      <c r="E1057" s="5"/>
      <c r="F1057" s="2"/>
      <c r="G1057" s="6"/>
      <c r="H1057" s="4"/>
      <c r="I1057" s="2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5"/>
      <c r="B1058" s="2"/>
      <c r="C1058" s="3"/>
      <c r="D1058" s="4"/>
      <c r="E1058" s="5"/>
      <c r="F1058" s="2"/>
      <c r="G1058" s="6"/>
      <c r="H1058" s="4"/>
      <c r="I1058" s="2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</sheetData>
  <autoFilter ref="$B$5:$P$78">
    <filterColumn colId="7">
      <filters>
        <filter val="Completed"/>
        <filter val="In Progress"/>
      </filters>
    </filterColumn>
    <sortState ref="B5:P78">
      <sortCondition ref="G5:G78"/>
    </sortState>
  </autoFilter>
  <customSheetViews>
    <customSheetView guid="{3328504C-575E-4CD0-B39A-D5CD151BADBA}" filter="1" showAutoFilter="1">
      <autoFilter ref="$B$4:$P$78"/>
    </customSheetView>
  </customSheetViews>
  <mergeCells count="2">
    <mergeCell ref="E2:P2"/>
    <mergeCell ref="J4:O4"/>
  </mergeCells>
  <dataValidations>
    <dataValidation type="list" allowBlank="1" showErrorMessage="1" sqref="F6:F78">
      <formula1>"BVR,LVR,TAF"</formula1>
    </dataValidation>
    <dataValidation type="list" allowBlank="1" showErrorMessage="1" sqref="I6:I78">
      <formula1>"Inquiry,In Progress,Completed,Order SA,Awaiting Payment,Ordered Paramount,Branding,Didnt get job"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9.0"/>
    <col customWidth="1" min="3" max="3" width="21.88"/>
    <col customWidth="1" min="4" max="4" width="15.88"/>
    <col customWidth="1" min="6" max="6" width="14.63"/>
    <col customWidth="1" min="7" max="7" width="5.38"/>
    <col customWidth="1" min="8" max="8" width="6.38"/>
    <col customWidth="1" min="9" max="9" width="5.75"/>
    <col customWidth="1" min="10" max="10" width="5.38"/>
    <col customWidth="1" min="11" max="11" width="4.25"/>
    <col customWidth="1" min="12" max="12" width="4.63"/>
    <col customWidth="1" min="13" max="13" width="6.0"/>
    <col customWidth="1" min="14" max="14" width="6.5"/>
    <col customWidth="1" min="15" max="15" width="5.63"/>
    <col customWidth="1" min="16" max="16" width="5.0"/>
    <col customWidth="1" min="17" max="19" width="6.13"/>
    <col customWidth="1" min="20" max="20" width="4.75"/>
  </cols>
  <sheetData>
    <row r="1">
      <c r="A1" s="103" t="s">
        <v>1011</v>
      </c>
    </row>
    <row r="2">
      <c r="A2" s="104"/>
    </row>
    <row r="3">
      <c r="A3" s="103" t="s">
        <v>1142</v>
      </c>
      <c r="B3" s="55" t="s">
        <v>1143</v>
      </c>
      <c r="C3" s="55" t="s">
        <v>1144</v>
      </c>
      <c r="D3" s="105" t="s">
        <v>1145</v>
      </c>
      <c r="E3" s="55" t="s">
        <v>1089</v>
      </c>
      <c r="F3" s="55" t="s">
        <v>1146</v>
      </c>
      <c r="G3" s="55" t="s">
        <v>1147</v>
      </c>
    </row>
    <row r="4">
      <c r="A4" s="104"/>
    </row>
    <row r="5">
      <c r="A5" s="103" t="s">
        <v>1148</v>
      </c>
      <c r="B5" s="55" t="s">
        <v>1149</v>
      </c>
      <c r="C5" s="55" t="s">
        <v>1150</v>
      </c>
      <c r="E5" s="55">
        <v>2076.0</v>
      </c>
      <c r="F5" s="101">
        <f t="shared" ref="F5:F9" si="1">E5</f>
        <v>2076</v>
      </c>
      <c r="H5" s="101">
        <f>F5-G5</f>
        <v>2076</v>
      </c>
    </row>
    <row r="6">
      <c r="A6" s="104"/>
      <c r="B6" s="55">
        <v>75.0</v>
      </c>
      <c r="C6" s="55" t="s">
        <v>1151</v>
      </c>
      <c r="E6" s="55">
        <v>200.0</v>
      </c>
      <c r="F6" s="101">
        <f t="shared" si="1"/>
        <v>200</v>
      </c>
      <c r="H6" s="101">
        <f t="shared" ref="H6:H48" si="2">H5+F6-G6</f>
        <v>2276</v>
      </c>
    </row>
    <row r="7">
      <c r="A7" s="103" t="s">
        <v>1152</v>
      </c>
      <c r="B7" s="55" t="s">
        <v>2</v>
      </c>
      <c r="F7" s="101" t="str">
        <f t="shared" si="1"/>
        <v/>
      </c>
      <c r="G7" s="55">
        <v>600.0</v>
      </c>
      <c r="H7" s="101">
        <f t="shared" si="2"/>
        <v>1676</v>
      </c>
    </row>
    <row r="8">
      <c r="A8" s="106">
        <v>45539.0</v>
      </c>
      <c r="B8" s="55" t="s">
        <v>2</v>
      </c>
      <c r="F8" s="101" t="str">
        <f t="shared" si="1"/>
        <v/>
      </c>
      <c r="G8" s="55">
        <v>400.0</v>
      </c>
      <c r="H8" s="101">
        <f t="shared" si="2"/>
        <v>1276</v>
      </c>
    </row>
    <row r="9">
      <c r="A9" s="103" t="s">
        <v>1153</v>
      </c>
      <c r="B9" s="55" t="s">
        <v>1154</v>
      </c>
      <c r="C9" s="55" t="s">
        <v>505</v>
      </c>
      <c r="E9" s="55">
        <v>744.0</v>
      </c>
      <c r="F9" s="101">
        <f t="shared" si="1"/>
        <v>744</v>
      </c>
      <c r="H9" s="101">
        <f t="shared" si="2"/>
        <v>2020</v>
      </c>
    </row>
    <row r="10">
      <c r="A10" s="103" t="s">
        <v>1155</v>
      </c>
      <c r="B10" s="55" t="s">
        <v>2</v>
      </c>
      <c r="G10" s="55">
        <v>1000.0</v>
      </c>
      <c r="H10" s="101">
        <f t="shared" si="2"/>
        <v>1020</v>
      </c>
    </row>
    <row r="11">
      <c r="A11" s="103" t="s">
        <v>1156</v>
      </c>
      <c r="B11" s="55" t="s">
        <v>1157</v>
      </c>
      <c r="C11" s="55" t="s">
        <v>505</v>
      </c>
      <c r="E11" s="55">
        <v>798.0</v>
      </c>
      <c r="F11" s="101">
        <f t="shared" ref="F11:F18" si="3">E11</f>
        <v>798</v>
      </c>
      <c r="H11" s="101">
        <f t="shared" si="2"/>
        <v>1818</v>
      </c>
    </row>
    <row r="12">
      <c r="A12" s="104"/>
      <c r="B12" s="55">
        <v>91.0</v>
      </c>
      <c r="C12" s="55" t="s">
        <v>1158</v>
      </c>
      <c r="E12" s="55">
        <v>36.0</v>
      </c>
      <c r="F12" s="101">
        <f t="shared" si="3"/>
        <v>36</v>
      </c>
      <c r="H12" s="101">
        <f t="shared" si="2"/>
        <v>1854</v>
      </c>
    </row>
    <row r="13">
      <c r="A13" s="103" t="s">
        <v>1159</v>
      </c>
      <c r="B13" s="55" t="s">
        <v>2</v>
      </c>
      <c r="F13" s="101" t="str">
        <f t="shared" si="3"/>
        <v/>
      </c>
      <c r="G13" s="55">
        <v>1000.0</v>
      </c>
      <c r="H13" s="101">
        <f t="shared" si="2"/>
        <v>854</v>
      </c>
    </row>
    <row r="14">
      <c r="A14" s="103" t="s">
        <v>1159</v>
      </c>
      <c r="B14" s="55" t="s">
        <v>1160</v>
      </c>
      <c r="F14" s="101" t="str">
        <f t="shared" si="3"/>
        <v/>
      </c>
      <c r="G14" s="55">
        <v>200.0</v>
      </c>
      <c r="H14" s="101">
        <f t="shared" si="2"/>
        <v>654</v>
      </c>
    </row>
    <row r="15">
      <c r="A15" s="107">
        <v>45479.0</v>
      </c>
      <c r="B15" s="55" t="s">
        <v>1161</v>
      </c>
      <c r="F15" s="101" t="str">
        <f t="shared" si="3"/>
        <v/>
      </c>
      <c r="G15" s="55">
        <v>600.0</v>
      </c>
      <c r="H15" s="101">
        <f t="shared" si="2"/>
        <v>54</v>
      </c>
    </row>
    <row r="16">
      <c r="A16" s="107">
        <v>45571.0</v>
      </c>
      <c r="B16" s="55" t="s">
        <v>1161</v>
      </c>
      <c r="F16" s="101" t="str">
        <f t="shared" si="3"/>
        <v/>
      </c>
      <c r="G16" s="55">
        <v>55.0</v>
      </c>
      <c r="H16" s="101">
        <f t="shared" si="2"/>
        <v>-1</v>
      </c>
    </row>
    <row r="17">
      <c r="A17" s="104"/>
      <c r="B17" s="55" t="s">
        <v>1162</v>
      </c>
      <c r="C17" s="55" t="s">
        <v>1163</v>
      </c>
      <c r="E17" s="55">
        <v>646.0</v>
      </c>
      <c r="F17" s="101">
        <f t="shared" si="3"/>
        <v>646</v>
      </c>
      <c r="H17" s="101">
        <f t="shared" si="2"/>
        <v>645</v>
      </c>
    </row>
    <row r="18">
      <c r="A18" s="104"/>
      <c r="B18" s="55">
        <v>1.0</v>
      </c>
      <c r="C18" s="55" t="s">
        <v>1164</v>
      </c>
      <c r="E18" s="55">
        <v>70.0</v>
      </c>
      <c r="F18" s="101">
        <f t="shared" si="3"/>
        <v>70</v>
      </c>
      <c r="H18" s="101">
        <f t="shared" si="2"/>
        <v>715</v>
      </c>
    </row>
    <row r="19">
      <c r="A19" s="103" t="s">
        <v>1165</v>
      </c>
      <c r="B19" s="55" t="s">
        <v>1166</v>
      </c>
      <c r="C19" s="55"/>
      <c r="D19" s="55"/>
      <c r="E19" s="55"/>
      <c r="G19" s="55">
        <v>715.0</v>
      </c>
      <c r="H19" s="101">
        <f t="shared" si="2"/>
        <v>0</v>
      </c>
    </row>
    <row r="20">
      <c r="A20" s="107">
        <v>45330.0</v>
      </c>
      <c r="B20" s="55" t="s">
        <v>1167</v>
      </c>
      <c r="C20" s="55" t="s">
        <v>1168</v>
      </c>
      <c r="D20" s="55">
        <v>3.0</v>
      </c>
      <c r="E20" s="55">
        <v>1890.0</v>
      </c>
      <c r="F20" s="101">
        <f t="shared" ref="F20:F21" si="4">E20</f>
        <v>1890</v>
      </c>
      <c r="H20" s="101">
        <f t="shared" si="2"/>
        <v>1890</v>
      </c>
    </row>
    <row r="21">
      <c r="A21" s="104"/>
      <c r="B21" s="55">
        <v>4.0</v>
      </c>
      <c r="C21" s="55" t="s">
        <v>1169</v>
      </c>
      <c r="D21" s="55">
        <v>2.0</v>
      </c>
      <c r="E21" s="55">
        <v>36.0</v>
      </c>
      <c r="F21" s="101">
        <f t="shared" si="4"/>
        <v>36</v>
      </c>
      <c r="H21" s="101">
        <f t="shared" si="2"/>
        <v>1926</v>
      </c>
    </row>
    <row r="22">
      <c r="A22" s="107">
        <v>45420.0</v>
      </c>
      <c r="B22" s="55" t="s">
        <v>1166</v>
      </c>
      <c r="G22" s="55">
        <v>1925.0</v>
      </c>
      <c r="H22" s="101">
        <f t="shared" si="2"/>
        <v>1</v>
      </c>
    </row>
    <row r="23">
      <c r="A23" s="103" t="s">
        <v>1170</v>
      </c>
      <c r="B23" s="55" t="s">
        <v>1171</v>
      </c>
      <c r="C23" s="55" t="s">
        <v>1172</v>
      </c>
      <c r="F23" s="101" t="str">
        <f t="shared" ref="F23:F39" si="5">E23</f>
        <v/>
      </c>
      <c r="G23" s="55">
        <v>1000.0</v>
      </c>
      <c r="H23" s="101">
        <f t="shared" si="2"/>
        <v>-999</v>
      </c>
    </row>
    <row r="24">
      <c r="A24" s="103" t="s">
        <v>1173</v>
      </c>
      <c r="B24" s="55" t="s">
        <v>1174</v>
      </c>
      <c r="C24" s="55" t="s">
        <v>277</v>
      </c>
      <c r="D24" s="55">
        <v>3.0</v>
      </c>
      <c r="E24" s="55">
        <v>732.0</v>
      </c>
      <c r="F24" s="101">
        <f t="shared" si="5"/>
        <v>732</v>
      </c>
      <c r="H24" s="101">
        <f t="shared" si="2"/>
        <v>-267</v>
      </c>
    </row>
    <row r="25">
      <c r="A25" s="104"/>
      <c r="B25" s="55" t="s">
        <v>1175</v>
      </c>
      <c r="C25" s="55" t="s">
        <v>1176</v>
      </c>
      <c r="D25" s="55">
        <v>2.0</v>
      </c>
      <c r="E25" s="55">
        <v>138.0</v>
      </c>
      <c r="F25" s="101">
        <f t="shared" si="5"/>
        <v>138</v>
      </c>
      <c r="H25" s="101">
        <f t="shared" si="2"/>
        <v>-129</v>
      </c>
    </row>
    <row r="26">
      <c r="A26" s="103" t="s">
        <v>1177</v>
      </c>
      <c r="B26" s="55" t="s">
        <v>1178</v>
      </c>
      <c r="F26" s="101" t="str">
        <f t="shared" si="5"/>
        <v/>
      </c>
      <c r="G26" s="55">
        <v>500.0</v>
      </c>
      <c r="H26" s="101">
        <f t="shared" si="2"/>
        <v>-629</v>
      </c>
    </row>
    <row r="27">
      <c r="A27" s="103" t="s">
        <v>1179</v>
      </c>
      <c r="B27" s="55" t="s">
        <v>1180</v>
      </c>
      <c r="F27" s="101" t="str">
        <f t="shared" si="5"/>
        <v/>
      </c>
      <c r="G27" s="55">
        <v>500.0</v>
      </c>
      <c r="H27" s="101">
        <f t="shared" si="2"/>
        <v>-1129</v>
      </c>
    </row>
    <row r="28">
      <c r="A28" s="103" t="s">
        <v>1181</v>
      </c>
      <c r="B28" s="55">
        <v>26.0</v>
      </c>
      <c r="C28" s="55" t="s">
        <v>1176</v>
      </c>
      <c r="F28" s="101" t="str">
        <f t="shared" si="5"/>
        <v/>
      </c>
      <c r="H28" s="101">
        <f t="shared" si="2"/>
        <v>-1129</v>
      </c>
    </row>
    <row r="29">
      <c r="A29" s="103" t="s">
        <v>1182</v>
      </c>
      <c r="B29" s="55" t="s">
        <v>1183</v>
      </c>
      <c r="C29" s="55" t="s">
        <v>85</v>
      </c>
      <c r="D29" s="55">
        <v>1.0</v>
      </c>
      <c r="E29" s="55">
        <v>2488.0</v>
      </c>
      <c r="F29" s="101">
        <f t="shared" si="5"/>
        <v>2488</v>
      </c>
      <c r="H29" s="101">
        <f t="shared" si="2"/>
        <v>1359</v>
      </c>
    </row>
    <row r="30">
      <c r="A30" s="103" t="s">
        <v>1184</v>
      </c>
      <c r="B30" s="55">
        <v>24.0</v>
      </c>
      <c r="C30" s="55" t="s">
        <v>1185</v>
      </c>
      <c r="D30" s="55">
        <v>1.0</v>
      </c>
      <c r="E30" s="55">
        <v>60.0</v>
      </c>
      <c r="F30" s="101">
        <f t="shared" si="5"/>
        <v>60</v>
      </c>
      <c r="H30" s="101">
        <f t="shared" si="2"/>
        <v>1419</v>
      </c>
    </row>
    <row r="31">
      <c r="A31" s="104"/>
      <c r="B31" s="55" t="s">
        <v>1186</v>
      </c>
      <c r="C31" s="55" t="s">
        <v>1176</v>
      </c>
      <c r="D31" s="55">
        <v>2.0</v>
      </c>
      <c r="E31" s="55">
        <v>100.0</v>
      </c>
      <c r="F31" s="101">
        <f t="shared" si="5"/>
        <v>100</v>
      </c>
      <c r="H31" s="101">
        <f t="shared" si="2"/>
        <v>1519</v>
      </c>
    </row>
    <row r="32">
      <c r="A32" s="104"/>
      <c r="C32" s="55" t="s">
        <v>1187</v>
      </c>
      <c r="E32" s="55">
        <v>49.5</v>
      </c>
      <c r="F32" s="101">
        <f t="shared" si="5"/>
        <v>49.5</v>
      </c>
      <c r="H32" s="101">
        <f t="shared" si="2"/>
        <v>1568.5</v>
      </c>
    </row>
    <row r="33">
      <c r="A33" s="107">
        <v>45757.0</v>
      </c>
      <c r="B33" s="55" t="s">
        <v>1188</v>
      </c>
      <c r="F33" s="101" t="str">
        <f t="shared" si="5"/>
        <v/>
      </c>
      <c r="G33" s="55">
        <v>1000.0</v>
      </c>
      <c r="H33" s="101">
        <f t="shared" si="2"/>
        <v>568.5</v>
      </c>
    </row>
    <row r="34">
      <c r="A34" s="107">
        <v>45575.0</v>
      </c>
      <c r="B34" s="55" t="s">
        <v>1189</v>
      </c>
      <c r="C34" s="55" t="s">
        <v>1190</v>
      </c>
      <c r="D34" s="55">
        <v>1.0</v>
      </c>
      <c r="E34" s="55">
        <v>1637.0</v>
      </c>
      <c r="F34" s="101">
        <f t="shared" si="5"/>
        <v>1637</v>
      </c>
      <c r="H34" s="101">
        <f t="shared" si="2"/>
        <v>2205.5</v>
      </c>
    </row>
    <row r="35">
      <c r="A35" s="107">
        <v>45636.0</v>
      </c>
      <c r="B35" s="55" t="s">
        <v>1191</v>
      </c>
      <c r="F35" s="101" t="str">
        <f t="shared" si="5"/>
        <v/>
      </c>
      <c r="G35" s="55">
        <v>500.0</v>
      </c>
      <c r="H35" s="101">
        <f t="shared" si="2"/>
        <v>1705.5</v>
      </c>
    </row>
    <row r="36">
      <c r="A36" s="104"/>
      <c r="B36" s="55" t="s">
        <v>1192</v>
      </c>
      <c r="C36" s="55" t="s">
        <v>1190</v>
      </c>
      <c r="D36" s="55">
        <v>1.0</v>
      </c>
      <c r="E36" s="55">
        <v>911.0</v>
      </c>
      <c r="F36" s="101">
        <f t="shared" si="5"/>
        <v>911</v>
      </c>
      <c r="H36" s="101">
        <f t="shared" si="2"/>
        <v>2616.5</v>
      </c>
    </row>
    <row r="37">
      <c r="A37" s="103" t="s">
        <v>1193</v>
      </c>
      <c r="B37" s="55">
        <v>31.0</v>
      </c>
      <c r="C37" s="55" t="s">
        <v>1176</v>
      </c>
      <c r="D37" s="55">
        <v>2.0</v>
      </c>
      <c r="E37" s="55">
        <v>16.0</v>
      </c>
      <c r="F37" s="101">
        <f t="shared" si="5"/>
        <v>16</v>
      </c>
      <c r="H37" s="101">
        <f t="shared" si="2"/>
        <v>2632.5</v>
      </c>
    </row>
    <row r="38">
      <c r="A38" s="104"/>
      <c r="B38" s="55">
        <v>36.0</v>
      </c>
      <c r="C38" s="55" t="s">
        <v>1194</v>
      </c>
      <c r="D38" s="55">
        <v>3.0</v>
      </c>
      <c r="E38" s="55">
        <v>600.0</v>
      </c>
      <c r="F38" s="101">
        <f t="shared" si="5"/>
        <v>600</v>
      </c>
      <c r="H38" s="101">
        <f t="shared" si="2"/>
        <v>3232.5</v>
      </c>
    </row>
    <row r="39">
      <c r="A39" s="104"/>
      <c r="B39" s="55">
        <v>40.0</v>
      </c>
      <c r="C39" s="55" t="s">
        <v>1195</v>
      </c>
      <c r="D39" s="55">
        <v>4.0</v>
      </c>
      <c r="E39" s="55">
        <v>420.0</v>
      </c>
      <c r="F39" s="101">
        <f t="shared" si="5"/>
        <v>420</v>
      </c>
      <c r="H39" s="101">
        <f t="shared" si="2"/>
        <v>3652.5</v>
      </c>
    </row>
    <row r="40">
      <c r="A40" s="104"/>
      <c r="B40" s="55">
        <v>45.0</v>
      </c>
      <c r="C40" s="55" t="s">
        <v>277</v>
      </c>
      <c r="D40" s="55">
        <v>3.0</v>
      </c>
      <c r="E40" s="55">
        <v>126.0</v>
      </c>
      <c r="H40" s="101">
        <f t="shared" si="2"/>
        <v>3652.5</v>
      </c>
    </row>
    <row r="41">
      <c r="A41" s="103" t="s">
        <v>1196</v>
      </c>
      <c r="B41" s="55" t="s">
        <v>1197</v>
      </c>
      <c r="F41" s="101" t="str">
        <f t="shared" ref="F41:F52" si="6">E41</f>
        <v/>
      </c>
      <c r="G41" s="55">
        <v>1000.0</v>
      </c>
      <c r="H41" s="101">
        <f t="shared" si="2"/>
        <v>2652.5</v>
      </c>
    </row>
    <row r="42">
      <c r="A42" s="103" t="s">
        <v>1198</v>
      </c>
      <c r="B42" s="55" t="s">
        <v>1199</v>
      </c>
      <c r="C42" s="55" t="s">
        <v>1200</v>
      </c>
      <c r="D42" s="55">
        <v>2.2</v>
      </c>
      <c r="E42" s="55">
        <v>451.0</v>
      </c>
      <c r="F42" s="101">
        <f t="shared" si="6"/>
        <v>451</v>
      </c>
      <c r="H42" s="101">
        <f t="shared" si="2"/>
        <v>3103.5</v>
      </c>
    </row>
    <row r="43">
      <c r="A43" s="108"/>
      <c r="B43" s="109" t="s">
        <v>1201</v>
      </c>
      <c r="C43" s="109" t="s">
        <v>1202</v>
      </c>
      <c r="D43" s="109">
        <v>4.0</v>
      </c>
      <c r="E43" s="109">
        <v>1600.0</v>
      </c>
      <c r="F43" s="110">
        <f t="shared" si="6"/>
        <v>1600</v>
      </c>
      <c r="G43" s="110"/>
      <c r="H43" s="101">
        <f t="shared" si="2"/>
        <v>4703.5</v>
      </c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</row>
    <row r="44">
      <c r="A44" s="103" t="s">
        <v>1203</v>
      </c>
      <c r="B44" s="55" t="s">
        <v>1204</v>
      </c>
      <c r="C44" s="55" t="s">
        <v>277</v>
      </c>
      <c r="D44" s="55">
        <v>3.0</v>
      </c>
      <c r="E44" s="55">
        <v>258.0</v>
      </c>
      <c r="F44" s="101">
        <f t="shared" si="6"/>
        <v>258</v>
      </c>
      <c r="H44" s="101">
        <f t="shared" si="2"/>
        <v>4961.5</v>
      </c>
    </row>
    <row r="45">
      <c r="A45" s="104"/>
      <c r="B45" s="55" t="s">
        <v>1205</v>
      </c>
      <c r="C45" s="55" t="s">
        <v>1206</v>
      </c>
      <c r="D45" s="55">
        <v>2.0</v>
      </c>
      <c r="E45" s="55">
        <v>636.0</v>
      </c>
      <c r="F45" s="101">
        <f t="shared" si="6"/>
        <v>636</v>
      </c>
      <c r="H45" s="101">
        <f t="shared" si="2"/>
        <v>5597.5</v>
      </c>
    </row>
    <row r="46">
      <c r="A46" s="104"/>
      <c r="B46" s="55" t="s">
        <v>1207</v>
      </c>
      <c r="C46" s="55" t="s">
        <v>1176</v>
      </c>
      <c r="D46" s="55">
        <v>2.2</v>
      </c>
      <c r="E46" s="55">
        <v>228.8</v>
      </c>
      <c r="F46" s="101">
        <f t="shared" si="6"/>
        <v>228.8</v>
      </c>
      <c r="H46" s="101">
        <f t="shared" si="2"/>
        <v>5826.3</v>
      </c>
    </row>
    <row r="47">
      <c r="A47" s="104"/>
      <c r="C47" s="55" t="s">
        <v>1208</v>
      </c>
      <c r="F47" s="101" t="str">
        <f t="shared" si="6"/>
        <v/>
      </c>
      <c r="G47" s="55">
        <v>600.0</v>
      </c>
      <c r="H47" s="101">
        <f t="shared" si="2"/>
        <v>5226.3</v>
      </c>
    </row>
    <row r="48">
      <c r="A48" s="104"/>
      <c r="F48" s="101" t="str">
        <f t="shared" si="6"/>
        <v/>
      </c>
      <c r="H48" s="101">
        <f t="shared" si="2"/>
        <v>5226.3</v>
      </c>
    </row>
    <row r="49">
      <c r="A49" s="104"/>
      <c r="F49" s="101" t="str">
        <f t="shared" si="6"/>
        <v/>
      </c>
    </row>
    <row r="50">
      <c r="A50" s="104"/>
      <c r="F50" s="101" t="str">
        <f t="shared" si="6"/>
        <v/>
      </c>
    </row>
    <row r="51">
      <c r="A51" s="104"/>
      <c r="F51" s="101" t="str">
        <f t="shared" si="6"/>
        <v/>
      </c>
    </row>
    <row r="52">
      <c r="A52" s="104"/>
      <c r="F52" s="101" t="str">
        <f t="shared" si="6"/>
        <v/>
      </c>
    </row>
    <row r="53">
      <c r="A53" s="104"/>
    </row>
    <row r="54">
      <c r="A54" s="103" t="s">
        <v>1209</v>
      </c>
    </row>
    <row r="55">
      <c r="A55" s="104"/>
      <c r="F55" s="55" t="s">
        <v>1210</v>
      </c>
      <c r="G55" s="55" t="s">
        <v>1211</v>
      </c>
      <c r="H55" s="111">
        <v>45841.0</v>
      </c>
      <c r="I55" s="111">
        <v>45811.0</v>
      </c>
      <c r="J55" s="111">
        <v>45811.0</v>
      </c>
      <c r="K55" s="111">
        <v>45780.0</v>
      </c>
      <c r="L55" s="111">
        <v>45780.0</v>
      </c>
      <c r="M55" s="55" t="s">
        <v>1212</v>
      </c>
      <c r="N55" s="55" t="s">
        <v>1213</v>
      </c>
      <c r="O55" s="55" t="s">
        <v>1214</v>
      </c>
      <c r="P55" s="55" t="s">
        <v>1215</v>
      </c>
      <c r="Q55" s="55" t="s">
        <v>1216</v>
      </c>
      <c r="R55" s="111">
        <v>45718.0</v>
      </c>
      <c r="S55" s="55" t="s">
        <v>1217</v>
      </c>
      <c r="T55" s="55" t="s">
        <v>1218</v>
      </c>
      <c r="U55" s="55" t="s">
        <v>1219</v>
      </c>
    </row>
    <row r="56">
      <c r="A56" s="104"/>
    </row>
    <row r="57">
      <c r="A57" s="103" t="s">
        <v>1220</v>
      </c>
      <c r="B57" s="55" t="s">
        <v>1221</v>
      </c>
      <c r="C57" s="55" t="s">
        <v>1222</v>
      </c>
      <c r="D57" s="101">
        <f>54.7+56.7+54.5+56+55.2</f>
        <v>277.1</v>
      </c>
      <c r="F57" s="101">
        <f t="shared" ref="F57:F58" si="7">SUM(G57:T57)</f>
        <v>353</v>
      </c>
      <c r="K57" s="55">
        <v>11.0</v>
      </c>
      <c r="N57" s="55">
        <v>13.0</v>
      </c>
      <c r="Q57" s="55"/>
      <c r="R57" s="55">
        <v>266.0</v>
      </c>
      <c r="T57" s="55">
        <v>63.0</v>
      </c>
    </row>
    <row r="58">
      <c r="A58" s="104"/>
      <c r="C58" s="55" t="s">
        <v>1223</v>
      </c>
      <c r="D58" s="101">
        <f>140+140</f>
        <v>280</v>
      </c>
      <c r="F58" s="101">
        <f t="shared" si="7"/>
        <v>0</v>
      </c>
    </row>
    <row r="59">
      <c r="A59" s="112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</row>
    <row r="60">
      <c r="A60" s="103" t="s">
        <v>1224</v>
      </c>
      <c r="B60" s="55" t="s">
        <v>1225</v>
      </c>
      <c r="C60" s="55" t="s">
        <v>1226</v>
      </c>
      <c r="D60" s="101">
        <f>49.14+16.18</f>
        <v>65.32</v>
      </c>
      <c r="F60" s="101">
        <f t="shared" ref="F60:F62" si="8">SUM(G60:T60)</f>
        <v>0</v>
      </c>
      <c r="U60" s="55">
        <v>80.0</v>
      </c>
    </row>
    <row r="61">
      <c r="A61" s="104"/>
      <c r="B61" s="55" t="s">
        <v>1227</v>
      </c>
      <c r="C61" s="55" t="s">
        <v>1226</v>
      </c>
      <c r="D61" s="55">
        <v>8.0</v>
      </c>
      <c r="F61" s="101">
        <f t="shared" si="8"/>
        <v>41</v>
      </c>
      <c r="H61" s="55">
        <v>18.0</v>
      </c>
      <c r="I61" s="55">
        <v>23.0</v>
      </c>
    </row>
    <row r="62">
      <c r="A62" s="104"/>
      <c r="B62" s="55" t="s">
        <v>1227</v>
      </c>
      <c r="C62" s="55" t="s">
        <v>1228</v>
      </c>
      <c r="D62" s="55">
        <v>12.0</v>
      </c>
      <c r="F62" s="101">
        <f t="shared" si="8"/>
        <v>0</v>
      </c>
    </row>
    <row r="63">
      <c r="A63" s="112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</row>
    <row r="64">
      <c r="A64" s="103" t="s">
        <v>1229</v>
      </c>
      <c r="B64" s="55" t="s">
        <v>1230</v>
      </c>
      <c r="F64" s="101">
        <f>SUM(G64:T64)</f>
        <v>301</v>
      </c>
      <c r="H64" s="55">
        <v>64.0</v>
      </c>
      <c r="J64" s="55">
        <v>128.0</v>
      </c>
      <c r="L64" s="55">
        <v>30.0</v>
      </c>
      <c r="M64" s="55">
        <v>48.0</v>
      </c>
      <c r="Q64" s="55"/>
      <c r="R64" s="55">
        <v>31.0</v>
      </c>
    </row>
    <row r="65">
      <c r="A65" s="114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</row>
    <row r="66">
      <c r="A66" s="103" t="s">
        <v>1231</v>
      </c>
      <c r="B66" s="55" t="s">
        <v>1232</v>
      </c>
      <c r="D66" s="101">
        <f>61+50</f>
        <v>111</v>
      </c>
      <c r="F66" s="101">
        <f t="shared" ref="F66:F67" si="9">SUM(G66:T66)</f>
        <v>41</v>
      </c>
      <c r="L66" s="55">
        <v>21.0</v>
      </c>
      <c r="O66" s="55">
        <v>20.0</v>
      </c>
    </row>
    <row r="67">
      <c r="A67" s="104"/>
      <c r="B67" s="116" t="s">
        <v>1233</v>
      </c>
      <c r="C67" s="117"/>
      <c r="D67" s="116">
        <v>61.0</v>
      </c>
      <c r="F67" s="101">
        <f t="shared" si="9"/>
        <v>296</v>
      </c>
      <c r="G67" s="55">
        <v>60.0</v>
      </c>
      <c r="K67" s="55">
        <v>11.0</v>
      </c>
      <c r="N67" s="55">
        <v>45.0</v>
      </c>
      <c r="P67" s="55">
        <v>177.0</v>
      </c>
      <c r="Q67" s="55"/>
      <c r="R67" s="55">
        <v>3.0</v>
      </c>
    </row>
    <row r="68">
      <c r="A68" s="104"/>
    </row>
    <row r="69">
      <c r="A69" s="114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</row>
    <row r="70">
      <c r="A70" s="104"/>
    </row>
    <row r="71">
      <c r="A71" s="107">
        <v>45719.0</v>
      </c>
      <c r="B71" s="55" t="s">
        <v>1232</v>
      </c>
      <c r="C71" s="55" t="s">
        <v>1226</v>
      </c>
      <c r="D71" s="55">
        <v>48.6</v>
      </c>
      <c r="F71" s="101">
        <f t="shared" ref="F71:F73" si="10">SUM(G71:T71)</f>
        <v>0</v>
      </c>
    </row>
    <row r="72">
      <c r="A72" s="104"/>
      <c r="B72" s="55" t="s">
        <v>1232</v>
      </c>
      <c r="C72" s="55" t="s">
        <v>1234</v>
      </c>
      <c r="D72" s="55">
        <v>51.7</v>
      </c>
      <c r="F72" s="101">
        <f t="shared" si="10"/>
        <v>42</v>
      </c>
      <c r="K72" s="55">
        <v>8.0</v>
      </c>
      <c r="Q72" s="55">
        <v>34.0</v>
      </c>
    </row>
    <row r="73">
      <c r="A73" s="104"/>
      <c r="B73" s="55" t="s">
        <v>1232</v>
      </c>
      <c r="C73" s="55" t="s">
        <v>1235</v>
      </c>
      <c r="D73" s="55">
        <v>42.2</v>
      </c>
      <c r="F73" s="101">
        <f t="shared" si="10"/>
        <v>0</v>
      </c>
    </row>
    <row r="74">
      <c r="A74" s="114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</row>
    <row r="75">
      <c r="A75" s="107">
        <v>45750.0</v>
      </c>
      <c r="B75" s="55" t="s">
        <v>1232</v>
      </c>
      <c r="C75" s="55" t="s">
        <v>1226</v>
      </c>
      <c r="D75" s="55">
        <v>39.81</v>
      </c>
      <c r="F75" s="101">
        <f t="shared" ref="F75:F77" si="11">SUM(G75:T75)</f>
        <v>0</v>
      </c>
    </row>
    <row r="76">
      <c r="A76" s="104"/>
      <c r="B76" s="55" t="s">
        <v>1221</v>
      </c>
      <c r="C76" s="55" t="s">
        <v>1236</v>
      </c>
      <c r="F76" s="101">
        <f t="shared" si="11"/>
        <v>0</v>
      </c>
    </row>
    <row r="77">
      <c r="A77" s="104"/>
      <c r="B77" s="55" t="s">
        <v>1221</v>
      </c>
      <c r="C77" s="55" t="s">
        <v>1237</v>
      </c>
      <c r="D77" s="55">
        <v>10.0</v>
      </c>
      <c r="F77" s="101">
        <f t="shared" si="11"/>
        <v>0</v>
      </c>
    </row>
    <row r="78">
      <c r="A78" s="112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  <c r="AA78" s="113"/>
      <c r="AB78" s="113"/>
    </row>
    <row r="79">
      <c r="A79" s="104"/>
    </row>
    <row r="80">
      <c r="A80" s="103" t="s">
        <v>1211</v>
      </c>
      <c r="B80" s="118" t="s">
        <v>1233</v>
      </c>
      <c r="C80" s="118" t="s">
        <v>1234</v>
      </c>
      <c r="D80" s="118">
        <v>52.7</v>
      </c>
      <c r="F80" s="101">
        <f t="shared" ref="F80:F81" si="12">SUM(G80:T80)</f>
        <v>111</v>
      </c>
      <c r="Q80" s="55">
        <v>46.0</v>
      </c>
      <c r="R80" s="55"/>
      <c r="S80" s="55">
        <v>65.0</v>
      </c>
    </row>
    <row r="81">
      <c r="A81" s="104"/>
      <c r="C81" s="55" t="s">
        <v>1223</v>
      </c>
      <c r="D81" s="55">
        <v>80.0</v>
      </c>
      <c r="F81" s="101">
        <f t="shared" si="12"/>
        <v>0</v>
      </c>
    </row>
    <row r="82">
      <c r="A82" s="104"/>
    </row>
    <row r="83">
      <c r="A83" s="104"/>
    </row>
    <row r="84">
      <c r="A84" s="104"/>
    </row>
    <row r="85">
      <c r="A85" s="104"/>
    </row>
    <row r="86">
      <c r="A86" s="104"/>
    </row>
    <row r="87">
      <c r="A87" s="104"/>
    </row>
    <row r="88">
      <c r="A88" s="104"/>
    </row>
    <row r="89">
      <c r="A89" s="104"/>
    </row>
    <row r="90">
      <c r="A90" s="104"/>
    </row>
    <row r="91">
      <c r="A91" s="104"/>
    </row>
    <row r="92">
      <c r="A92" s="104"/>
    </row>
    <row r="93">
      <c r="A93" s="104"/>
    </row>
    <row r="94">
      <c r="A94" s="104"/>
    </row>
    <row r="95">
      <c r="A95" s="104"/>
    </row>
    <row r="96">
      <c r="A96" s="104"/>
    </row>
    <row r="97">
      <c r="A97" s="104"/>
    </row>
    <row r="98">
      <c r="A98" s="104"/>
    </row>
    <row r="99">
      <c r="A99" s="104"/>
    </row>
    <row r="100">
      <c r="A100" s="104"/>
    </row>
    <row r="101">
      <c r="A101" s="104"/>
    </row>
    <row r="102">
      <c r="A102" s="104"/>
    </row>
    <row r="103">
      <c r="A103" s="104"/>
    </row>
    <row r="104">
      <c r="A104" s="104"/>
    </row>
    <row r="105">
      <c r="A105" s="104"/>
    </row>
    <row r="106">
      <c r="A106" s="104"/>
    </row>
    <row r="107">
      <c r="A107" s="104"/>
    </row>
    <row r="108">
      <c r="A108" s="104"/>
    </row>
    <row r="109">
      <c r="A109" s="104"/>
    </row>
    <row r="110">
      <c r="A110" s="104"/>
    </row>
    <row r="111">
      <c r="A111" s="104"/>
    </row>
    <row r="112">
      <c r="A112" s="104"/>
    </row>
    <row r="113">
      <c r="A113" s="104"/>
    </row>
    <row r="114">
      <c r="A114" s="104"/>
    </row>
    <row r="115">
      <c r="A115" s="104"/>
    </row>
    <row r="116">
      <c r="A116" s="104"/>
    </row>
    <row r="117">
      <c r="A117" s="104"/>
    </row>
    <row r="118">
      <c r="A118" s="104"/>
    </row>
    <row r="119">
      <c r="A119" s="104"/>
    </row>
    <row r="120">
      <c r="A120" s="104"/>
    </row>
    <row r="121">
      <c r="A121" s="104"/>
    </row>
    <row r="122">
      <c r="A122" s="104"/>
    </row>
    <row r="123">
      <c r="A123" s="104"/>
    </row>
    <row r="124">
      <c r="A124" s="104"/>
    </row>
    <row r="125">
      <c r="A125" s="104"/>
    </row>
    <row r="126">
      <c r="A126" s="104"/>
    </row>
    <row r="127">
      <c r="A127" s="104"/>
    </row>
    <row r="128">
      <c r="A128" s="104"/>
    </row>
    <row r="129">
      <c r="A129" s="104"/>
    </row>
    <row r="130">
      <c r="A130" s="104"/>
    </row>
    <row r="131">
      <c r="A131" s="104"/>
    </row>
    <row r="132">
      <c r="A132" s="104"/>
    </row>
    <row r="133">
      <c r="A133" s="104"/>
    </row>
    <row r="134">
      <c r="A134" s="104"/>
    </row>
    <row r="135">
      <c r="A135" s="104"/>
    </row>
    <row r="136">
      <c r="A136" s="104"/>
    </row>
    <row r="137">
      <c r="A137" s="104"/>
    </row>
    <row r="138">
      <c r="A138" s="104"/>
    </row>
    <row r="139">
      <c r="A139" s="104"/>
    </row>
    <row r="140">
      <c r="A140" s="104"/>
    </row>
    <row r="141">
      <c r="A141" s="104"/>
    </row>
    <row r="142">
      <c r="A142" s="104"/>
    </row>
    <row r="143">
      <c r="A143" s="104"/>
    </row>
    <row r="144">
      <c r="A144" s="104"/>
    </row>
    <row r="145">
      <c r="A145" s="104"/>
    </row>
    <row r="146">
      <c r="A146" s="104"/>
    </row>
    <row r="147">
      <c r="A147" s="104"/>
    </row>
    <row r="148">
      <c r="A148" s="104"/>
    </row>
    <row r="149">
      <c r="A149" s="104"/>
    </row>
    <row r="150">
      <c r="A150" s="104"/>
    </row>
    <row r="151">
      <c r="A151" s="104"/>
    </row>
    <row r="152">
      <c r="A152" s="104"/>
    </row>
    <row r="153">
      <c r="A153" s="104"/>
    </row>
    <row r="154">
      <c r="A154" s="104"/>
    </row>
    <row r="155">
      <c r="A155" s="104"/>
    </row>
    <row r="156">
      <c r="A156" s="104"/>
    </row>
    <row r="157">
      <c r="A157" s="104"/>
    </row>
    <row r="158">
      <c r="A158" s="104"/>
    </row>
    <row r="159">
      <c r="A159" s="104"/>
    </row>
    <row r="160">
      <c r="A160" s="104"/>
    </row>
    <row r="161">
      <c r="A161" s="104"/>
    </row>
    <row r="162">
      <c r="A162" s="104"/>
    </row>
    <row r="163">
      <c r="A163" s="104"/>
    </row>
    <row r="164">
      <c r="A164" s="104"/>
    </row>
    <row r="165">
      <c r="A165" s="104"/>
    </row>
    <row r="166">
      <c r="A166" s="104"/>
    </row>
    <row r="167">
      <c r="A167" s="104"/>
    </row>
    <row r="168">
      <c r="A168" s="104"/>
    </row>
    <row r="169">
      <c r="A169" s="104"/>
    </row>
    <row r="170">
      <c r="A170" s="104"/>
    </row>
    <row r="171">
      <c r="A171" s="104"/>
    </row>
    <row r="172">
      <c r="A172" s="104"/>
    </row>
    <row r="173">
      <c r="A173" s="104"/>
    </row>
    <row r="174">
      <c r="A174" s="104"/>
    </row>
    <row r="175">
      <c r="A175" s="104"/>
    </row>
    <row r="176">
      <c r="A176" s="104"/>
    </row>
    <row r="177">
      <c r="A177" s="104"/>
    </row>
    <row r="178">
      <c r="A178" s="104"/>
    </row>
    <row r="179">
      <c r="A179" s="104"/>
    </row>
    <row r="180">
      <c r="A180" s="104"/>
    </row>
    <row r="181">
      <c r="A181" s="104"/>
    </row>
    <row r="182">
      <c r="A182" s="104"/>
    </row>
    <row r="183">
      <c r="A183" s="104"/>
    </row>
    <row r="184">
      <c r="A184" s="104"/>
    </row>
    <row r="185">
      <c r="A185" s="104"/>
    </row>
    <row r="186">
      <c r="A186" s="104"/>
    </row>
    <row r="187">
      <c r="A187" s="104"/>
    </row>
    <row r="188">
      <c r="A188" s="104"/>
    </row>
    <row r="189">
      <c r="A189" s="104"/>
    </row>
    <row r="190">
      <c r="A190" s="104"/>
    </row>
    <row r="191">
      <c r="A191" s="104"/>
    </row>
    <row r="192">
      <c r="A192" s="104"/>
    </row>
    <row r="193">
      <c r="A193" s="104"/>
    </row>
    <row r="194">
      <c r="A194" s="104"/>
    </row>
    <row r="195">
      <c r="A195" s="104"/>
    </row>
    <row r="196">
      <c r="A196" s="104"/>
    </row>
    <row r="197">
      <c r="A197" s="104"/>
    </row>
    <row r="198">
      <c r="A198" s="104"/>
    </row>
    <row r="199">
      <c r="A199" s="104"/>
    </row>
    <row r="200">
      <c r="A200" s="104"/>
    </row>
    <row r="201">
      <c r="A201" s="104"/>
    </row>
    <row r="202">
      <c r="A202" s="104"/>
    </row>
    <row r="203">
      <c r="A203" s="104"/>
    </row>
    <row r="204">
      <c r="A204" s="104"/>
    </row>
    <row r="205">
      <c r="A205" s="104"/>
    </row>
    <row r="206">
      <c r="A206" s="104"/>
    </row>
    <row r="207">
      <c r="A207" s="104"/>
    </row>
    <row r="208">
      <c r="A208" s="104"/>
    </row>
    <row r="209">
      <c r="A209" s="104"/>
    </row>
    <row r="210">
      <c r="A210" s="104"/>
    </row>
    <row r="211">
      <c r="A211" s="104"/>
    </row>
    <row r="212">
      <c r="A212" s="104"/>
    </row>
    <row r="213">
      <c r="A213" s="104"/>
    </row>
    <row r="214">
      <c r="A214" s="104"/>
    </row>
    <row r="215">
      <c r="A215" s="104"/>
    </row>
    <row r="216">
      <c r="A216" s="104"/>
    </row>
    <row r="217">
      <c r="A217" s="104"/>
    </row>
    <row r="218">
      <c r="A218" s="104"/>
    </row>
    <row r="219">
      <c r="A219" s="104"/>
    </row>
    <row r="220">
      <c r="A220" s="104"/>
    </row>
    <row r="221">
      <c r="A221" s="104"/>
    </row>
    <row r="222">
      <c r="A222" s="104"/>
    </row>
    <row r="223">
      <c r="A223" s="104"/>
    </row>
    <row r="224">
      <c r="A224" s="104"/>
    </row>
    <row r="225">
      <c r="A225" s="104"/>
    </row>
    <row r="226">
      <c r="A226" s="104"/>
    </row>
    <row r="227">
      <c r="A227" s="104"/>
    </row>
    <row r="228">
      <c r="A228" s="104"/>
    </row>
    <row r="229">
      <c r="A229" s="104"/>
    </row>
    <row r="230">
      <c r="A230" s="104"/>
    </row>
    <row r="231">
      <c r="A231" s="104"/>
    </row>
    <row r="232">
      <c r="A232" s="104"/>
    </row>
    <row r="233">
      <c r="A233" s="104"/>
    </row>
    <row r="234">
      <c r="A234" s="104"/>
    </row>
    <row r="235">
      <c r="A235" s="104"/>
    </row>
    <row r="236">
      <c r="A236" s="104"/>
    </row>
    <row r="237">
      <c r="A237" s="104"/>
    </row>
    <row r="238">
      <c r="A238" s="104"/>
    </row>
    <row r="239">
      <c r="A239" s="104"/>
    </row>
    <row r="240">
      <c r="A240" s="104"/>
    </row>
    <row r="241">
      <c r="A241" s="104"/>
    </row>
    <row r="242">
      <c r="A242" s="104"/>
    </row>
    <row r="243">
      <c r="A243" s="104"/>
    </row>
    <row r="244">
      <c r="A244" s="104"/>
    </row>
    <row r="245">
      <c r="A245" s="104"/>
    </row>
    <row r="246">
      <c r="A246" s="104"/>
    </row>
    <row r="247">
      <c r="A247" s="104"/>
    </row>
    <row r="248">
      <c r="A248" s="104"/>
    </row>
    <row r="249">
      <c r="A249" s="104"/>
    </row>
    <row r="250">
      <c r="A250" s="104"/>
    </row>
    <row r="251">
      <c r="A251" s="104"/>
    </row>
    <row r="252">
      <c r="A252" s="104"/>
    </row>
    <row r="253">
      <c r="A253" s="104"/>
    </row>
    <row r="254">
      <c r="A254" s="104"/>
    </row>
    <row r="255">
      <c r="A255" s="104"/>
    </row>
    <row r="256">
      <c r="A256" s="104"/>
    </row>
    <row r="257">
      <c r="A257" s="104"/>
    </row>
    <row r="258">
      <c r="A258" s="104"/>
    </row>
    <row r="259">
      <c r="A259" s="104"/>
    </row>
    <row r="260">
      <c r="A260" s="104"/>
    </row>
    <row r="261">
      <c r="A261" s="104"/>
    </row>
    <row r="262">
      <c r="A262" s="104"/>
    </row>
    <row r="263">
      <c r="A263" s="104"/>
    </row>
    <row r="264">
      <c r="A264" s="104"/>
    </row>
    <row r="265">
      <c r="A265" s="104"/>
    </row>
    <row r="266">
      <c r="A266" s="104"/>
    </row>
    <row r="267">
      <c r="A267" s="104"/>
    </row>
    <row r="268">
      <c r="A268" s="104"/>
    </row>
    <row r="269">
      <c r="A269" s="104"/>
    </row>
    <row r="270">
      <c r="A270" s="104"/>
    </row>
    <row r="271">
      <c r="A271" s="104"/>
    </row>
    <row r="272">
      <c r="A272" s="104"/>
    </row>
    <row r="273">
      <c r="A273" s="104"/>
    </row>
    <row r="274">
      <c r="A274" s="104"/>
    </row>
    <row r="275">
      <c r="A275" s="104"/>
    </row>
    <row r="276">
      <c r="A276" s="104"/>
    </row>
    <row r="277">
      <c r="A277" s="104"/>
    </row>
    <row r="278">
      <c r="A278" s="104"/>
    </row>
    <row r="279">
      <c r="A279" s="104"/>
    </row>
    <row r="280">
      <c r="A280" s="104"/>
    </row>
    <row r="281">
      <c r="A281" s="104"/>
    </row>
    <row r="282">
      <c r="A282" s="104"/>
    </row>
    <row r="283">
      <c r="A283" s="104"/>
    </row>
    <row r="284">
      <c r="A284" s="104"/>
    </row>
    <row r="285">
      <c r="A285" s="104"/>
    </row>
    <row r="286">
      <c r="A286" s="104"/>
    </row>
    <row r="287">
      <c r="A287" s="104"/>
    </row>
    <row r="288">
      <c r="A288" s="104"/>
    </row>
    <row r="289">
      <c r="A289" s="104"/>
    </row>
    <row r="290">
      <c r="A290" s="104"/>
    </row>
    <row r="291">
      <c r="A291" s="104"/>
    </row>
    <row r="292">
      <c r="A292" s="104"/>
    </row>
    <row r="293">
      <c r="A293" s="104"/>
    </row>
    <row r="294">
      <c r="A294" s="104"/>
    </row>
    <row r="295">
      <c r="A295" s="104"/>
    </row>
    <row r="296">
      <c r="A296" s="104"/>
    </row>
    <row r="297">
      <c r="A297" s="104"/>
    </row>
    <row r="298">
      <c r="A298" s="104"/>
    </row>
    <row r="299">
      <c r="A299" s="104"/>
    </row>
    <row r="300">
      <c r="A300" s="104"/>
    </row>
    <row r="301">
      <c r="A301" s="104"/>
    </row>
    <row r="302">
      <c r="A302" s="104"/>
    </row>
    <row r="303">
      <c r="A303" s="104"/>
    </row>
    <row r="304">
      <c r="A304" s="104"/>
    </row>
    <row r="305">
      <c r="A305" s="104"/>
    </row>
    <row r="306">
      <c r="A306" s="104"/>
    </row>
    <row r="307">
      <c r="A307" s="104"/>
    </row>
    <row r="308">
      <c r="A308" s="104"/>
    </row>
    <row r="309">
      <c r="A309" s="104"/>
    </row>
    <row r="310">
      <c r="A310" s="104"/>
    </row>
    <row r="311">
      <c r="A311" s="104"/>
    </row>
    <row r="312">
      <c r="A312" s="104"/>
    </row>
    <row r="313">
      <c r="A313" s="104"/>
    </row>
    <row r="314">
      <c r="A314" s="104"/>
    </row>
    <row r="315">
      <c r="A315" s="104"/>
    </row>
    <row r="316">
      <c r="A316" s="104"/>
    </row>
    <row r="317">
      <c r="A317" s="104"/>
    </row>
    <row r="318">
      <c r="A318" s="104"/>
    </row>
    <row r="319">
      <c r="A319" s="104"/>
    </row>
    <row r="320">
      <c r="A320" s="104"/>
    </row>
    <row r="321">
      <c r="A321" s="104"/>
    </row>
    <row r="322">
      <c r="A322" s="104"/>
    </row>
    <row r="323">
      <c r="A323" s="104"/>
    </row>
    <row r="324">
      <c r="A324" s="104"/>
    </row>
    <row r="325">
      <c r="A325" s="104"/>
    </row>
    <row r="326">
      <c r="A326" s="104"/>
    </row>
    <row r="327">
      <c r="A327" s="104"/>
    </row>
    <row r="328">
      <c r="A328" s="104"/>
    </row>
    <row r="329">
      <c r="A329" s="104"/>
    </row>
    <row r="330">
      <c r="A330" s="104"/>
    </row>
    <row r="331">
      <c r="A331" s="104"/>
    </row>
    <row r="332">
      <c r="A332" s="104"/>
    </row>
    <row r="333">
      <c r="A333" s="104"/>
    </row>
    <row r="334">
      <c r="A334" s="104"/>
    </row>
    <row r="335">
      <c r="A335" s="104"/>
    </row>
    <row r="336">
      <c r="A336" s="104"/>
    </row>
    <row r="337">
      <c r="A337" s="104"/>
    </row>
    <row r="338">
      <c r="A338" s="104"/>
    </row>
    <row r="339">
      <c r="A339" s="104"/>
    </row>
    <row r="340">
      <c r="A340" s="104"/>
    </row>
    <row r="341">
      <c r="A341" s="104"/>
    </row>
    <row r="342">
      <c r="A342" s="104"/>
    </row>
    <row r="343">
      <c r="A343" s="104"/>
    </row>
    <row r="344">
      <c r="A344" s="104"/>
    </row>
    <row r="345">
      <c r="A345" s="104"/>
    </row>
    <row r="346">
      <c r="A346" s="104"/>
    </row>
    <row r="347">
      <c r="A347" s="104"/>
    </row>
    <row r="348">
      <c r="A348" s="104"/>
    </row>
    <row r="349">
      <c r="A349" s="104"/>
    </row>
    <row r="350">
      <c r="A350" s="104"/>
    </row>
    <row r="351">
      <c r="A351" s="104"/>
    </row>
    <row r="352">
      <c r="A352" s="104"/>
    </row>
    <row r="353">
      <c r="A353" s="104"/>
    </row>
    <row r="354">
      <c r="A354" s="104"/>
    </row>
    <row r="355">
      <c r="A355" s="104"/>
    </row>
    <row r="356">
      <c r="A356" s="104"/>
    </row>
    <row r="357">
      <c r="A357" s="104"/>
    </row>
    <row r="358">
      <c r="A358" s="104"/>
    </row>
    <row r="359">
      <c r="A359" s="104"/>
    </row>
    <row r="360">
      <c r="A360" s="104"/>
    </row>
    <row r="361">
      <c r="A361" s="104"/>
    </row>
    <row r="362">
      <c r="A362" s="104"/>
    </row>
    <row r="363">
      <c r="A363" s="104"/>
    </row>
    <row r="364">
      <c r="A364" s="104"/>
    </row>
    <row r="365">
      <c r="A365" s="104"/>
    </row>
    <row r="366">
      <c r="A366" s="104"/>
    </row>
    <row r="367">
      <c r="A367" s="104"/>
    </row>
    <row r="368">
      <c r="A368" s="104"/>
    </row>
    <row r="369">
      <c r="A369" s="104"/>
    </row>
    <row r="370">
      <c r="A370" s="104"/>
    </row>
    <row r="371">
      <c r="A371" s="104"/>
    </row>
    <row r="372">
      <c r="A372" s="104"/>
    </row>
    <row r="373">
      <c r="A373" s="104"/>
    </row>
    <row r="374">
      <c r="A374" s="104"/>
    </row>
    <row r="375">
      <c r="A375" s="104"/>
    </row>
    <row r="376">
      <c r="A376" s="104"/>
    </row>
    <row r="377">
      <c r="A377" s="104"/>
    </row>
    <row r="378">
      <c r="A378" s="104"/>
    </row>
    <row r="379">
      <c r="A379" s="104"/>
    </row>
    <row r="380">
      <c r="A380" s="104"/>
    </row>
    <row r="381">
      <c r="A381" s="104"/>
    </row>
    <row r="382">
      <c r="A382" s="104"/>
    </row>
    <row r="383">
      <c r="A383" s="104"/>
    </row>
    <row r="384">
      <c r="A384" s="104"/>
    </row>
    <row r="385">
      <c r="A385" s="104"/>
    </row>
    <row r="386">
      <c r="A386" s="104"/>
    </row>
    <row r="387">
      <c r="A387" s="104"/>
    </row>
    <row r="388">
      <c r="A388" s="104"/>
    </row>
    <row r="389">
      <c r="A389" s="104"/>
    </row>
    <row r="390">
      <c r="A390" s="104"/>
    </row>
    <row r="391">
      <c r="A391" s="104"/>
    </row>
    <row r="392">
      <c r="A392" s="104"/>
    </row>
    <row r="393">
      <c r="A393" s="104"/>
    </row>
    <row r="394">
      <c r="A394" s="104"/>
    </row>
    <row r="395">
      <c r="A395" s="104"/>
    </row>
    <row r="396">
      <c r="A396" s="104"/>
    </row>
    <row r="397">
      <c r="A397" s="104"/>
    </row>
    <row r="398">
      <c r="A398" s="104"/>
    </row>
    <row r="399">
      <c r="A399" s="104"/>
    </row>
    <row r="400">
      <c r="A400" s="104"/>
    </row>
    <row r="401">
      <c r="A401" s="104"/>
    </row>
    <row r="402">
      <c r="A402" s="104"/>
    </row>
    <row r="403">
      <c r="A403" s="104"/>
    </row>
    <row r="404">
      <c r="A404" s="104"/>
    </row>
    <row r="405">
      <c r="A405" s="104"/>
    </row>
    <row r="406">
      <c r="A406" s="104"/>
    </row>
    <row r="407">
      <c r="A407" s="104"/>
    </row>
    <row r="408">
      <c r="A408" s="104"/>
    </row>
    <row r="409">
      <c r="A409" s="104"/>
    </row>
    <row r="410">
      <c r="A410" s="104"/>
    </row>
    <row r="411">
      <c r="A411" s="104"/>
    </row>
    <row r="412">
      <c r="A412" s="104"/>
    </row>
    <row r="413">
      <c r="A413" s="104"/>
    </row>
    <row r="414">
      <c r="A414" s="104"/>
    </row>
    <row r="415">
      <c r="A415" s="104"/>
    </row>
    <row r="416">
      <c r="A416" s="104"/>
    </row>
    <row r="417">
      <c r="A417" s="104"/>
    </row>
    <row r="418">
      <c r="A418" s="104"/>
    </row>
    <row r="419">
      <c r="A419" s="104"/>
    </row>
    <row r="420">
      <c r="A420" s="104"/>
    </row>
    <row r="421">
      <c r="A421" s="104"/>
    </row>
    <row r="422">
      <c r="A422" s="104"/>
    </row>
    <row r="423">
      <c r="A423" s="104"/>
    </row>
    <row r="424">
      <c r="A424" s="104"/>
    </row>
    <row r="425">
      <c r="A425" s="104"/>
    </row>
    <row r="426">
      <c r="A426" s="104"/>
    </row>
    <row r="427">
      <c r="A427" s="104"/>
    </row>
    <row r="428">
      <c r="A428" s="104"/>
    </row>
    <row r="429">
      <c r="A429" s="104"/>
    </row>
    <row r="430">
      <c r="A430" s="104"/>
    </row>
    <row r="431">
      <c r="A431" s="104"/>
    </row>
    <row r="432">
      <c r="A432" s="104"/>
    </row>
    <row r="433">
      <c r="A433" s="104"/>
    </row>
    <row r="434">
      <c r="A434" s="104"/>
    </row>
    <row r="435">
      <c r="A435" s="104"/>
    </row>
    <row r="436">
      <c r="A436" s="104"/>
    </row>
    <row r="437">
      <c r="A437" s="104"/>
    </row>
    <row r="438">
      <c r="A438" s="104"/>
    </row>
    <row r="439">
      <c r="A439" s="104"/>
    </row>
    <row r="440">
      <c r="A440" s="104"/>
    </row>
    <row r="441">
      <c r="A441" s="104"/>
    </row>
    <row r="442">
      <c r="A442" s="104"/>
    </row>
    <row r="443">
      <c r="A443" s="104"/>
    </row>
    <row r="444">
      <c r="A444" s="104"/>
    </row>
    <row r="445">
      <c r="A445" s="104"/>
    </row>
    <row r="446">
      <c r="A446" s="104"/>
    </row>
    <row r="447">
      <c r="A447" s="104"/>
    </row>
    <row r="448">
      <c r="A448" s="104"/>
    </row>
    <row r="449">
      <c r="A449" s="104"/>
    </row>
    <row r="450">
      <c r="A450" s="104"/>
    </row>
    <row r="451">
      <c r="A451" s="104"/>
    </row>
    <row r="452">
      <c r="A452" s="104"/>
    </row>
    <row r="453">
      <c r="A453" s="104"/>
    </row>
    <row r="454">
      <c r="A454" s="104"/>
    </row>
    <row r="455">
      <c r="A455" s="104"/>
    </row>
    <row r="456">
      <c r="A456" s="104"/>
    </row>
    <row r="457">
      <c r="A457" s="104"/>
    </row>
    <row r="458">
      <c r="A458" s="104"/>
    </row>
    <row r="459">
      <c r="A459" s="104"/>
    </row>
    <row r="460">
      <c r="A460" s="104"/>
    </row>
    <row r="461">
      <c r="A461" s="104"/>
    </row>
    <row r="462">
      <c r="A462" s="104"/>
    </row>
    <row r="463">
      <c r="A463" s="104"/>
    </row>
    <row r="464">
      <c r="A464" s="104"/>
    </row>
    <row r="465">
      <c r="A465" s="104"/>
    </row>
    <row r="466">
      <c r="A466" s="104"/>
    </row>
    <row r="467">
      <c r="A467" s="104"/>
    </row>
    <row r="468">
      <c r="A468" s="104"/>
    </row>
    <row r="469">
      <c r="A469" s="104"/>
    </row>
    <row r="470">
      <c r="A470" s="104"/>
    </row>
    <row r="471">
      <c r="A471" s="104"/>
    </row>
    <row r="472">
      <c r="A472" s="104"/>
    </row>
    <row r="473">
      <c r="A473" s="104"/>
    </row>
    <row r="474">
      <c r="A474" s="104"/>
    </row>
    <row r="475">
      <c r="A475" s="104"/>
    </row>
    <row r="476">
      <c r="A476" s="104"/>
    </row>
    <row r="477">
      <c r="A477" s="104"/>
    </row>
    <row r="478">
      <c r="A478" s="104"/>
    </row>
    <row r="479">
      <c r="A479" s="104"/>
    </row>
    <row r="480">
      <c r="A480" s="104"/>
    </row>
    <row r="481">
      <c r="A481" s="104"/>
    </row>
    <row r="482">
      <c r="A482" s="104"/>
    </row>
    <row r="483">
      <c r="A483" s="104"/>
    </row>
    <row r="484">
      <c r="A484" s="104"/>
    </row>
    <row r="485">
      <c r="A485" s="104"/>
    </row>
    <row r="486">
      <c r="A486" s="104"/>
    </row>
    <row r="487">
      <c r="A487" s="104"/>
    </row>
    <row r="488">
      <c r="A488" s="104"/>
    </row>
    <row r="489">
      <c r="A489" s="104"/>
    </row>
    <row r="490">
      <c r="A490" s="104"/>
    </row>
    <row r="491">
      <c r="A491" s="104"/>
    </row>
    <row r="492">
      <c r="A492" s="104"/>
    </row>
    <row r="493">
      <c r="A493" s="104"/>
    </row>
    <row r="494">
      <c r="A494" s="104"/>
    </row>
    <row r="495">
      <c r="A495" s="104"/>
    </row>
    <row r="496">
      <c r="A496" s="104"/>
    </row>
    <row r="497">
      <c r="A497" s="104"/>
    </row>
    <row r="498">
      <c r="A498" s="104"/>
    </row>
    <row r="499">
      <c r="A499" s="104"/>
    </row>
    <row r="500">
      <c r="A500" s="104"/>
    </row>
    <row r="501">
      <c r="A501" s="104"/>
    </row>
    <row r="502">
      <c r="A502" s="104"/>
    </row>
    <row r="503">
      <c r="A503" s="104"/>
    </row>
    <row r="504">
      <c r="A504" s="104"/>
    </row>
    <row r="505">
      <c r="A505" s="104"/>
    </row>
    <row r="506">
      <c r="A506" s="104"/>
    </row>
    <row r="507">
      <c r="A507" s="104"/>
    </row>
    <row r="508">
      <c r="A508" s="104"/>
    </row>
    <row r="509">
      <c r="A509" s="104"/>
    </row>
    <row r="510">
      <c r="A510" s="104"/>
    </row>
    <row r="511">
      <c r="A511" s="104"/>
    </row>
    <row r="512">
      <c r="A512" s="104"/>
    </row>
    <row r="513">
      <c r="A513" s="104"/>
    </row>
    <row r="514">
      <c r="A514" s="104"/>
    </row>
    <row r="515">
      <c r="A515" s="104"/>
    </row>
    <row r="516">
      <c r="A516" s="104"/>
    </row>
    <row r="517">
      <c r="A517" s="104"/>
    </row>
    <row r="518">
      <c r="A518" s="104"/>
    </row>
    <row r="519">
      <c r="A519" s="104"/>
    </row>
    <row r="520">
      <c r="A520" s="104"/>
    </row>
    <row r="521">
      <c r="A521" s="104"/>
    </row>
    <row r="522">
      <c r="A522" s="104"/>
    </row>
    <row r="523">
      <c r="A523" s="104"/>
    </row>
    <row r="524">
      <c r="A524" s="104"/>
    </row>
    <row r="525">
      <c r="A525" s="104"/>
    </row>
    <row r="526">
      <c r="A526" s="104"/>
    </row>
    <row r="527">
      <c r="A527" s="104"/>
    </row>
    <row r="528">
      <c r="A528" s="104"/>
    </row>
    <row r="529">
      <c r="A529" s="104"/>
    </row>
    <row r="530">
      <c r="A530" s="104"/>
    </row>
    <row r="531">
      <c r="A531" s="104"/>
    </row>
    <row r="532">
      <c r="A532" s="104"/>
    </row>
    <row r="533">
      <c r="A533" s="104"/>
    </row>
    <row r="534">
      <c r="A534" s="104"/>
    </row>
    <row r="535">
      <c r="A535" s="104"/>
    </row>
    <row r="536">
      <c r="A536" s="104"/>
    </row>
    <row r="537">
      <c r="A537" s="104"/>
    </row>
    <row r="538">
      <c r="A538" s="104"/>
    </row>
    <row r="539">
      <c r="A539" s="104"/>
    </row>
    <row r="540">
      <c r="A540" s="104"/>
    </row>
    <row r="541">
      <c r="A541" s="104"/>
    </row>
    <row r="542">
      <c r="A542" s="104"/>
    </row>
    <row r="543">
      <c r="A543" s="104"/>
    </row>
    <row r="544">
      <c r="A544" s="104"/>
    </row>
    <row r="545">
      <c r="A545" s="104"/>
    </row>
    <row r="546">
      <c r="A546" s="104"/>
    </row>
    <row r="547">
      <c r="A547" s="104"/>
    </row>
    <row r="548">
      <c r="A548" s="104"/>
    </row>
    <row r="549">
      <c r="A549" s="104"/>
    </row>
    <row r="550">
      <c r="A550" s="104"/>
    </row>
    <row r="551">
      <c r="A551" s="104"/>
    </row>
    <row r="552">
      <c r="A552" s="104"/>
    </row>
    <row r="553">
      <c r="A553" s="104"/>
    </row>
    <row r="554">
      <c r="A554" s="104"/>
    </row>
    <row r="555">
      <c r="A555" s="104"/>
    </row>
    <row r="556">
      <c r="A556" s="104"/>
    </row>
    <row r="557">
      <c r="A557" s="104"/>
    </row>
    <row r="558">
      <c r="A558" s="104"/>
    </row>
    <row r="559">
      <c r="A559" s="104"/>
    </row>
    <row r="560">
      <c r="A560" s="104"/>
    </row>
    <row r="561">
      <c r="A561" s="104"/>
    </row>
    <row r="562">
      <c r="A562" s="104"/>
    </row>
    <row r="563">
      <c r="A563" s="104"/>
    </row>
    <row r="564">
      <c r="A564" s="104"/>
    </row>
    <row r="565">
      <c r="A565" s="104"/>
    </row>
    <row r="566">
      <c r="A566" s="104"/>
    </row>
    <row r="567">
      <c r="A567" s="104"/>
    </row>
    <row r="568">
      <c r="A568" s="104"/>
    </row>
    <row r="569">
      <c r="A569" s="104"/>
    </row>
    <row r="570">
      <c r="A570" s="104"/>
    </row>
    <row r="571">
      <c r="A571" s="104"/>
    </row>
    <row r="572">
      <c r="A572" s="104"/>
    </row>
    <row r="573">
      <c r="A573" s="104"/>
    </row>
    <row r="574">
      <c r="A574" s="104"/>
    </row>
    <row r="575">
      <c r="A575" s="104"/>
    </row>
    <row r="576">
      <c r="A576" s="104"/>
    </row>
    <row r="577">
      <c r="A577" s="104"/>
    </row>
    <row r="578">
      <c r="A578" s="104"/>
    </row>
    <row r="579">
      <c r="A579" s="104"/>
    </row>
    <row r="580">
      <c r="A580" s="104"/>
    </row>
    <row r="581">
      <c r="A581" s="104"/>
    </row>
    <row r="582">
      <c r="A582" s="104"/>
    </row>
    <row r="583">
      <c r="A583" s="104"/>
    </row>
    <row r="584">
      <c r="A584" s="104"/>
    </row>
    <row r="585">
      <c r="A585" s="104"/>
    </row>
    <row r="586">
      <c r="A586" s="104"/>
    </row>
    <row r="587">
      <c r="A587" s="104"/>
    </row>
    <row r="588">
      <c r="A588" s="104"/>
    </row>
    <row r="589">
      <c r="A589" s="104"/>
    </row>
    <row r="590">
      <c r="A590" s="104"/>
    </row>
    <row r="591">
      <c r="A591" s="104"/>
    </row>
    <row r="592">
      <c r="A592" s="104"/>
    </row>
    <row r="593">
      <c r="A593" s="104"/>
    </row>
    <row r="594">
      <c r="A594" s="104"/>
    </row>
    <row r="595">
      <c r="A595" s="104"/>
    </row>
    <row r="596">
      <c r="A596" s="104"/>
    </row>
    <row r="597">
      <c r="A597" s="104"/>
    </row>
    <row r="598">
      <c r="A598" s="104"/>
    </row>
    <row r="599">
      <c r="A599" s="104"/>
    </row>
    <row r="600">
      <c r="A600" s="104"/>
    </row>
    <row r="601">
      <c r="A601" s="104"/>
    </row>
    <row r="602">
      <c r="A602" s="104"/>
    </row>
    <row r="603">
      <c r="A603" s="104"/>
    </row>
    <row r="604">
      <c r="A604" s="104"/>
    </row>
    <row r="605">
      <c r="A605" s="104"/>
    </row>
    <row r="606">
      <c r="A606" s="104"/>
    </row>
    <row r="607">
      <c r="A607" s="104"/>
    </row>
    <row r="608">
      <c r="A608" s="104"/>
    </row>
    <row r="609">
      <c r="A609" s="104"/>
    </row>
    <row r="610">
      <c r="A610" s="104"/>
    </row>
    <row r="611">
      <c r="A611" s="104"/>
    </row>
    <row r="612">
      <c r="A612" s="104"/>
    </row>
    <row r="613">
      <c r="A613" s="104"/>
    </row>
    <row r="614">
      <c r="A614" s="104"/>
    </row>
    <row r="615">
      <c r="A615" s="104"/>
    </row>
    <row r="616">
      <c r="A616" s="104"/>
    </row>
    <row r="617">
      <c r="A617" s="104"/>
    </row>
    <row r="618">
      <c r="A618" s="104"/>
    </row>
    <row r="619">
      <c r="A619" s="104"/>
    </row>
    <row r="620">
      <c r="A620" s="104"/>
    </row>
    <row r="621">
      <c r="A621" s="104"/>
    </row>
    <row r="622">
      <c r="A622" s="104"/>
    </row>
    <row r="623">
      <c r="A623" s="104"/>
    </row>
    <row r="624">
      <c r="A624" s="104"/>
    </row>
    <row r="625">
      <c r="A625" s="104"/>
    </row>
    <row r="626">
      <c r="A626" s="104"/>
    </row>
    <row r="627">
      <c r="A627" s="104"/>
    </row>
    <row r="628">
      <c r="A628" s="104"/>
    </row>
    <row r="629">
      <c r="A629" s="104"/>
    </row>
    <row r="630">
      <c r="A630" s="104"/>
    </row>
    <row r="631">
      <c r="A631" s="104"/>
    </row>
    <row r="632">
      <c r="A632" s="104"/>
    </row>
    <row r="633">
      <c r="A633" s="104"/>
    </row>
    <row r="634">
      <c r="A634" s="104"/>
    </row>
    <row r="635">
      <c r="A635" s="104"/>
    </row>
    <row r="636">
      <c r="A636" s="104"/>
    </row>
    <row r="637">
      <c r="A637" s="104"/>
    </row>
    <row r="638">
      <c r="A638" s="104"/>
    </row>
    <row r="639">
      <c r="A639" s="104"/>
    </row>
    <row r="640">
      <c r="A640" s="104"/>
    </row>
    <row r="641">
      <c r="A641" s="104"/>
    </row>
    <row r="642">
      <c r="A642" s="104"/>
    </row>
    <row r="643">
      <c r="A643" s="104"/>
    </row>
    <row r="644">
      <c r="A644" s="104"/>
    </row>
    <row r="645">
      <c r="A645" s="104"/>
    </row>
    <row r="646">
      <c r="A646" s="104"/>
    </row>
    <row r="647">
      <c r="A647" s="104"/>
    </row>
    <row r="648">
      <c r="A648" s="104"/>
    </row>
    <row r="649">
      <c r="A649" s="104"/>
    </row>
    <row r="650">
      <c r="A650" s="104"/>
    </row>
    <row r="651">
      <c r="A651" s="104"/>
    </row>
    <row r="652">
      <c r="A652" s="104"/>
    </row>
    <row r="653">
      <c r="A653" s="104"/>
    </row>
    <row r="654">
      <c r="A654" s="104"/>
    </row>
    <row r="655">
      <c r="A655" s="104"/>
    </row>
    <row r="656">
      <c r="A656" s="104"/>
    </row>
    <row r="657">
      <c r="A657" s="104"/>
    </row>
    <row r="658">
      <c r="A658" s="104"/>
    </row>
    <row r="659">
      <c r="A659" s="104"/>
    </row>
    <row r="660">
      <c r="A660" s="104"/>
    </row>
    <row r="661">
      <c r="A661" s="104"/>
    </row>
    <row r="662">
      <c r="A662" s="104"/>
    </row>
    <row r="663">
      <c r="A663" s="104"/>
    </row>
    <row r="664">
      <c r="A664" s="104"/>
    </row>
    <row r="665">
      <c r="A665" s="104"/>
    </row>
    <row r="666">
      <c r="A666" s="104"/>
    </row>
    <row r="667">
      <c r="A667" s="104"/>
    </row>
    <row r="668">
      <c r="A668" s="104"/>
    </row>
    <row r="669">
      <c r="A669" s="104"/>
    </row>
    <row r="670">
      <c r="A670" s="104"/>
    </row>
    <row r="671">
      <c r="A671" s="104"/>
    </row>
    <row r="672">
      <c r="A672" s="104"/>
    </row>
    <row r="673">
      <c r="A673" s="104"/>
    </row>
    <row r="674">
      <c r="A674" s="104"/>
    </row>
    <row r="675">
      <c r="A675" s="104"/>
    </row>
    <row r="676">
      <c r="A676" s="104"/>
    </row>
    <row r="677">
      <c r="A677" s="104"/>
    </row>
    <row r="678">
      <c r="A678" s="104"/>
    </row>
    <row r="679">
      <c r="A679" s="104"/>
    </row>
    <row r="680">
      <c r="A680" s="104"/>
    </row>
    <row r="681">
      <c r="A681" s="104"/>
    </row>
    <row r="682">
      <c r="A682" s="104"/>
    </row>
    <row r="683">
      <c r="A683" s="104"/>
    </row>
    <row r="684">
      <c r="A684" s="104"/>
    </row>
    <row r="685">
      <c r="A685" s="104"/>
    </row>
    <row r="686">
      <c r="A686" s="104"/>
    </row>
    <row r="687">
      <c r="A687" s="104"/>
    </row>
    <row r="688">
      <c r="A688" s="104"/>
    </row>
    <row r="689">
      <c r="A689" s="104"/>
    </row>
    <row r="690">
      <c r="A690" s="104"/>
    </row>
    <row r="691">
      <c r="A691" s="104"/>
    </row>
    <row r="692">
      <c r="A692" s="104"/>
    </row>
    <row r="693">
      <c r="A693" s="104"/>
    </row>
    <row r="694">
      <c r="A694" s="104"/>
    </row>
    <row r="695">
      <c r="A695" s="104"/>
    </row>
    <row r="696">
      <c r="A696" s="104"/>
    </row>
    <row r="697">
      <c r="A697" s="104"/>
    </row>
    <row r="698">
      <c r="A698" s="104"/>
    </row>
    <row r="699">
      <c r="A699" s="104"/>
    </row>
    <row r="700">
      <c r="A700" s="104"/>
    </row>
    <row r="701">
      <c r="A701" s="104"/>
    </row>
    <row r="702">
      <c r="A702" s="104"/>
    </row>
    <row r="703">
      <c r="A703" s="104"/>
    </row>
    <row r="704">
      <c r="A704" s="104"/>
    </row>
    <row r="705">
      <c r="A705" s="104"/>
    </row>
    <row r="706">
      <c r="A706" s="104"/>
    </row>
    <row r="707">
      <c r="A707" s="104"/>
    </row>
    <row r="708">
      <c r="A708" s="104"/>
    </row>
    <row r="709">
      <c r="A709" s="104"/>
    </row>
    <row r="710">
      <c r="A710" s="104"/>
    </row>
    <row r="711">
      <c r="A711" s="104"/>
    </row>
    <row r="712">
      <c r="A712" s="104"/>
    </row>
    <row r="713">
      <c r="A713" s="104"/>
    </row>
    <row r="714">
      <c r="A714" s="104"/>
    </row>
    <row r="715">
      <c r="A715" s="104"/>
    </row>
    <row r="716">
      <c r="A716" s="104"/>
    </row>
    <row r="717">
      <c r="A717" s="104"/>
    </row>
    <row r="718">
      <c r="A718" s="104"/>
    </row>
    <row r="719">
      <c r="A719" s="104"/>
    </row>
    <row r="720">
      <c r="A720" s="104"/>
    </row>
    <row r="721">
      <c r="A721" s="104"/>
    </row>
    <row r="722">
      <c r="A722" s="104"/>
    </row>
    <row r="723">
      <c r="A723" s="104"/>
    </row>
    <row r="724">
      <c r="A724" s="104"/>
    </row>
    <row r="725">
      <c r="A725" s="104"/>
    </row>
    <row r="726">
      <c r="A726" s="104"/>
    </row>
    <row r="727">
      <c r="A727" s="104"/>
    </row>
    <row r="728">
      <c r="A728" s="104"/>
    </row>
    <row r="729">
      <c r="A729" s="104"/>
    </row>
    <row r="730">
      <c r="A730" s="104"/>
    </row>
    <row r="731">
      <c r="A731" s="104"/>
    </row>
    <row r="732">
      <c r="A732" s="104"/>
    </row>
    <row r="733">
      <c r="A733" s="104"/>
    </row>
    <row r="734">
      <c r="A734" s="104"/>
    </row>
    <row r="735">
      <c r="A735" s="104"/>
    </row>
    <row r="736">
      <c r="A736" s="104"/>
    </row>
    <row r="737">
      <c r="A737" s="104"/>
    </row>
    <row r="738">
      <c r="A738" s="104"/>
    </row>
    <row r="739">
      <c r="A739" s="104"/>
    </row>
    <row r="740">
      <c r="A740" s="104"/>
    </row>
    <row r="741">
      <c r="A741" s="104"/>
    </row>
    <row r="742">
      <c r="A742" s="104"/>
    </row>
    <row r="743">
      <c r="A743" s="104"/>
    </row>
    <row r="744">
      <c r="A744" s="104"/>
    </row>
    <row r="745">
      <c r="A745" s="104"/>
    </row>
    <row r="746">
      <c r="A746" s="104"/>
    </row>
    <row r="747">
      <c r="A747" s="104"/>
    </row>
    <row r="748">
      <c r="A748" s="104"/>
    </row>
    <row r="749">
      <c r="A749" s="104"/>
    </row>
    <row r="750">
      <c r="A750" s="104"/>
    </row>
    <row r="751">
      <c r="A751" s="104"/>
    </row>
    <row r="752">
      <c r="A752" s="104"/>
    </row>
    <row r="753">
      <c r="A753" s="104"/>
    </row>
    <row r="754">
      <c r="A754" s="104"/>
    </row>
    <row r="755">
      <c r="A755" s="104"/>
    </row>
    <row r="756">
      <c r="A756" s="104"/>
    </row>
    <row r="757">
      <c r="A757" s="104"/>
    </row>
    <row r="758">
      <c r="A758" s="104"/>
    </row>
    <row r="759">
      <c r="A759" s="104"/>
    </row>
    <row r="760">
      <c r="A760" s="104"/>
    </row>
    <row r="761">
      <c r="A761" s="104"/>
    </row>
    <row r="762">
      <c r="A762" s="104"/>
    </row>
    <row r="763">
      <c r="A763" s="104"/>
    </row>
    <row r="764">
      <c r="A764" s="104"/>
    </row>
    <row r="765">
      <c r="A765" s="104"/>
    </row>
    <row r="766">
      <c r="A766" s="104"/>
    </row>
    <row r="767">
      <c r="A767" s="104"/>
    </row>
    <row r="768">
      <c r="A768" s="104"/>
    </row>
    <row r="769">
      <c r="A769" s="104"/>
    </row>
    <row r="770">
      <c r="A770" s="104"/>
    </row>
    <row r="771">
      <c r="A771" s="104"/>
    </row>
    <row r="772">
      <c r="A772" s="104"/>
    </row>
    <row r="773">
      <c r="A773" s="104"/>
    </row>
    <row r="774">
      <c r="A774" s="104"/>
    </row>
    <row r="775">
      <c r="A775" s="104"/>
    </row>
    <row r="776">
      <c r="A776" s="104"/>
    </row>
    <row r="777">
      <c r="A777" s="104"/>
    </row>
    <row r="778">
      <c r="A778" s="104"/>
    </row>
    <row r="779">
      <c r="A779" s="104"/>
    </row>
    <row r="780">
      <c r="A780" s="104"/>
    </row>
    <row r="781">
      <c r="A781" s="104"/>
    </row>
    <row r="782">
      <c r="A782" s="104"/>
    </row>
    <row r="783">
      <c r="A783" s="104"/>
    </row>
    <row r="784">
      <c r="A784" s="104"/>
    </row>
    <row r="785">
      <c r="A785" s="104"/>
    </row>
    <row r="786">
      <c r="A786" s="104"/>
    </row>
    <row r="787">
      <c r="A787" s="104"/>
    </row>
    <row r="788">
      <c r="A788" s="104"/>
    </row>
    <row r="789">
      <c r="A789" s="104"/>
    </row>
    <row r="790">
      <c r="A790" s="104"/>
    </row>
    <row r="791">
      <c r="A791" s="104"/>
    </row>
    <row r="792">
      <c r="A792" s="104"/>
    </row>
    <row r="793">
      <c r="A793" s="104"/>
    </row>
    <row r="794">
      <c r="A794" s="104"/>
    </row>
    <row r="795">
      <c r="A795" s="104"/>
    </row>
    <row r="796">
      <c r="A796" s="104"/>
    </row>
    <row r="797">
      <c r="A797" s="104"/>
    </row>
    <row r="798">
      <c r="A798" s="104"/>
    </row>
    <row r="799">
      <c r="A799" s="104"/>
    </row>
    <row r="800">
      <c r="A800" s="104"/>
    </row>
    <row r="801">
      <c r="A801" s="104"/>
    </row>
    <row r="802">
      <c r="A802" s="104"/>
    </row>
    <row r="803">
      <c r="A803" s="104"/>
    </row>
    <row r="804">
      <c r="A804" s="104"/>
    </row>
    <row r="805">
      <c r="A805" s="104"/>
    </row>
    <row r="806">
      <c r="A806" s="104"/>
    </row>
    <row r="807">
      <c r="A807" s="104"/>
    </row>
    <row r="808">
      <c r="A808" s="104"/>
    </row>
    <row r="809">
      <c r="A809" s="104"/>
    </row>
    <row r="810">
      <c r="A810" s="104"/>
    </row>
    <row r="811">
      <c r="A811" s="104"/>
    </row>
    <row r="812">
      <c r="A812" s="104"/>
    </row>
    <row r="813">
      <c r="A813" s="104"/>
    </row>
    <row r="814">
      <c r="A814" s="104"/>
    </row>
    <row r="815">
      <c r="A815" s="104"/>
    </row>
    <row r="816">
      <c r="A816" s="104"/>
    </row>
    <row r="817">
      <c r="A817" s="104"/>
    </row>
    <row r="818">
      <c r="A818" s="104"/>
    </row>
    <row r="819">
      <c r="A819" s="104"/>
    </row>
    <row r="820">
      <c r="A820" s="104"/>
    </row>
    <row r="821">
      <c r="A821" s="104"/>
    </row>
    <row r="822">
      <c r="A822" s="104"/>
    </row>
    <row r="823">
      <c r="A823" s="104"/>
    </row>
    <row r="824">
      <c r="A824" s="104"/>
    </row>
    <row r="825">
      <c r="A825" s="104"/>
    </row>
    <row r="826">
      <c r="A826" s="104"/>
    </row>
    <row r="827">
      <c r="A827" s="104"/>
    </row>
    <row r="828">
      <c r="A828" s="104"/>
    </row>
    <row r="829">
      <c r="A829" s="104"/>
    </row>
    <row r="830">
      <c r="A830" s="104"/>
    </row>
    <row r="831">
      <c r="A831" s="104"/>
    </row>
    <row r="832">
      <c r="A832" s="104"/>
    </row>
    <row r="833">
      <c r="A833" s="104"/>
    </row>
    <row r="834">
      <c r="A834" s="104"/>
    </row>
    <row r="835">
      <c r="A835" s="104"/>
    </row>
    <row r="836">
      <c r="A836" s="104"/>
    </row>
    <row r="837">
      <c r="A837" s="104"/>
    </row>
    <row r="838">
      <c r="A838" s="104"/>
    </row>
    <row r="839">
      <c r="A839" s="104"/>
    </row>
    <row r="840">
      <c r="A840" s="104"/>
    </row>
    <row r="841">
      <c r="A841" s="104"/>
    </row>
    <row r="842">
      <c r="A842" s="104"/>
    </row>
    <row r="843">
      <c r="A843" s="104"/>
    </row>
    <row r="844">
      <c r="A844" s="104"/>
    </row>
    <row r="845">
      <c r="A845" s="104"/>
    </row>
    <row r="846">
      <c r="A846" s="104"/>
    </row>
    <row r="847">
      <c r="A847" s="104"/>
    </row>
    <row r="848">
      <c r="A848" s="104"/>
    </row>
    <row r="849">
      <c r="A849" s="104"/>
    </row>
    <row r="850">
      <c r="A850" s="104"/>
    </row>
    <row r="851">
      <c r="A851" s="104"/>
    </row>
    <row r="852">
      <c r="A852" s="104"/>
    </row>
    <row r="853">
      <c r="A853" s="104"/>
    </row>
    <row r="854">
      <c r="A854" s="104"/>
    </row>
    <row r="855">
      <c r="A855" s="104"/>
    </row>
    <row r="856">
      <c r="A856" s="104"/>
    </row>
    <row r="857">
      <c r="A857" s="104"/>
    </row>
    <row r="858">
      <c r="A858" s="104"/>
    </row>
    <row r="859">
      <c r="A859" s="104"/>
    </row>
    <row r="860">
      <c r="A860" s="104"/>
    </row>
    <row r="861">
      <c r="A861" s="104"/>
    </row>
    <row r="862">
      <c r="A862" s="104"/>
    </row>
    <row r="863">
      <c r="A863" s="104"/>
    </row>
    <row r="864">
      <c r="A864" s="104"/>
    </row>
    <row r="865">
      <c r="A865" s="104"/>
    </row>
    <row r="866">
      <c r="A866" s="104"/>
    </row>
    <row r="867">
      <c r="A867" s="104"/>
    </row>
    <row r="868">
      <c r="A868" s="104"/>
    </row>
    <row r="869">
      <c r="A869" s="104"/>
    </row>
    <row r="870">
      <c r="A870" s="104"/>
    </row>
    <row r="871">
      <c r="A871" s="104"/>
    </row>
    <row r="872">
      <c r="A872" s="104"/>
    </row>
    <row r="873">
      <c r="A873" s="104"/>
    </row>
    <row r="874">
      <c r="A874" s="104"/>
    </row>
    <row r="875">
      <c r="A875" s="104"/>
    </row>
    <row r="876">
      <c r="A876" s="104"/>
    </row>
    <row r="877">
      <c r="A877" s="104"/>
    </row>
    <row r="878">
      <c r="A878" s="104"/>
    </row>
    <row r="879">
      <c r="A879" s="104"/>
    </row>
    <row r="880">
      <c r="A880" s="104"/>
    </row>
    <row r="881">
      <c r="A881" s="104"/>
    </row>
    <row r="882">
      <c r="A882" s="104"/>
    </row>
    <row r="883">
      <c r="A883" s="104"/>
    </row>
    <row r="884">
      <c r="A884" s="104"/>
    </row>
    <row r="885">
      <c r="A885" s="104"/>
    </row>
    <row r="886">
      <c r="A886" s="104"/>
    </row>
    <row r="887">
      <c r="A887" s="104"/>
    </row>
    <row r="888">
      <c r="A888" s="104"/>
    </row>
    <row r="889">
      <c r="A889" s="104"/>
    </row>
    <row r="890">
      <c r="A890" s="104"/>
    </row>
    <row r="891">
      <c r="A891" s="104"/>
    </row>
    <row r="892">
      <c r="A892" s="104"/>
    </row>
    <row r="893">
      <c r="A893" s="104"/>
    </row>
    <row r="894">
      <c r="A894" s="104"/>
    </row>
    <row r="895">
      <c r="A895" s="104"/>
    </row>
    <row r="896">
      <c r="A896" s="104"/>
    </row>
    <row r="897">
      <c r="A897" s="104"/>
    </row>
    <row r="898">
      <c r="A898" s="104"/>
    </row>
    <row r="899">
      <c r="A899" s="104"/>
    </row>
    <row r="900">
      <c r="A900" s="104"/>
    </row>
    <row r="901">
      <c r="A901" s="104"/>
    </row>
    <row r="902">
      <c r="A902" s="104"/>
    </row>
    <row r="903">
      <c r="A903" s="104"/>
    </row>
    <row r="904">
      <c r="A904" s="104"/>
    </row>
    <row r="905">
      <c r="A905" s="104"/>
    </row>
    <row r="906">
      <c r="A906" s="104"/>
    </row>
    <row r="907">
      <c r="A907" s="104"/>
    </row>
    <row r="908">
      <c r="A908" s="104"/>
    </row>
    <row r="909">
      <c r="A909" s="104"/>
    </row>
    <row r="910">
      <c r="A910" s="104"/>
    </row>
    <row r="911">
      <c r="A911" s="104"/>
    </row>
    <row r="912">
      <c r="A912" s="104"/>
    </row>
    <row r="913">
      <c r="A913" s="104"/>
    </row>
    <row r="914">
      <c r="A914" s="104"/>
    </row>
    <row r="915">
      <c r="A915" s="104"/>
    </row>
    <row r="916">
      <c r="A916" s="104"/>
    </row>
    <row r="917">
      <c r="A917" s="104"/>
    </row>
    <row r="918">
      <c r="A918" s="104"/>
    </row>
    <row r="919">
      <c r="A919" s="104"/>
    </row>
    <row r="920">
      <c r="A920" s="104"/>
    </row>
    <row r="921">
      <c r="A921" s="104"/>
    </row>
    <row r="922">
      <c r="A922" s="104"/>
    </row>
    <row r="923">
      <c r="A923" s="104"/>
    </row>
    <row r="924">
      <c r="A924" s="104"/>
    </row>
    <row r="925">
      <c r="A925" s="104"/>
    </row>
    <row r="926">
      <c r="A926" s="104"/>
    </row>
    <row r="927">
      <c r="A927" s="104"/>
    </row>
    <row r="928">
      <c r="A928" s="104"/>
    </row>
    <row r="929">
      <c r="A929" s="104"/>
    </row>
    <row r="930">
      <c r="A930" s="104"/>
    </row>
    <row r="931">
      <c r="A931" s="104"/>
    </row>
    <row r="932">
      <c r="A932" s="104"/>
    </row>
    <row r="933">
      <c r="A933" s="104"/>
    </row>
    <row r="934">
      <c r="A934" s="104"/>
    </row>
    <row r="935">
      <c r="A935" s="104"/>
    </row>
    <row r="936">
      <c r="A936" s="104"/>
    </row>
    <row r="937">
      <c r="A937" s="104"/>
    </row>
    <row r="938">
      <c r="A938" s="104"/>
    </row>
    <row r="939">
      <c r="A939" s="104"/>
    </row>
    <row r="940">
      <c r="A940" s="104"/>
    </row>
    <row r="941">
      <c r="A941" s="104"/>
    </row>
    <row r="942">
      <c r="A942" s="104"/>
    </row>
    <row r="943">
      <c r="A943" s="104"/>
    </row>
    <row r="944">
      <c r="A944" s="104"/>
    </row>
    <row r="945">
      <c r="A945" s="104"/>
    </row>
    <row r="946">
      <c r="A946" s="104"/>
    </row>
    <row r="947">
      <c r="A947" s="104"/>
    </row>
    <row r="948">
      <c r="A948" s="104"/>
    </row>
    <row r="949">
      <c r="A949" s="104"/>
    </row>
    <row r="950">
      <c r="A950" s="104"/>
    </row>
    <row r="951">
      <c r="A951" s="104"/>
    </row>
    <row r="952">
      <c r="A952" s="104"/>
    </row>
    <row r="953">
      <c r="A953" s="104"/>
    </row>
    <row r="954">
      <c r="A954" s="104"/>
    </row>
    <row r="955">
      <c r="A955" s="104"/>
    </row>
    <row r="956">
      <c r="A956" s="104"/>
    </row>
    <row r="957">
      <c r="A957" s="104"/>
    </row>
    <row r="958">
      <c r="A958" s="104"/>
    </row>
    <row r="959">
      <c r="A959" s="104"/>
    </row>
    <row r="960">
      <c r="A960" s="104"/>
    </row>
    <row r="961">
      <c r="A961" s="104"/>
    </row>
    <row r="962">
      <c r="A962" s="104"/>
    </row>
    <row r="963">
      <c r="A963" s="104"/>
    </row>
    <row r="964">
      <c r="A964" s="104"/>
    </row>
    <row r="965">
      <c r="A965" s="104"/>
    </row>
    <row r="966">
      <c r="A966" s="104"/>
    </row>
    <row r="967">
      <c r="A967" s="104"/>
    </row>
    <row r="968">
      <c r="A968" s="104"/>
    </row>
    <row r="969">
      <c r="A969" s="104"/>
    </row>
    <row r="970">
      <c r="A970" s="104"/>
    </row>
    <row r="971">
      <c r="A971" s="104"/>
    </row>
    <row r="972">
      <c r="A972" s="104"/>
    </row>
    <row r="973">
      <c r="A973" s="104"/>
    </row>
    <row r="974">
      <c r="A974" s="104"/>
    </row>
    <row r="975">
      <c r="A975" s="104"/>
    </row>
    <row r="976">
      <c r="A976" s="104"/>
    </row>
    <row r="977">
      <c r="A977" s="104"/>
    </row>
    <row r="978">
      <c r="A978" s="104"/>
    </row>
    <row r="979">
      <c r="A979" s="104"/>
    </row>
    <row r="980">
      <c r="A980" s="104"/>
    </row>
    <row r="981">
      <c r="A981" s="104"/>
    </row>
    <row r="982">
      <c r="A982" s="104"/>
    </row>
    <row r="983">
      <c r="A983" s="104"/>
    </row>
    <row r="984">
      <c r="A984" s="104"/>
    </row>
    <row r="985">
      <c r="A985" s="104"/>
    </row>
    <row r="986">
      <c r="A986" s="104"/>
    </row>
    <row r="987">
      <c r="A987" s="104"/>
    </row>
    <row r="988">
      <c r="A988" s="104"/>
    </row>
    <row r="989">
      <c r="A989" s="104"/>
    </row>
    <row r="990">
      <c r="A990" s="104"/>
    </row>
    <row r="991">
      <c r="A991" s="104"/>
    </row>
    <row r="992">
      <c r="A992" s="104"/>
    </row>
    <row r="993">
      <c r="A993" s="104"/>
    </row>
    <row r="994">
      <c r="A994" s="104"/>
    </row>
    <row r="995">
      <c r="A995" s="104"/>
    </row>
    <row r="996">
      <c r="A996" s="104"/>
    </row>
    <row r="997">
      <c r="A997" s="104"/>
    </row>
    <row r="998">
      <c r="A998" s="104"/>
    </row>
    <row r="999">
      <c r="A999" s="104"/>
    </row>
    <row r="1000">
      <c r="A1000" s="104"/>
    </row>
    <row r="1001">
      <c r="A1001" s="104"/>
    </row>
    <row r="1002">
      <c r="A1002" s="104"/>
    </row>
    <row r="1003">
      <c r="A1003" s="104"/>
    </row>
    <row r="1004">
      <c r="A1004" s="104"/>
    </row>
    <row r="1005">
      <c r="A1005" s="104"/>
    </row>
    <row r="1006">
      <c r="A1006" s="104"/>
    </row>
    <row r="1007">
      <c r="A1007" s="104"/>
    </row>
    <row r="1008">
      <c r="A1008" s="10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5"/>
    </row>
    <row r="2">
      <c r="A2" s="55" t="s">
        <v>1238</v>
      </c>
      <c r="D2" s="55" t="s">
        <v>1239</v>
      </c>
    </row>
    <row r="3">
      <c r="A3" s="55" t="s">
        <v>1240</v>
      </c>
      <c r="D3" s="55" t="s">
        <v>1241</v>
      </c>
    </row>
    <row r="4">
      <c r="A4" s="55" t="s">
        <v>1242</v>
      </c>
      <c r="D4" s="55" t="s">
        <v>1243</v>
      </c>
    </row>
    <row r="5">
      <c r="A5" s="55" t="s">
        <v>1244</v>
      </c>
      <c r="D5" s="55" t="s">
        <v>1245</v>
      </c>
    </row>
    <row r="6">
      <c r="A6" s="55" t="s">
        <v>1246</v>
      </c>
      <c r="D6" s="55" t="s">
        <v>1247</v>
      </c>
    </row>
    <row r="7">
      <c r="A7" s="55" t="s">
        <v>1248</v>
      </c>
      <c r="D7" s="55" t="s">
        <v>1249</v>
      </c>
    </row>
    <row r="8">
      <c r="A8" s="55" t="s">
        <v>1250</v>
      </c>
      <c r="D8" s="55" t="s">
        <v>1251</v>
      </c>
    </row>
    <row r="9">
      <c r="A9" s="55" t="s">
        <v>1252</v>
      </c>
      <c r="D9" s="55" t="s">
        <v>1253</v>
      </c>
    </row>
    <row r="10">
      <c r="A10" s="55" t="s">
        <v>603</v>
      </c>
      <c r="D10" s="55" t="s">
        <v>1254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2" max="2" width="18.5"/>
    <col customWidth="1" min="3" max="3" width="46.75"/>
    <col customWidth="1" min="4" max="4" width="5.88"/>
    <col hidden="1" min="11" max="11" width="12.63"/>
    <col customWidth="1" min="18" max="18" width="17.25"/>
  </cols>
  <sheetData>
    <row r="1">
      <c r="A1" s="55" t="s">
        <v>1255</v>
      </c>
      <c r="F1" s="104"/>
      <c r="G1" s="104"/>
      <c r="O1" s="42"/>
      <c r="P1" s="42"/>
    </row>
    <row r="2">
      <c r="F2" s="104"/>
      <c r="G2" s="104"/>
      <c r="O2" s="42"/>
      <c r="P2" s="42"/>
    </row>
    <row r="3">
      <c r="F3" s="119" t="s">
        <v>1256</v>
      </c>
      <c r="G3" s="119" t="s">
        <v>1257</v>
      </c>
      <c r="H3" s="120" t="s">
        <v>1071</v>
      </c>
      <c r="I3" s="120" t="s">
        <v>1258</v>
      </c>
      <c r="J3" s="120" t="s">
        <v>1259</v>
      </c>
      <c r="K3" s="120" t="s">
        <v>1260</v>
      </c>
      <c r="L3" s="120" t="s">
        <v>1261</v>
      </c>
      <c r="M3" s="120" t="s">
        <v>1262</v>
      </c>
      <c r="N3" s="120" t="s">
        <v>1263</v>
      </c>
      <c r="O3" s="121" t="s">
        <v>1264</v>
      </c>
      <c r="P3" s="121" t="s">
        <v>1265</v>
      </c>
      <c r="Q3" s="55" t="s">
        <v>1266</v>
      </c>
      <c r="R3" s="55" t="s">
        <v>1267</v>
      </c>
      <c r="S3" s="55" t="s">
        <v>1268</v>
      </c>
      <c r="T3" s="55" t="s">
        <v>1269</v>
      </c>
      <c r="U3" s="55"/>
      <c r="V3" s="55"/>
      <c r="W3" s="55" t="s">
        <v>1255</v>
      </c>
      <c r="Y3" s="105" t="s">
        <v>1264</v>
      </c>
      <c r="Z3" s="105" t="s">
        <v>1265</v>
      </c>
    </row>
    <row r="4">
      <c r="A4" s="55">
        <v>2.024002178E9</v>
      </c>
      <c r="B4" s="55" t="s">
        <v>194</v>
      </c>
      <c r="C4" s="55" t="s">
        <v>1270</v>
      </c>
      <c r="D4" s="55">
        <v>300.0</v>
      </c>
      <c r="E4" s="55" t="s">
        <v>1011</v>
      </c>
      <c r="F4" s="103" t="s">
        <v>1271</v>
      </c>
      <c r="G4" s="122">
        <v>45614.0</v>
      </c>
      <c r="H4" s="101" t="b">
        <v>0</v>
      </c>
      <c r="I4" s="101" t="b">
        <v>0</v>
      </c>
      <c r="J4" s="101" t="b">
        <v>0</v>
      </c>
      <c r="K4" s="101" t="b">
        <v>0</v>
      </c>
      <c r="L4" s="101" t="b">
        <v>0</v>
      </c>
      <c r="M4" s="101" t="b">
        <v>0</v>
      </c>
      <c r="N4" s="101" t="b">
        <v>0</v>
      </c>
      <c r="O4" s="123" t="s">
        <v>1017</v>
      </c>
      <c r="P4" s="75" t="b">
        <v>0</v>
      </c>
      <c r="Q4" s="103"/>
      <c r="R4" s="103"/>
      <c r="S4" s="103"/>
      <c r="T4" s="103"/>
      <c r="U4" s="103">
        <v>5175.0</v>
      </c>
      <c r="V4" s="103"/>
      <c r="W4" s="103" t="s">
        <v>1272</v>
      </c>
      <c r="X4" s="55">
        <v>300.0</v>
      </c>
      <c r="Y4" s="101" t="b">
        <v>0</v>
      </c>
    </row>
    <row r="5">
      <c r="A5" s="55">
        <v>2.024002176E9</v>
      </c>
      <c r="B5" s="55" t="s">
        <v>1273</v>
      </c>
      <c r="C5" s="55" t="s">
        <v>1274</v>
      </c>
      <c r="D5" s="55">
        <v>750.0</v>
      </c>
      <c r="E5" s="55" t="s">
        <v>1275</v>
      </c>
      <c r="F5" s="122">
        <v>45515.0</v>
      </c>
      <c r="G5" s="122">
        <v>45614.0</v>
      </c>
      <c r="H5" s="55" t="b">
        <v>1</v>
      </c>
      <c r="I5" s="101" t="b">
        <v>0</v>
      </c>
      <c r="J5" s="101" t="b">
        <v>0</v>
      </c>
      <c r="K5" s="101" t="b">
        <v>0</v>
      </c>
      <c r="L5" s="101" t="b">
        <v>0</v>
      </c>
      <c r="M5" s="101" t="b">
        <v>0</v>
      </c>
      <c r="N5" s="55" t="b">
        <v>1</v>
      </c>
      <c r="O5" s="124" t="b">
        <v>0</v>
      </c>
      <c r="P5" s="83" t="b">
        <v>1</v>
      </c>
      <c r="Q5" s="122"/>
      <c r="R5" s="103" t="s">
        <v>1276</v>
      </c>
      <c r="S5" s="103" t="s">
        <v>1276</v>
      </c>
      <c r="T5" s="103" t="s">
        <v>1276</v>
      </c>
      <c r="U5" s="103">
        <v>6037.5</v>
      </c>
      <c r="V5" s="122"/>
      <c r="W5" s="122">
        <v>45393.0</v>
      </c>
      <c r="X5" s="55">
        <v>200.0</v>
      </c>
      <c r="Y5" s="101" t="b">
        <v>0</v>
      </c>
    </row>
    <row r="6">
      <c r="A6" s="55">
        <v>2.024002175E9</v>
      </c>
      <c r="B6" s="55" t="s">
        <v>1277</v>
      </c>
      <c r="C6" s="55" t="s">
        <v>1278</v>
      </c>
      <c r="D6" s="55">
        <v>750.0</v>
      </c>
      <c r="E6" s="55" t="s">
        <v>1275</v>
      </c>
      <c r="F6" s="103" t="s">
        <v>1279</v>
      </c>
      <c r="G6" s="122">
        <v>45607.0</v>
      </c>
      <c r="H6" s="55" t="b">
        <v>1</v>
      </c>
      <c r="I6" s="101" t="b">
        <v>0</v>
      </c>
      <c r="J6" s="101" t="b">
        <v>0</v>
      </c>
      <c r="K6" s="101" t="b">
        <v>0</v>
      </c>
      <c r="L6" s="55" t="b">
        <v>1</v>
      </c>
      <c r="M6" s="101" t="b">
        <v>0</v>
      </c>
      <c r="N6" s="55" t="b">
        <v>1</v>
      </c>
      <c r="O6" s="124" t="b">
        <v>0</v>
      </c>
      <c r="P6" s="83" t="b">
        <v>1</v>
      </c>
      <c r="Q6" s="122"/>
      <c r="R6" s="125" t="s">
        <v>1280</v>
      </c>
      <c r="S6" s="125" t="s">
        <v>1280</v>
      </c>
      <c r="T6" s="125" t="s">
        <v>1280</v>
      </c>
      <c r="U6" s="103">
        <v>5175.0</v>
      </c>
      <c r="V6" s="122"/>
      <c r="W6" s="122">
        <v>45607.0</v>
      </c>
      <c r="X6" s="101">
        <f>400+750</f>
        <v>1150</v>
      </c>
      <c r="Y6" s="101" t="b">
        <v>0</v>
      </c>
    </row>
    <row r="7">
      <c r="A7" s="55">
        <v>2.024002213E9</v>
      </c>
      <c r="B7" s="55" t="s">
        <v>1273</v>
      </c>
      <c r="C7" s="55" t="s">
        <v>1281</v>
      </c>
      <c r="D7" s="55">
        <v>300.0</v>
      </c>
      <c r="E7" s="55" t="s">
        <v>1275</v>
      </c>
      <c r="F7" s="104"/>
      <c r="G7" s="122">
        <v>45594.0</v>
      </c>
      <c r="H7" s="55" t="b">
        <v>1</v>
      </c>
      <c r="I7" s="101" t="b">
        <v>0</v>
      </c>
      <c r="J7" s="55" t="b">
        <v>0</v>
      </c>
      <c r="K7" s="55" t="b">
        <v>0</v>
      </c>
      <c r="L7" s="55" t="b">
        <v>1</v>
      </c>
      <c r="M7" s="55" t="b">
        <v>0</v>
      </c>
      <c r="N7" s="55" t="b">
        <v>1</v>
      </c>
      <c r="O7" s="123" t="b">
        <v>1</v>
      </c>
      <c r="P7" s="75" t="b">
        <v>0</v>
      </c>
      <c r="Q7" s="103"/>
      <c r="R7" s="103"/>
      <c r="S7" s="103"/>
      <c r="T7" s="103"/>
      <c r="U7" s="103">
        <v>2415.0</v>
      </c>
      <c r="V7" s="103"/>
      <c r="W7" s="103" t="s">
        <v>1282</v>
      </c>
      <c r="X7" s="55">
        <v>750.0</v>
      </c>
      <c r="Y7" s="101" t="b">
        <v>0</v>
      </c>
    </row>
    <row r="8">
      <c r="A8" s="126">
        <v>2.024002211E9</v>
      </c>
      <c r="B8" s="126" t="s">
        <v>1273</v>
      </c>
      <c r="C8" s="126" t="s">
        <v>1283</v>
      </c>
      <c r="D8" s="126">
        <v>200.0</v>
      </c>
      <c r="E8" s="55" t="s">
        <v>284</v>
      </c>
      <c r="F8" s="104"/>
      <c r="G8" s="122">
        <v>45607.0</v>
      </c>
      <c r="H8" s="55" t="b">
        <v>1</v>
      </c>
      <c r="I8" s="101" t="b">
        <v>0</v>
      </c>
      <c r="J8" s="55" t="b">
        <v>1</v>
      </c>
      <c r="K8" s="55" t="b">
        <v>0</v>
      </c>
      <c r="L8" s="55" t="b">
        <v>1</v>
      </c>
      <c r="M8" s="55" t="b">
        <v>0</v>
      </c>
      <c r="N8" s="55" t="b">
        <v>1</v>
      </c>
      <c r="O8" s="127" t="b">
        <v>1</v>
      </c>
      <c r="P8" s="75" t="b">
        <v>0</v>
      </c>
      <c r="Q8" s="103"/>
      <c r="R8" s="103"/>
      <c r="S8" s="103"/>
      <c r="T8" s="103"/>
      <c r="U8" s="103">
        <v>1955.0</v>
      </c>
      <c r="V8" s="103"/>
      <c r="W8" s="103" t="s">
        <v>1198</v>
      </c>
      <c r="X8" s="55">
        <v>300.0</v>
      </c>
      <c r="Y8" s="55" t="b">
        <v>1</v>
      </c>
    </row>
    <row r="9">
      <c r="A9" s="126">
        <v>2.024002212E9</v>
      </c>
      <c r="B9" s="126" t="s">
        <v>194</v>
      </c>
      <c r="C9" s="126" t="s">
        <v>1284</v>
      </c>
      <c r="D9" s="126">
        <v>200.0</v>
      </c>
      <c r="E9" s="55" t="s">
        <v>1011</v>
      </c>
      <c r="F9" s="122">
        <v>45454.0</v>
      </c>
      <c r="G9" s="122">
        <v>45610.0</v>
      </c>
      <c r="H9" s="55" t="b">
        <v>1</v>
      </c>
      <c r="I9" s="55" t="b">
        <v>1</v>
      </c>
      <c r="J9" s="55" t="b">
        <v>0</v>
      </c>
      <c r="K9" s="55" t="b">
        <v>1</v>
      </c>
      <c r="L9" s="55" t="b">
        <v>1</v>
      </c>
      <c r="M9" s="55" t="b">
        <v>1</v>
      </c>
      <c r="N9" s="55" t="b">
        <v>1</v>
      </c>
      <c r="O9" s="123" t="s">
        <v>1017</v>
      </c>
      <c r="P9" s="42" t="b">
        <v>0</v>
      </c>
      <c r="Q9" s="104"/>
      <c r="R9" s="104"/>
      <c r="S9" s="104"/>
      <c r="T9" s="104"/>
      <c r="U9" s="103">
        <v>2817.5</v>
      </c>
      <c r="V9" s="104"/>
      <c r="W9" s="104"/>
      <c r="Y9" s="101" t="b">
        <v>0</v>
      </c>
    </row>
    <row r="10">
      <c r="A10" s="126">
        <v>2.024002214E9</v>
      </c>
      <c r="B10" s="126" t="s">
        <v>194</v>
      </c>
      <c r="C10" s="126" t="s">
        <v>1285</v>
      </c>
      <c r="D10" s="126">
        <v>200.0</v>
      </c>
      <c r="E10" s="55" t="s">
        <v>1011</v>
      </c>
      <c r="F10" s="122">
        <v>45454.0</v>
      </c>
      <c r="G10" s="122">
        <v>45610.0</v>
      </c>
      <c r="H10" s="55" t="b">
        <v>1</v>
      </c>
      <c r="I10" s="55" t="b">
        <v>1</v>
      </c>
      <c r="J10" s="55" t="b">
        <v>0</v>
      </c>
      <c r="K10" s="55" t="b">
        <v>1</v>
      </c>
      <c r="L10" s="55" t="b">
        <v>1</v>
      </c>
      <c r="M10" s="55" t="b">
        <v>0</v>
      </c>
      <c r="N10" s="55" t="b">
        <v>1</v>
      </c>
      <c r="O10" s="123" t="s">
        <v>1017</v>
      </c>
      <c r="P10" s="42" t="b">
        <v>0</v>
      </c>
      <c r="Q10" s="104"/>
      <c r="R10" s="104"/>
      <c r="S10" s="104"/>
      <c r="T10" s="104"/>
      <c r="U10" s="103">
        <v>2818.0</v>
      </c>
      <c r="V10" s="104"/>
      <c r="W10" s="104"/>
      <c r="Y10" s="101" t="b">
        <v>0</v>
      </c>
    </row>
    <row r="11">
      <c r="A11" s="55">
        <v>2.024002177E9</v>
      </c>
      <c r="B11" s="55" t="s">
        <v>1273</v>
      </c>
      <c r="C11" s="55" t="s">
        <v>1286</v>
      </c>
      <c r="D11" s="55">
        <v>750.0</v>
      </c>
      <c r="E11" s="55" t="s">
        <v>284</v>
      </c>
      <c r="F11" s="104"/>
      <c r="G11" s="122">
        <v>45621.0</v>
      </c>
      <c r="H11" s="55" t="b">
        <v>0</v>
      </c>
      <c r="I11" s="55" t="b">
        <v>1</v>
      </c>
      <c r="J11" s="55" t="b">
        <v>1</v>
      </c>
      <c r="K11" s="101" t="b">
        <v>0</v>
      </c>
      <c r="L11" s="101" t="b">
        <v>0</v>
      </c>
      <c r="M11" s="101" t="b">
        <v>0</v>
      </c>
      <c r="N11" s="55" t="b">
        <v>0</v>
      </c>
      <c r="O11" s="128" t="b">
        <v>0</v>
      </c>
      <c r="P11" s="83" t="b">
        <v>1</v>
      </c>
      <c r="Q11" s="104"/>
      <c r="R11" s="103" t="s">
        <v>1276</v>
      </c>
      <c r="S11" s="103" t="s">
        <v>1276</v>
      </c>
      <c r="T11" s="103" t="s">
        <v>1276</v>
      </c>
      <c r="U11" s="103">
        <v>7331.25</v>
      </c>
      <c r="V11" s="104"/>
      <c r="W11" s="104"/>
      <c r="Y11" s="101" t="b">
        <v>0</v>
      </c>
    </row>
    <row r="12">
      <c r="A12" s="55">
        <v>2.024002172E9</v>
      </c>
      <c r="B12" s="55" t="s">
        <v>467</v>
      </c>
      <c r="C12" s="55" t="s">
        <v>1287</v>
      </c>
      <c r="D12" s="55">
        <v>1800.0</v>
      </c>
      <c r="F12" s="104"/>
      <c r="G12" s="104"/>
      <c r="H12" s="55" t="b">
        <v>0</v>
      </c>
      <c r="L12" s="55" t="b">
        <v>1</v>
      </c>
      <c r="N12" s="55" t="b">
        <v>0</v>
      </c>
      <c r="O12" s="42"/>
      <c r="P12" s="42"/>
      <c r="Q12" s="104"/>
      <c r="R12" s="104"/>
      <c r="S12" s="104"/>
      <c r="T12" s="104"/>
      <c r="U12" s="103">
        <v>28980.0</v>
      </c>
      <c r="V12" s="104"/>
      <c r="W12" s="104"/>
    </row>
    <row r="13">
      <c r="A13" s="55">
        <v>2.024002173E9</v>
      </c>
      <c r="B13" s="55" t="s">
        <v>467</v>
      </c>
      <c r="C13" s="55" t="s">
        <v>1288</v>
      </c>
      <c r="D13" s="55">
        <v>450.0</v>
      </c>
      <c r="F13" s="104"/>
      <c r="G13" s="104"/>
      <c r="H13" s="55" t="b">
        <v>0</v>
      </c>
      <c r="L13" s="55" t="b">
        <v>1</v>
      </c>
      <c r="N13" s="55" t="b">
        <v>0</v>
      </c>
      <c r="O13" s="42"/>
      <c r="P13" s="42"/>
      <c r="U13" s="55">
        <v>7762.5</v>
      </c>
      <c r="X13" s="101">
        <f>SUM(X4:X10)</f>
        <v>2700</v>
      </c>
    </row>
    <row r="14">
      <c r="A14" s="55">
        <v>2.024003211E9</v>
      </c>
      <c r="B14" s="55" t="s">
        <v>724</v>
      </c>
      <c r="C14" s="55" t="s">
        <v>1289</v>
      </c>
      <c r="D14" s="55">
        <v>150.0</v>
      </c>
      <c r="E14" s="55">
        <v>9.63</v>
      </c>
      <c r="F14" s="104"/>
      <c r="G14" s="104"/>
      <c r="H14" s="55" t="b">
        <v>1</v>
      </c>
      <c r="L14" s="101" t="b">
        <v>0</v>
      </c>
      <c r="N14" s="55" t="b">
        <v>1</v>
      </c>
      <c r="O14" s="42"/>
      <c r="P14" s="42"/>
      <c r="U14" s="55">
        <v>1661.18</v>
      </c>
    </row>
    <row r="15">
      <c r="A15" s="55">
        <v>2.024003209E9</v>
      </c>
      <c r="B15" s="55" t="s">
        <v>724</v>
      </c>
      <c r="C15" s="55" t="s">
        <v>1290</v>
      </c>
      <c r="D15" s="55">
        <v>75.0</v>
      </c>
      <c r="E15" s="55">
        <v>10.59</v>
      </c>
      <c r="F15" s="104"/>
      <c r="G15" s="104"/>
      <c r="H15" s="55" t="b">
        <v>0</v>
      </c>
      <c r="L15" s="101" t="b">
        <v>0</v>
      </c>
      <c r="N15" s="55" t="b">
        <v>1</v>
      </c>
      <c r="O15" s="42"/>
      <c r="P15" s="42"/>
      <c r="U15" s="55">
        <v>913.39</v>
      </c>
    </row>
    <row r="16">
      <c r="A16" s="55">
        <v>2.024003207E9</v>
      </c>
      <c r="B16" s="55" t="s">
        <v>724</v>
      </c>
      <c r="C16" s="55" t="s">
        <v>1291</v>
      </c>
      <c r="D16" s="55">
        <v>300.0</v>
      </c>
      <c r="E16" s="55">
        <v>7.71</v>
      </c>
      <c r="F16" s="104"/>
      <c r="G16" s="104"/>
      <c r="H16" s="55" t="b">
        <v>0</v>
      </c>
      <c r="L16" s="101" t="b">
        <v>0</v>
      </c>
      <c r="N16" s="55" t="b">
        <v>1</v>
      </c>
      <c r="O16" s="42"/>
      <c r="P16" s="42"/>
      <c r="U16" s="55">
        <v>2659.95</v>
      </c>
    </row>
    <row r="17">
      <c r="A17" s="55">
        <v>2.024003206E9</v>
      </c>
      <c r="B17" s="55" t="s">
        <v>724</v>
      </c>
      <c r="C17" s="55" t="s">
        <v>1291</v>
      </c>
      <c r="D17" s="55">
        <v>300.0</v>
      </c>
      <c r="E17" s="55">
        <v>7.67</v>
      </c>
      <c r="F17" s="104"/>
      <c r="G17" s="104"/>
      <c r="H17" s="55" t="b">
        <v>0</v>
      </c>
      <c r="L17" s="101" t="b">
        <v>0</v>
      </c>
      <c r="N17" s="55" t="b">
        <v>1</v>
      </c>
      <c r="O17" s="42"/>
      <c r="P17" s="42"/>
      <c r="U17" s="55">
        <v>2646.15</v>
      </c>
    </row>
    <row r="18">
      <c r="A18" s="55">
        <v>2.024003205E9</v>
      </c>
      <c r="B18" s="55" t="s">
        <v>724</v>
      </c>
      <c r="C18" s="55" t="s">
        <v>1292</v>
      </c>
      <c r="D18" s="55">
        <v>75.0</v>
      </c>
      <c r="E18" s="55">
        <v>10.8</v>
      </c>
      <c r="F18" s="104"/>
      <c r="G18" s="104"/>
      <c r="H18" s="55" t="b">
        <v>0</v>
      </c>
      <c r="L18" s="101" t="b">
        <v>0</v>
      </c>
      <c r="N18" s="55" t="b">
        <v>1</v>
      </c>
      <c r="O18" s="42"/>
      <c r="P18" s="42"/>
      <c r="U18" s="55">
        <v>931.5</v>
      </c>
    </row>
    <row r="19">
      <c r="A19" s="55">
        <v>2.024003204E9</v>
      </c>
      <c r="B19" s="55" t="s">
        <v>724</v>
      </c>
      <c r="C19" s="55" t="s">
        <v>1293</v>
      </c>
      <c r="D19" s="55">
        <v>150.0</v>
      </c>
      <c r="E19" s="55">
        <v>8.67</v>
      </c>
      <c r="F19" s="104"/>
      <c r="G19" s="104"/>
      <c r="H19" s="55" t="b">
        <v>0</v>
      </c>
      <c r="L19" s="101" t="b">
        <v>0</v>
      </c>
      <c r="N19" s="55" t="b">
        <v>1</v>
      </c>
      <c r="O19" s="42"/>
      <c r="P19" s="42"/>
      <c r="U19" s="55">
        <v>1495.58</v>
      </c>
    </row>
    <row r="20">
      <c r="A20" s="55">
        <v>2.024003203E9</v>
      </c>
      <c r="B20" s="55" t="s">
        <v>724</v>
      </c>
      <c r="C20" s="55" t="s">
        <v>1294</v>
      </c>
      <c r="D20" s="55">
        <v>200.0</v>
      </c>
      <c r="E20" s="55">
        <v>9.63</v>
      </c>
      <c r="F20" s="104"/>
      <c r="G20" s="104"/>
      <c r="H20" s="55" t="b">
        <v>1</v>
      </c>
      <c r="L20" s="101" t="b">
        <v>0</v>
      </c>
      <c r="N20" s="55" t="b">
        <v>1</v>
      </c>
      <c r="O20" s="42"/>
      <c r="P20" s="42"/>
      <c r="U20" s="55">
        <v>2214.9</v>
      </c>
    </row>
    <row r="21">
      <c r="A21" s="55">
        <v>2.024003202E9</v>
      </c>
      <c r="B21" s="55" t="s">
        <v>724</v>
      </c>
      <c r="C21" s="55" t="s">
        <v>1295</v>
      </c>
      <c r="D21" s="55">
        <v>275.0</v>
      </c>
      <c r="E21" s="55">
        <v>12.78</v>
      </c>
      <c r="F21" s="104"/>
      <c r="G21" s="104"/>
      <c r="H21" s="55" t="b">
        <v>0</v>
      </c>
      <c r="L21" s="101" t="b">
        <v>0</v>
      </c>
      <c r="N21" s="55" t="b">
        <v>1</v>
      </c>
      <c r="O21" s="42"/>
      <c r="P21" s="42"/>
      <c r="U21" s="55">
        <v>4041.68</v>
      </c>
    </row>
    <row r="22">
      <c r="A22" s="55">
        <v>2.024003201E9</v>
      </c>
      <c r="B22" s="55" t="s">
        <v>724</v>
      </c>
      <c r="C22" s="55" t="s">
        <v>1296</v>
      </c>
      <c r="D22" s="55">
        <v>75.0</v>
      </c>
      <c r="E22" s="55">
        <v>10.6</v>
      </c>
      <c r="F22" s="104"/>
      <c r="G22" s="104"/>
      <c r="H22" s="55" t="b">
        <v>0</v>
      </c>
      <c r="L22" s="101" t="b">
        <v>0</v>
      </c>
      <c r="N22" s="55" t="b">
        <v>1</v>
      </c>
      <c r="O22" s="42"/>
      <c r="P22" s="42"/>
      <c r="U22" s="55">
        <v>914.25</v>
      </c>
      <c r="V22" s="101">
        <f>SUM(U14:U22)</f>
        <v>17478.58</v>
      </c>
    </row>
    <row r="23">
      <c r="A23" s="55">
        <v>2.024002744E9</v>
      </c>
      <c r="B23" s="55" t="s">
        <v>1297</v>
      </c>
      <c r="C23" s="55" t="s">
        <v>1221</v>
      </c>
      <c r="D23" s="55">
        <v>125.0</v>
      </c>
      <c r="F23" s="104"/>
      <c r="G23" s="104"/>
      <c r="H23" s="55" t="b">
        <v>0</v>
      </c>
      <c r="L23" s="101" t="b">
        <v>0</v>
      </c>
      <c r="N23" s="55" t="b">
        <v>1</v>
      </c>
      <c r="O23" s="42"/>
      <c r="P23" s="42"/>
      <c r="U23" s="55">
        <v>682.81</v>
      </c>
      <c r="V23" s="101">
        <f>V22-V25</f>
        <v>2278.58</v>
      </c>
      <c r="W23" s="55" t="s">
        <v>1298</v>
      </c>
    </row>
    <row r="24">
      <c r="A24" s="55">
        <v>2.024002774E9</v>
      </c>
      <c r="B24" s="55" t="s">
        <v>1297</v>
      </c>
      <c r="C24" s="55" t="s">
        <v>1221</v>
      </c>
      <c r="D24" s="55">
        <v>125.0</v>
      </c>
      <c r="F24" s="104"/>
      <c r="G24" s="104"/>
      <c r="H24" s="55" t="b">
        <v>0</v>
      </c>
      <c r="L24" s="101" t="b">
        <v>0</v>
      </c>
      <c r="N24" s="55" t="b">
        <v>1</v>
      </c>
      <c r="O24" s="42"/>
      <c r="P24" s="42"/>
      <c r="U24" s="55">
        <v>682.81</v>
      </c>
    </row>
    <row r="25">
      <c r="A25" s="55">
        <v>2.024002742E9</v>
      </c>
      <c r="B25" s="55" t="s">
        <v>1297</v>
      </c>
      <c r="C25" s="55" t="s">
        <v>1232</v>
      </c>
      <c r="D25" s="55">
        <v>250.0</v>
      </c>
      <c r="F25" s="104"/>
      <c r="G25" s="104"/>
      <c r="H25" s="55" t="b">
        <v>0</v>
      </c>
      <c r="L25" s="101" t="b">
        <v>0</v>
      </c>
      <c r="N25" s="55" t="b">
        <v>1</v>
      </c>
      <c r="O25" s="42"/>
      <c r="P25" s="42"/>
      <c r="U25" s="55">
        <v>1365.63</v>
      </c>
      <c r="V25" s="55">
        <v>15200.0</v>
      </c>
    </row>
    <row r="26">
      <c r="A26" s="55">
        <v>2.024002745E9</v>
      </c>
      <c r="B26" s="55" t="s">
        <v>1297</v>
      </c>
      <c r="C26" s="55" t="s">
        <v>1232</v>
      </c>
      <c r="D26" s="55">
        <v>250.0</v>
      </c>
      <c r="F26" s="104"/>
      <c r="G26" s="104"/>
      <c r="H26" s="55" t="b">
        <v>0</v>
      </c>
      <c r="L26" s="101" t="b">
        <v>0</v>
      </c>
      <c r="N26" s="55" t="b">
        <v>1</v>
      </c>
      <c r="O26" s="42"/>
      <c r="P26" s="42"/>
      <c r="U26" s="55">
        <v>1365.63</v>
      </c>
      <c r="W26" s="55" t="s">
        <v>1299</v>
      </c>
    </row>
    <row r="27">
      <c r="F27" s="104"/>
      <c r="G27" s="104"/>
      <c r="O27" s="42"/>
      <c r="P27" s="42"/>
      <c r="V27" s="101">
        <f>SUM(U4:U26)</f>
        <v>92042.21</v>
      </c>
      <c r="W27" s="101">
        <f>V27/1.15</f>
        <v>80036.70435</v>
      </c>
    </row>
    <row r="28">
      <c r="F28" s="104"/>
      <c r="G28" s="104"/>
      <c r="O28" s="42"/>
      <c r="P28" s="42"/>
      <c r="W28" s="55">
        <v>20000.0</v>
      </c>
    </row>
    <row r="29">
      <c r="F29" s="104"/>
      <c r="G29" s="104"/>
      <c r="O29" s="42"/>
      <c r="P29" s="42"/>
      <c r="W29" s="55">
        <v>44000.0</v>
      </c>
    </row>
    <row r="30">
      <c r="F30" s="104"/>
      <c r="G30" s="104"/>
      <c r="O30" s="42"/>
      <c r="P30" s="42"/>
    </row>
    <row r="31">
      <c r="F31" s="104"/>
      <c r="G31" s="104"/>
      <c r="O31" s="42"/>
      <c r="P31" s="42"/>
      <c r="W31" s="101">
        <f>W27-W28-W29</f>
        <v>16036.70435</v>
      </c>
    </row>
    <row r="32">
      <c r="F32" s="104"/>
      <c r="G32" s="104"/>
      <c r="O32" s="42"/>
      <c r="P32" s="42"/>
    </row>
    <row r="33">
      <c r="F33" s="104"/>
      <c r="G33" s="104"/>
      <c r="O33" s="42"/>
      <c r="P33" s="42"/>
    </row>
    <row r="34">
      <c r="F34" s="104"/>
      <c r="G34" s="104"/>
      <c r="O34" s="42"/>
      <c r="P34" s="42"/>
    </row>
    <row r="35">
      <c r="F35" s="104"/>
      <c r="G35" s="104"/>
      <c r="O35" s="42"/>
      <c r="P35" s="42"/>
    </row>
    <row r="36">
      <c r="F36" s="104"/>
      <c r="G36" s="104"/>
      <c r="O36" s="42"/>
      <c r="P36" s="42"/>
    </row>
    <row r="37">
      <c r="F37" s="104"/>
      <c r="G37" s="104"/>
      <c r="O37" s="42"/>
      <c r="P37" s="42"/>
    </row>
    <row r="38">
      <c r="F38" s="104"/>
      <c r="G38" s="104"/>
      <c r="O38" s="42"/>
      <c r="P38" s="42"/>
    </row>
    <row r="39">
      <c r="F39" s="104"/>
      <c r="G39" s="104"/>
      <c r="O39" s="42"/>
      <c r="P39" s="42"/>
    </row>
    <row r="40">
      <c r="F40" s="104"/>
      <c r="G40" s="104"/>
      <c r="O40" s="42"/>
      <c r="P40" s="42"/>
    </row>
    <row r="41">
      <c r="F41" s="104"/>
      <c r="G41" s="104"/>
      <c r="O41" s="42"/>
      <c r="P41" s="42"/>
    </row>
    <row r="42">
      <c r="F42" s="104"/>
      <c r="G42" s="104"/>
      <c r="O42" s="42"/>
      <c r="P42" s="42"/>
    </row>
    <row r="43">
      <c r="F43" s="104"/>
      <c r="G43" s="104"/>
      <c r="O43" s="42"/>
      <c r="P43" s="42"/>
    </row>
    <row r="44">
      <c r="F44" s="104"/>
      <c r="G44" s="104"/>
      <c r="O44" s="42"/>
      <c r="P44" s="42"/>
    </row>
    <row r="45">
      <c r="F45" s="104"/>
      <c r="G45" s="104"/>
      <c r="O45" s="42"/>
      <c r="P45" s="42"/>
    </row>
    <row r="46">
      <c r="F46" s="104"/>
      <c r="G46" s="104"/>
      <c r="O46" s="42"/>
      <c r="P46" s="42"/>
    </row>
    <row r="47">
      <c r="F47" s="104"/>
      <c r="G47" s="104"/>
      <c r="O47" s="42"/>
      <c r="P47" s="42"/>
    </row>
    <row r="48">
      <c r="F48" s="104"/>
      <c r="G48" s="104"/>
      <c r="O48" s="42"/>
      <c r="P48" s="42"/>
    </row>
    <row r="49">
      <c r="F49" s="104"/>
      <c r="G49" s="104"/>
      <c r="O49" s="42"/>
      <c r="P49" s="42"/>
    </row>
    <row r="50">
      <c r="F50" s="104"/>
      <c r="G50" s="104"/>
      <c r="O50" s="42"/>
      <c r="P50" s="42"/>
    </row>
    <row r="51">
      <c r="F51" s="104"/>
      <c r="G51" s="104"/>
      <c r="O51" s="42"/>
      <c r="P51" s="42"/>
    </row>
    <row r="52">
      <c r="F52" s="104"/>
      <c r="G52" s="104"/>
      <c r="O52" s="42"/>
      <c r="P52" s="42"/>
    </row>
    <row r="53">
      <c r="F53" s="104"/>
      <c r="G53" s="104"/>
      <c r="O53" s="42"/>
      <c r="P53" s="42"/>
    </row>
    <row r="54">
      <c r="F54" s="104"/>
      <c r="G54" s="104"/>
      <c r="O54" s="42"/>
      <c r="P54" s="42"/>
    </row>
    <row r="55">
      <c r="F55" s="104"/>
      <c r="G55" s="104"/>
      <c r="O55" s="42"/>
      <c r="P55" s="42"/>
    </row>
    <row r="56">
      <c r="F56" s="104"/>
      <c r="G56" s="104"/>
      <c r="O56" s="42"/>
      <c r="P56" s="42"/>
    </row>
    <row r="57">
      <c r="F57" s="104"/>
      <c r="G57" s="104"/>
      <c r="O57" s="42"/>
      <c r="P57" s="42"/>
    </row>
    <row r="58">
      <c r="F58" s="104"/>
      <c r="G58" s="104"/>
      <c r="O58" s="42"/>
      <c r="P58" s="42"/>
    </row>
    <row r="59">
      <c r="F59" s="104"/>
      <c r="G59" s="104"/>
      <c r="O59" s="42"/>
      <c r="P59" s="42"/>
    </row>
    <row r="60">
      <c r="F60" s="104"/>
      <c r="G60" s="104"/>
      <c r="O60" s="42"/>
      <c r="P60" s="42"/>
    </row>
    <row r="61">
      <c r="F61" s="104"/>
      <c r="G61" s="104"/>
      <c r="O61" s="42"/>
      <c r="P61" s="42"/>
    </row>
    <row r="62">
      <c r="F62" s="104"/>
      <c r="G62" s="104"/>
      <c r="O62" s="42"/>
      <c r="P62" s="42"/>
    </row>
    <row r="63">
      <c r="F63" s="104"/>
      <c r="G63" s="104"/>
      <c r="O63" s="42"/>
      <c r="P63" s="42"/>
    </row>
    <row r="64">
      <c r="F64" s="104"/>
      <c r="G64" s="104"/>
      <c r="O64" s="42"/>
      <c r="P64" s="42"/>
    </row>
    <row r="65">
      <c r="F65" s="104"/>
      <c r="G65" s="104"/>
      <c r="O65" s="42"/>
      <c r="P65" s="42"/>
    </row>
    <row r="66">
      <c r="F66" s="104"/>
      <c r="G66" s="104"/>
      <c r="O66" s="42"/>
      <c r="P66" s="42"/>
    </row>
    <row r="67">
      <c r="F67" s="104"/>
      <c r="G67" s="104"/>
      <c r="O67" s="42"/>
      <c r="P67" s="42"/>
    </row>
    <row r="68">
      <c r="F68" s="104"/>
      <c r="G68" s="104"/>
      <c r="O68" s="42"/>
      <c r="P68" s="42"/>
    </row>
    <row r="69">
      <c r="F69" s="104"/>
      <c r="G69" s="104"/>
      <c r="O69" s="42"/>
      <c r="P69" s="42"/>
    </row>
    <row r="70">
      <c r="F70" s="104"/>
      <c r="G70" s="104"/>
      <c r="O70" s="42"/>
      <c r="P70" s="42"/>
    </row>
    <row r="71">
      <c r="F71" s="104"/>
      <c r="G71" s="104"/>
      <c r="O71" s="42"/>
      <c r="P71" s="42"/>
    </row>
    <row r="72">
      <c r="F72" s="104"/>
      <c r="G72" s="104"/>
      <c r="O72" s="42"/>
      <c r="P72" s="42"/>
    </row>
    <row r="73">
      <c r="F73" s="104"/>
      <c r="G73" s="104"/>
      <c r="O73" s="42"/>
      <c r="P73" s="42"/>
    </row>
    <row r="74">
      <c r="F74" s="104"/>
      <c r="G74" s="104"/>
      <c r="O74" s="42"/>
      <c r="P74" s="42"/>
    </row>
    <row r="75">
      <c r="F75" s="104"/>
      <c r="G75" s="104"/>
      <c r="O75" s="42"/>
      <c r="P75" s="42"/>
    </row>
    <row r="76">
      <c r="F76" s="104"/>
      <c r="G76" s="104"/>
      <c r="O76" s="42"/>
      <c r="P76" s="42"/>
    </row>
    <row r="77">
      <c r="F77" s="104"/>
      <c r="G77" s="104"/>
      <c r="O77" s="42"/>
      <c r="P77" s="42"/>
    </row>
    <row r="78">
      <c r="F78" s="104"/>
      <c r="G78" s="104"/>
      <c r="O78" s="42"/>
      <c r="P78" s="42"/>
    </row>
    <row r="79">
      <c r="F79" s="104"/>
      <c r="G79" s="104"/>
      <c r="O79" s="42"/>
      <c r="P79" s="42"/>
    </row>
    <row r="80">
      <c r="F80" s="104"/>
      <c r="G80" s="104"/>
      <c r="O80" s="42"/>
      <c r="P80" s="42"/>
    </row>
    <row r="81">
      <c r="F81" s="104"/>
      <c r="G81" s="104"/>
      <c r="O81" s="42"/>
      <c r="P81" s="42"/>
    </row>
    <row r="82">
      <c r="F82" s="104"/>
      <c r="G82" s="104"/>
      <c r="O82" s="42"/>
      <c r="P82" s="42"/>
    </row>
    <row r="83">
      <c r="F83" s="104"/>
      <c r="G83" s="104"/>
      <c r="O83" s="42"/>
      <c r="P83" s="42"/>
    </row>
    <row r="84">
      <c r="F84" s="104"/>
      <c r="G84" s="104"/>
      <c r="O84" s="42"/>
      <c r="P84" s="42"/>
    </row>
    <row r="85">
      <c r="F85" s="104"/>
      <c r="G85" s="104"/>
      <c r="O85" s="42"/>
      <c r="P85" s="42"/>
    </row>
    <row r="86">
      <c r="F86" s="104"/>
      <c r="G86" s="104"/>
      <c r="O86" s="42"/>
      <c r="P86" s="42"/>
    </row>
    <row r="87">
      <c r="F87" s="104"/>
      <c r="G87" s="104"/>
      <c r="O87" s="42"/>
      <c r="P87" s="42"/>
    </row>
    <row r="88">
      <c r="F88" s="104"/>
      <c r="G88" s="104"/>
      <c r="O88" s="42"/>
      <c r="P88" s="42"/>
    </row>
    <row r="89">
      <c r="F89" s="104"/>
      <c r="G89" s="104"/>
      <c r="O89" s="42"/>
      <c r="P89" s="42"/>
    </row>
    <row r="90">
      <c r="F90" s="104"/>
      <c r="G90" s="104"/>
      <c r="O90" s="42"/>
      <c r="P90" s="42"/>
    </row>
    <row r="91">
      <c r="F91" s="104"/>
      <c r="G91" s="104"/>
      <c r="O91" s="42"/>
      <c r="P91" s="42"/>
    </row>
    <row r="92">
      <c r="F92" s="104"/>
      <c r="G92" s="104"/>
      <c r="O92" s="42"/>
      <c r="P92" s="42"/>
    </row>
    <row r="93">
      <c r="F93" s="104"/>
      <c r="G93" s="104"/>
      <c r="O93" s="42"/>
      <c r="P93" s="42"/>
    </row>
    <row r="94">
      <c r="F94" s="104"/>
      <c r="G94" s="104"/>
      <c r="O94" s="42"/>
      <c r="P94" s="42"/>
    </row>
    <row r="95">
      <c r="F95" s="104"/>
      <c r="G95" s="104"/>
      <c r="O95" s="42"/>
      <c r="P95" s="42"/>
    </row>
    <row r="96">
      <c r="F96" s="104"/>
      <c r="G96" s="104"/>
      <c r="O96" s="42"/>
      <c r="P96" s="42"/>
    </row>
    <row r="97">
      <c r="F97" s="104"/>
      <c r="G97" s="104"/>
      <c r="O97" s="42"/>
      <c r="P97" s="42"/>
    </row>
    <row r="98">
      <c r="F98" s="104"/>
      <c r="G98" s="104"/>
      <c r="O98" s="42"/>
      <c r="P98" s="42"/>
    </row>
    <row r="99">
      <c r="F99" s="104"/>
      <c r="G99" s="104"/>
      <c r="O99" s="42"/>
      <c r="P99" s="42"/>
    </row>
    <row r="100">
      <c r="F100" s="104"/>
      <c r="G100" s="104"/>
      <c r="O100" s="42"/>
      <c r="P100" s="42"/>
    </row>
    <row r="101">
      <c r="F101" s="104"/>
      <c r="G101" s="104"/>
      <c r="O101" s="42"/>
      <c r="P101" s="42"/>
    </row>
    <row r="102">
      <c r="F102" s="104"/>
      <c r="G102" s="104"/>
      <c r="O102" s="42"/>
      <c r="P102" s="42"/>
    </row>
    <row r="103">
      <c r="F103" s="104"/>
      <c r="G103" s="104"/>
      <c r="O103" s="42"/>
      <c r="P103" s="42"/>
    </row>
    <row r="104">
      <c r="F104" s="104"/>
      <c r="G104" s="104"/>
      <c r="O104" s="42"/>
      <c r="P104" s="42"/>
    </row>
    <row r="105">
      <c r="F105" s="104"/>
      <c r="G105" s="104"/>
      <c r="O105" s="42"/>
      <c r="P105" s="42"/>
    </row>
    <row r="106">
      <c r="F106" s="104"/>
      <c r="G106" s="104"/>
      <c r="O106" s="42"/>
      <c r="P106" s="42"/>
    </row>
    <row r="107">
      <c r="F107" s="104"/>
      <c r="G107" s="104"/>
      <c r="O107" s="42"/>
      <c r="P107" s="42"/>
    </row>
    <row r="108">
      <c r="F108" s="104"/>
      <c r="G108" s="104"/>
      <c r="O108" s="42"/>
      <c r="P108" s="42"/>
    </row>
    <row r="109">
      <c r="F109" s="104"/>
      <c r="G109" s="104"/>
      <c r="O109" s="42"/>
      <c r="P109" s="42"/>
    </row>
    <row r="110">
      <c r="F110" s="104"/>
      <c r="G110" s="104"/>
      <c r="O110" s="42"/>
      <c r="P110" s="42"/>
    </row>
    <row r="111">
      <c r="F111" s="104"/>
      <c r="G111" s="104"/>
      <c r="O111" s="42"/>
      <c r="P111" s="42"/>
    </row>
    <row r="112">
      <c r="F112" s="104"/>
      <c r="G112" s="104"/>
      <c r="O112" s="42"/>
      <c r="P112" s="42"/>
    </row>
    <row r="113">
      <c r="F113" s="104"/>
      <c r="G113" s="104"/>
      <c r="O113" s="42"/>
      <c r="P113" s="42"/>
    </row>
    <row r="114">
      <c r="F114" s="104"/>
      <c r="G114" s="104"/>
      <c r="O114" s="42"/>
      <c r="P114" s="42"/>
    </row>
    <row r="115">
      <c r="F115" s="104"/>
      <c r="G115" s="104"/>
      <c r="O115" s="42"/>
      <c r="P115" s="42"/>
    </row>
    <row r="116">
      <c r="F116" s="104"/>
      <c r="G116" s="104"/>
      <c r="O116" s="42"/>
      <c r="P116" s="42"/>
    </row>
    <row r="117">
      <c r="F117" s="104"/>
      <c r="G117" s="104"/>
      <c r="O117" s="42"/>
      <c r="P117" s="42"/>
    </row>
    <row r="118">
      <c r="F118" s="104"/>
      <c r="G118" s="104"/>
      <c r="O118" s="42"/>
      <c r="P118" s="42"/>
    </row>
    <row r="119">
      <c r="F119" s="104"/>
      <c r="G119" s="104"/>
      <c r="O119" s="42"/>
      <c r="P119" s="42"/>
    </row>
    <row r="120">
      <c r="F120" s="104"/>
      <c r="G120" s="104"/>
      <c r="O120" s="42"/>
      <c r="P120" s="42"/>
    </row>
    <row r="121">
      <c r="F121" s="104"/>
      <c r="G121" s="104"/>
      <c r="O121" s="42"/>
      <c r="P121" s="42"/>
    </row>
    <row r="122">
      <c r="F122" s="104"/>
      <c r="G122" s="104"/>
      <c r="O122" s="42"/>
      <c r="P122" s="42"/>
    </row>
    <row r="123">
      <c r="F123" s="104"/>
      <c r="G123" s="104"/>
      <c r="O123" s="42"/>
      <c r="P123" s="42"/>
    </row>
    <row r="124">
      <c r="F124" s="104"/>
      <c r="G124" s="104"/>
      <c r="O124" s="42"/>
      <c r="P124" s="42"/>
    </row>
    <row r="125">
      <c r="F125" s="104"/>
      <c r="G125" s="104"/>
      <c r="O125" s="42"/>
      <c r="P125" s="42"/>
    </row>
    <row r="126">
      <c r="F126" s="104"/>
      <c r="G126" s="104"/>
      <c r="O126" s="42"/>
      <c r="P126" s="42"/>
    </row>
    <row r="127">
      <c r="F127" s="104"/>
      <c r="G127" s="104"/>
      <c r="O127" s="42"/>
      <c r="P127" s="42"/>
    </row>
    <row r="128">
      <c r="F128" s="104"/>
      <c r="G128" s="104"/>
      <c r="O128" s="42"/>
      <c r="P128" s="42"/>
    </row>
    <row r="129">
      <c r="F129" s="104"/>
      <c r="G129" s="104"/>
      <c r="O129" s="42"/>
      <c r="P129" s="42"/>
    </row>
    <row r="130">
      <c r="F130" s="104"/>
      <c r="G130" s="104"/>
      <c r="O130" s="42"/>
      <c r="P130" s="42"/>
    </row>
    <row r="131">
      <c r="F131" s="104"/>
      <c r="G131" s="104"/>
      <c r="O131" s="42"/>
      <c r="P131" s="42"/>
    </row>
    <row r="132">
      <c r="F132" s="104"/>
      <c r="G132" s="104"/>
      <c r="O132" s="42"/>
      <c r="P132" s="42"/>
    </row>
    <row r="133">
      <c r="F133" s="104"/>
      <c r="G133" s="104"/>
      <c r="O133" s="42"/>
      <c r="P133" s="42"/>
    </row>
    <row r="134">
      <c r="F134" s="104"/>
      <c r="G134" s="104"/>
      <c r="O134" s="42"/>
      <c r="P134" s="42"/>
    </row>
    <row r="135">
      <c r="F135" s="104"/>
      <c r="G135" s="104"/>
      <c r="O135" s="42"/>
      <c r="P135" s="42"/>
    </row>
    <row r="136">
      <c r="F136" s="104"/>
      <c r="G136" s="104"/>
      <c r="O136" s="42"/>
      <c r="P136" s="42"/>
    </row>
    <row r="137">
      <c r="F137" s="104"/>
      <c r="G137" s="104"/>
      <c r="O137" s="42"/>
      <c r="P137" s="42"/>
    </row>
    <row r="138">
      <c r="F138" s="104"/>
      <c r="G138" s="104"/>
      <c r="O138" s="42"/>
      <c r="P138" s="42"/>
    </row>
    <row r="139">
      <c r="F139" s="104"/>
      <c r="G139" s="104"/>
      <c r="O139" s="42"/>
      <c r="P139" s="42"/>
    </row>
    <row r="140">
      <c r="F140" s="104"/>
      <c r="G140" s="104"/>
      <c r="O140" s="42"/>
      <c r="P140" s="42"/>
    </row>
    <row r="141">
      <c r="F141" s="104"/>
      <c r="G141" s="104"/>
      <c r="O141" s="42"/>
      <c r="P141" s="42"/>
    </row>
    <row r="142">
      <c r="F142" s="104"/>
      <c r="G142" s="104"/>
      <c r="O142" s="42"/>
      <c r="P142" s="42"/>
    </row>
    <row r="143">
      <c r="F143" s="104"/>
      <c r="G143" s="104"/>
      <c r="O143" s="42"/>
      <c r="P143" s="42"/>
    </row>
    <row r="144">
      <c r="F144" s="104"/>
      <c r="G144" s="104"/>
      <c r="O144" s="42"/>
      <c r="P144" s="42"/>
    </row>
    <row r="145">
      <c r="F145" s="104"/>
      <c r="G145" s="104"/>
      <c r="O145" s="42"/>
      <c r="P145" s="42"/>
    </row>
    <row r="146">
      <c r="F146" s="104"/>
      <c r="G146" s="104"/>
      <c r="O146" s="42"/>
      <c r="P146" s="42"/>
    </row>
    <row r="147">
      <c r="F147" s="104"/>
      <c r="G147" s="104"/>
      <c r="O147" s="42"/>
      <c r="P147" s="42"/>
    </row>
    <row r="148">
      <c r="F148" s="104"/>
      <c r="G148" s="104"/>
      <c r="O148" s="42"/>
      <c r="P148" s="42"/>
    </row>
    <row r="149">
      <c r="F149" s="104"/>
      <c r="G149" s="104"/>
      <c r="O149" s="42"/>
      <c r="P149" s="42"/>
    </row>
    <row r="150">
      <c r="F150" s="104"/>
      <c r="G150" s="104"/>
      <c r="O150" s="42"/>
      <c r="P150" s="42"/>
    </row>
    <row r="151">
      <c r="F151" s="104"/>
      <c r="G151" s="104"/>
      <c r="O151" s="42"/>
      <c r="P151" s="42"/>
    </row>
    <row r="152">
      <c r="F152" s="104"/>
      <c r="G152" s="104"/>
      <c r="O152" s="42"/>
      <c r="P152" s="42"/>
    </row>
    <row r="153">
      <c r="F153" s="104"/>
      <c r="G153" s="104"/>
      <c r="O153" s="42"/>
      <c r="P153" s="42"/>
    </row>
    <row r="154">
      <c r="F154" s="104"/>
      <c r="G154" s="104"/>
      <c r="O154" s="42"/>
      <c r="P154" s="42"/>
    </row>
    <row r="155">
      <c r="F155" s="104"/>
      <c r="G155" s="104"/>
      <c r="O155" s="42"/>
      <c r="P155" s="42"/>
    </row>
    <row r="156">
      <c r="F156" s="104"/>
      <c r="G156" s="104"/>
      <c r="O156" s="42"/>
      <c r="P156" s="42"/>
    </row>
    <row r="157">
      <c r="F157" s="104"/>
      <c r="G157" s="104"/>
      <c r="O157" s="42"/>
      <c r="P157" s="42"/>
    </row>
    <row r="158">
      <c r="F158" s="104"/>
      <c r="G158" s="104"/>
      <c r="O158" s="42"/>
      <c r="P158" s="42"/>
    </row>
    <row r="159">
      <c r="F159" s="104"/>
      <c r="G159" s="104"/>
      <c r="O159" s="42"/>
      <c r="P159" s="42"/>
    </row>
    <row r="160">
      <c r="F160" s="104"/>
      <c r="G160" s="104"/>
      <c r="O160" s="42"/>
      <c r="P160" s="42"/>
    </row>
    <row r="161">
      <c r="F161" s="104"/>
      <c r="G161" s="104"/>
      <c r="O161" s="42"/>
      <c r="P161" s="42"/>
    </row>
    <row r="162">
      <c r="F162" s="104"/>
      <c r="G162" s="104"/>
      <c r="O162" s="42"/>
      <c r="P162" s="42"/>
    </row>
    <row r="163">
      <c r="F163" s="104"/>
      <c r="G163" s="104"/>
      <c r="O163" s="42"/>
      <c r="P163" s="42"/>
    </row>
    <row r="164">
      <c r="F164" s="104"/>
      <c r="G164" s="104"/>
      <c r="O164" s="42"/>
      <c r="P164" s="42"/>
    </row>
    <row r="165">
      <c r="F165" s="104"/>
      <c r="G165" s="104"/>
      <c r="O165" s="42"/>
      <c r="P165" s="42"/>
    </row>
    <row r="166">
      <c r="F166" s="104"/>
      <c r="G166" s="104"/>
      <c r="O166" s="42"/>
      <c r="P166" s="42"/>
    </row>
    <row r="167">
      <c r="F167" s="104"/>
      <c r="G167" s="104"/>
      <c r="O167" s="42"/>
      <c r="P167" s="42"/>
    </row>
    <row r="168">
      <c r="F168" s="104"/>
      <c r="G168" s="104"/>
      <c r="O168" s="42"/>
      <c r="P168" s="42"/>
    </row>
    <row r="169">
      <c r="F169" s="104"/>
      <c r="G169" s="104"/>
      <c r="O169" s="42"/>
      <c r="P169" s="42"/>
    </row>
    <row r="170">
      <c r="F170" s="104"/>
      <c r="G170" s="104"/>
      <c r="O170" s="42"/>
      <c r="P170" s="42"/>
    </row>
    <row r="171">
      <c r="F171" s="104"/>
      <c r="G171" s="104"/>
      <c r="O171" s="42"/>
      <c r="P171" s="42"/>
    </row>
    <row r="172">
      <c r="F172" s="104"/>
      <c r="G172" s="104"/>
      <c r="O172" s="42"/>
      <c r="P172" s="42"/>
    </row>
    <row r="173">
      <c r="F173" s="104"/>
      <c r="G173" s="104"/>
      <c r="O173" s="42"/>
      <c r="P173" s="42"/>
    </row>
    <row r="174">
      <c r="F174" s="104"/>
      <c r="G174" s="104"/>
      <c r="O174" s="42"/>
      <c r="P174" s="42"/>
    </row>
    <row r="175">
      <c r="F175" s="104"/>
      <c r="G175" s="104"/>
      <c r="O175" s="42"/>
      <c r="P175" s="42"/>
    </row>
    <row r="176">
      <c r="F176" s="104"/>
      <c r="G176" s="104"/>
      <c r="O176" s="42"/>
      <c r="P176" s="42"/>
    </row>
    <row r="177">
      <c r="F177" s="104"/>
      <c r="G177" s="104"/>
      <c r="O177" s="42"/>
      <c r="P177" s="42"/>
    </row>
    <row r="178">
      <c r="F178" s="104"/>
      <c r="G178" s="104"/>
      <c r="O178" s="42"/>
      <c r="P178" s="42"/>
    </row>
    <row r="179">
      <c r="F179" s="104"/>
      <c r="G179" s="104"/>
      <c r="O179" s="42"/>
      <c r="P179" s="42"/>
    </row>
    <row r="180">
      <c r="F180" s="104"/>
      <c r="G180" s="104"/>
      <c r="O180" s="42"/>
      <c r="P180" s="42"/>
    </row>
    <row r="181">
      <c r="F181" s="104"/>
      <c r="G181" s="104"/>
      <c r="O181" s="42"/>
      <c r="P181" s="42"/>
    </row>
    <row r="182">
      <c r="F182" s="104"/>
      <c r="G182" s="104"/>
      <c r="O182" s="42"/>
      <c r="P182" s="42"/>
    </row>
    <row r="183">
      <c r="F183" s="104"/>
      <c r="G183" s="104"/>
      <c r="O183" s="42"/>
      <c r="P183" s="42"/>
    </row>
    <row r="184">
      <c r="F184" s="104"/>
      <c r="G184" s="104"/>
      <c r="O184" s="42"/>
      <c r="P184" s="42"/>
    </row>
    <row r="185">
      <c r="F185" s="104"/>
      <c r="G185" s="104"/>
      <c r="O185" s="42"/>
      <c r="P185" s="42"/>
    </row>
    <row r="186">
      <c r="F186" s="104"/>
      <c r="G186" s="104"/>
      <c r="O186" s="42"/>
      <c r="P186" s="42"/>
    </row>
    <row r="187">
      <c r="F187" s="104"/>
      <c r="G187" s="104"/>
      <c r="O187" s="42"/>
      <c r="P187" s="42"/>
    </row>
    <row r="188">
      <c r="F188" s="104"/>
      <c r="G188" s="104"/>
      <c r="O188" s="42"/>
      <c r="P188" s="42"/>
    </row>
    <row r="189">
      <c r="F189" s="104"/>
      <c r="G189" s="104"/>
      <c r="O189" s="42"/>
      <c r="P189" s="42"/>
    </row>
    <row r="190">
      <c r="F190" s="104"/>
      <c r="G190" s="104"/>
      <c r="O190" s="42"/>
      <c r="P190" s="42"/>
    </row>
    <row r="191">
      <c r="F191" s="104"/>
      <c r="G191" s="104"/>
      <c r="O191" s="42"/>
      <c r="P191" s="42"/>
    </row>
    <row r="192">
      <c r="F192" s="104"/>
      <c r="G192" s="104"/>
      <c r="O192" s="42"/>
      <c r="P192" s="42"/>
    </row>
    <row r="193">
      <c r="F193" s="104"/>
      <c r="G193" s="104"/>
      <c r="O193" s="42"/>
      <c r="P193" s="42"/>
    </row>
    <row r="194">
      <c r="F194" s="104"/>
      <c r="G194" s="104"/>
      <c r="O194" s="42"/>
      <c r="P194" s="42"/>
    </row>
    <row r="195">
      <c r="F195" s="104"/>
      <c r="G195" s="104"/>
      <c r="O195" s="42"/>
      <c r="P195" s="42"/>
    </row>
    <row r="196">
      <c r="F196" s="104"/>
      <c r="G196" s="104"/>
      <c r="O196" s="42"/>
      <c r="P196" s="42"/>
    </row>
    <row r="197">
      <c r="F197" s="104"/>
      <c r="G197" s="104"/>
      <c r="O197" s="42"/>
      <c r="P197" s="42"/>
    </row>
    <row r="198">
      <c r="F198" s="104"/>
      <c r="G198" s="104"/>
      <c r="O198" s="42"/>
      <c r="P198" s="42"/>
    </row>
    <row r="199">
      <c r="F199" s="104"/>
      <c r="G199" s="104"/>
      <c r="O199" s="42"/>
      <c r="P199" s="42"/>
    </row>
    <row r="200">
      <c r="F200" s="104"/>
      <c r="G200" s="104"/>
      <c r="O200" s="42"/>
      <c r="P200" s="42"/>
    </row>
    <row r="201">
      <c r="F201" s="104"/>
      <c r="G201" s="104"/>
      <c r="O201" s="42"/>
      <c r="P201" s="42"/>
    </row>
    <row r="202">
      <c r="F202" s="104"/>
      <c r="G202" s="104"/>
      <c r="O202" s="42"/>
      <c r="P202" s="42"/>
    </row>
    <row r="203">
      <c r="F203" s="104"/>
      <c r="G203" s="104"/>
      <c r="O203" s="42"/>
      <c r="P203" s="42"/>
    </row>
    <row r="204">
      <c r="F204" s="104"/>
      <c r="G204" s="104"/>
      <c r="O204" s="42"/>
      <c r="P204" s="42"/>
    </row>
    <row r="205">
      <c r="F205" s="104"/>
      <c r="G205" s="104"/>
      <c r="O205" s="42"/>
      <c r="P205" s="42"/>
    </row>
    <row r="206">
      <c r="F206" s="104"/>
      <c r="G206" s="104"/>
      <c r="O206" s="42"/>
      <c r="P206" s="42"/>
    </row>
    <row r="207">
      <c r="F207" s="104"/>
      <c r="G207" s="104"/>
      <c r="O207" s="42"/>
      <c r="P207" s="42"/>
    </row>
    <row r="208">
      <c r="F208" s="104"/>
      <c r="G208" s="104"/>
      <c r="O208" s="42"/>
      <c r="P208" s="42"/>
    </row>
    <row r="209">
      <c r="F209" s="104"/>
      <c r="G209" s="104"/>
      <c r="O209" s="42"/>
      <c r="P209" s="42"/>
    </row>
    <row r="210">
      <c r="F210" s="104"/>
      <c r="G210" s="104"/>
      <c r="O210" s="42"/>
      <c r="P210" s="42"/>
    </row>
    <row r="211">
      <c r="F211" s="104"/>
      <c r="G211" s="104"/>
      <c r="O211" s="42"/>
      <c r="P211" s="42"/>
    </row>
    <row r="212">
      <c r="F212" s="104"/>
      <c r="G212" s="104"/>
      <c r="O212" s="42"/>
      <c r="P212" s="42"/>
    </row>
    <row r="213">
      <c r="F213" s="104"/>
      <c r="G213" s="104"/>
      <c r="O213" s="42"/>
      <c r="P213" s="42"/>
    </row>
    <row r="214">
      <c r="F214" s="104"/>
      <c r="G214" s="104"/>
      <c r="O214" s="42"/>
      <c r="P214" s="42"/>
    </row>
    <row r="215">
      <c r="F215" s="104"/>
      <c r="G215" s="104"/>
      <c r="O215" s="42"/>
      <c r="P215" s="42"/>
    </row>
    <row r="216">
      <c r="F216" s="104"/>
      <c r="G216" s="104"/>
      <c r="O216" s="42"/>
      <c r="P216" s="42"/>
    </row>
    <row r="217">
      <c r="F217" s="104"/>
      <c r="G217" s="104"/>
      <c r="O217" s="42"/>
      <c r="P217" s="42"/>
    </row>
    <row r="218">
      <c r="F218" s="104"/>
      <c r="G218" s="104"/>
      <c r="O218" s="42"/>
      <c r="P218" s="42"/>
    </row>
    <row r="219">
      <c r="F219" s="104"/>
      <c r="G219" s="104"/>
      <c r="O219" s="42"/>
      <c r="P219" s="42"/>
    </row>
    <row r="220">
      <c r="F220" s="104"/>
      <c r="G220" s="104"/>
      <c r="O220" s="42"/>
      <c r="P220" s="42"/>
    </row>
    <row r="221">
      <c r="F221" s="104"/>
      <c r="G221" s="104"/>
      <c r="O221" s="42"/>
      <c r="P221" s="42"/>
    </row>
    <row r="222">
      <c r="F222" s="104"/>
      <c r="G222" s="104"/>
      <c r="O222" s="42"/>
      <c r="P222" s="42"/>
    </row>
    <row r="223">
      <c r="F223" s="104"/>
      <c r="G223" s="104"/>
      <c r="O223" s="42"/>
      <c r="P223" s="42"/>
    </row>
    <row r="224">
      <c r="F224" s="104"/>
      <c r="G224" s="104"/>
      <c r="O224" s="42"/>
      <c r="P224" s="42"/>
    </row>
    <row r="225">
      <c r="F225" s="104"/>
      <c r="G225" s="104"/>
      <c r="O225" s="42"/>
      <c r="P225" s="42"/>
    </row>
    <row r="226">
      <c r="F226" s="104"/>
      <c r="G226" s="104"/>
      <c r="O226" s="42"/>
      <c r="P226" s="42"/>
    </row>
    <row r="227">
      <c r="F227" s="104"/>
      <c r="G227" s="104"/>
      <c r="O227" s="42"/>
      <c r="P227" s="42"/>
    </row>
    <row r="228">
      <c r="F228" s="104"/>
      <c r="G228" s="104"/>
      <c r="O228" s="42"/>
      <c r="P228" s="42"/>
    </row>
    <row r="229">
      <c r="F229" s="104"/>
      <c r="G229" s="104"/>
      <c r="O229" s="42"/>
      <c r="P229" s="42"/>
    </row>
    <row r="230">
      <c r="F230" s="104"/>
      <c r="G230" s="104"/>
      <c r="O230" s="42"/>
      <c r="P230" s="42"/>
    </row>
    <row r="231">
      <c r="F231" s="104"/>
      <c r="G231" s="104"/>
      <c r="O231" s="42"/>
      <c r="P231" s="42"/>
    </row>
    <row r="232">
      <c r="F232" s="104"/>
      <c r="G232" s="104"/>
      <c r="O232" s="42"/>
      <c r="P232" s="42"/>
    </row>
    <row r="233">
      <c r="F233" s="104"/>
      <c r="G233" s="104"/>
      <c r="O233" s="42"/>
      <c r="P233" s="42"/>
    </row>
    <row r="234">
      <c r="F234" s="104"/>
      <c r="G234" s="104"/>
      <c r="O234" s="42"/>
      <c r="P234" s="42"/>
    </row>
    <row r="235">
      <c r="F235" s="104"/>
      <c r="G235" s="104"/>
      <c r="O235" s="42"/>
      <c r="P235" s="42"/>
    </row>
    <row r="236">
      <c r="F236" s="104"/>
      <c r="G236" s="104"/>
      <c r="O236" s="42"/>
      <c r="P236" s="42"/>
    </row>
    <row r="237">
      <c r="F237" s="104"/>
      <c r="G237" s="104"/>
      <c r="O237" s="42"/>
      <c r="P237" s="42"/>
    </row>
    <row r="238">
      <c r="F238" s="104"/>
      <c r="G238" s="104"/>
      <c r="O238" s="42"/>
      <c r="P238" s="42"/>
    </row>
    <row r="239">
      <c r="F239" s="104"/>
      <c r="G239" s="104"/>
      <c r="O239" s="42"/>
      <c r="P239" s="42"/>
    </row>
    <row r="240">
      <c r="F240" s="104"/>
      <c r="G240" s="104"/>
      <c r="O240" s="42"/>
      <c r="P240" s="42"/>
    </row>
    <row r="241">
      <c r="F241" s="104"/>
      <c r="G241" s="104"/>
      <c r="O241" s="42"/>
      <c r="P241" s="42"/>
    </row>
    <row r="242">
      <c r="F242" s="104"/>
      <c r="G242" s="104"/>
      <c r="O242" s="42"/>
      <c r="P242" s="42"/>
    </row>
    <row r="243">
      <c r="F243" s="104"/>
      <c r="G243" s="104"/>
      <c r="O243" s="42"/>
      <c r="P243" s="42"/>
    </row>
    <row r="244">
      <c r="F244" s="104"/>
      <c r="G244" s="104"/>
      <c r="O244" s="42"/>
      <c r="P244" s="42"/>
    </row>
    <row r="245">
      <c r="F245" s="104"/>
      <c r="G245" s="104"/>
      <c r="O245" s="42"/>
      <c r="P245" s="42"/>
    </row>
    <row r="246">
      <c r="F246" s="104"/>
      <c r="G246" s="104"/>
      <c r="O246" s="42"/>
      <c r="P246" s="42"/>
    </row>
    <row r="247">
      <c r="F247" s="104"/>
      <c r="G247" s="104"/>
      <c r="O247" s="42"/>
      <c r="P247" s="42"/>
    </row>
    <row r="248">
      <c r="F248" s="104"/>
      <c r="G248" s="104"/>
      <c r="O248" s="42"/>
      <c r="P248" s="42"/>
    </row>
    <row r="249">
      <c r="F249" s="104"/>
      <c r="G249" s="104"/>
      <c r="O249" s="42"/>
      <c r="P249" s="42"/>
    </row>
    <row r="250">
      <c r="F250" s="104"/>
      <c r="G250" s="104"/>
      <c r="O250" s="42"/>
      <c r="P250" s="42"/>
    </row>
    <row r="251">
      <c r="F251" s="104"/>
      <c r="G251" s="104"/>
      <c r="O251" s="42"/>
      <c r="P251" s="42"/>
    </row>
    <row r="252">
      <c r="F252" s="104"/>
      <c r="G252" s="104"/>
      <c r="O252" s="42"/>
      <c r="P252" s="42"/>
    </row>
    <row r="253">
      <c r="F253" s="104"/>
      <c r="G253" s="104"/>
      <c r="O253" s="42"/>
      <c r="P253" s="42"/>
    </row>
    <row r="254">
      <c r="F254" s="104"/>
      <c r="G254" s="104"/>
      <c r="O254" s="42"/>
      <c r="P254" s="42"/>
    </row>
    <row r="255">
      <c r="F255" s="104"/>
      <c r="G255" s="104"/>
      <c r="O255" s="42"/>
      <c r="P255" s="42"/>
    </row>
    <row r="256">
      <c r="F256" s="104"/>
      <c r="G256" s="104"/>
      <c r="O256" s="42"/>
      <c r="P256" s="42"/>
    </row>
    <row r="257">
      <c r="F257" s="104"/>
      <c r="G257" s="104"/>
      <c r="O257" s="42"/>
      <c r="P257" s="42"/>
    </row>
    <row r="258">
      <c r="F258" s="104"/>
      <c r="G258" s="104"/>
      <c r="O258" s="42"/>
      <c r="P258" s="42"/>
    </row>
    <row r="259">
      <c r="F259" s="104"/>
      <c r="G259" s="104"/>
      <c r="O259" s="42"/>
      <c r="P259" s="42"/>
    </row>
    <row r="260">
      <c r="F260" s="104"/>
      <c r="G260" s="104"/>
      <c r="O260" s="42"/>
      <c r="P260" s="42"/>
    </row>
    <row r="261">
      <c r="F261" s="104"/>
      <c r="G261" s="104"/>
      <c r="O261" s="42"/>
      <c r="P261" s="42"/>
    </row>
    <row r="262">
      <c r="F262" s="104"/>
      <c r="G262" s="104"/>
      <c r="O262" s="42"/>
      <c r="P262" s="42"/>
    </row>
    <row r="263">
      <c r="F263" s="104"/>
      <c r="G263" s="104"/>
      <c r="O263" s="42"/>
      <c r="P263" s="42"/>
    </row>
    <row r="264">
      <c r="F264" s="104"/>
      <c r="G264" s="104"/>
      <c r="O264" s="42"/>
      <c r="P264" s="42"/>
    </row>
    <row r="265">
      <c r="F265" s="104"/>
      <c r="G265" s="104"/>
      <c r="O265" s="42"/>
      <c r="P265" s="42"/>
    </row>
    <row r="266">
      <c r="F266" s="104"/>
      <c r="G266" s="104"/>
      <c r="O266" s="42"/>
      <c r="P266" s="42"/>
    </row>
    <row r="267">
      <c r="F267" s="104"/>
      <c r="G267" s="104"/>
      <c r="O267" s="42"/>
      <c r="P267" s="42"/>
    </row>
    <row r="268">
      <c r="F268" s="104"/>
      <c r="G268" s="104"/>
      <c r="O268" s="42"/>
      <c r="P268" s="42"/>
    </row>
    <row r="269">
      <c r="F269" s="104"/>
      <c r="G269" s="104"/>
      <c r="O269" s="42"/>
      <c r="P269" s="42"/>
    </row>
    <row r="270">
      <c r="F270" s="104"/>
      <c r="G270" s="104"/>
      <c r="O270" s="42"/>
      <c r="P270" s="42"/>
    </row>
    <row r="271">
      <c r="F271" s="104"/>
      <c r="G271" s="104"/>
      <c r="O271" s="42"/>
      <c r="P271" s="42"/>
    </row>
    <row r="272">
      <c r="F272" s="104"/>
      <c r="G272" s="104"/>
      <c r="O272" s="42"/>
      <c r="P272" s="42"/>
    </row>
    <row r="273">
      <c r="F273" s="104"/>
      <c r="G273" s="104"/>
      <c r="O273" s="42"/>
      <c r="P273" s="42"/>
    </row>
    <row r="274">
      <c r="F274" s="104"/>
      <c r="G274" s="104"/>
      <c r="O274" s="42"/>
      <c r="P274" s="42"/>
    </row>
    <row r="275">
      <c r="F275" s="104"/>
      <c r="G275" s="104"/>
      <c r="O275" s="42"/>
      <c r="P275" s="42"/>
    </row>
    <row r="276">
      <c r="F276" s="104"/>
      <c r="G276" s="104"/>
      <c r="O276" s="42"/>
      <c r="P276" s="42"/>
    </row>
    <row r="277">
      <c r="F277" s="104"/>
      <c r="G277" s="104"/>
      <c r="O277" s="42"/>
      <c r="P277" s="42"/>
    </row>
    <row r="278">
      <c r="F278" s="104"/>
      <c r="G278" s="104"/>
      <c r="O278" s="42"/>
      <c r="P278" s="42"/>
    </row>
    <row r="279">
      <c r="F279" s="104"/>
      <c r="G279" s="104"/>
      <c r="O279" s="42"/>
      <c r="P279" s="42"/>
    </row>
    <row r="280">
      <c r="F280" s="104"/>
      <c r="G280" s="104"/>
      <c r="O280" s="42"/>
      <c r="P280" s="42"/>
    </row>
    <row r="281">
      <c r="F281" s="104"/>
      <c r="G281" s="104"/>
      <c r="O281" s="42"/>
      <c r="P281" s="42"/>
    </row>
    <row r="282">
      <c r="F282" s="104"/>
      <c r="G282" s="104"/>
      <c r="O282" s="42"/>
      <c r="P282" s="42"/>
    </row>
    <row r="283">
      <c r="F283" s="104"/>
      <c r="G283" s="104"/>
      <c r="O283" s="42"/>
      <c r="P283" s="42"/>
    </row>
    <row r="284">
      <c r="F284" s="104"/>
      <c r="G284" s="104"/>
      <c r="O284" s="42"/>
      <c r="P284" s="42"/>
    </row>
    <row r="285">
      <c r="F285" s="104"/>
      <c r="G285" s="104"/>
      <c r="O285" s="42"/>
      <c r="P285" s="42"/>
    </row>
    <row r="286">
      <c r="F286" s="104"/>
      <c r="G286" s="104"/>
      <c r="O286" s="42"/>
      <c r="P286" s="42"/>
    </row>
    <row r="287">
      <c r="F287" s="104"/>
      <c r="G287" s="104"/>
      <c r="O287" s="42"/>
      <c r="P287" s="42"/>
    </row>
    <row r="288">
      <c r="F288" s="104"/>
      <c r="G288" s="104"/>
      <c r="O288" s="42"/>
      <c r="P288" s="42"/>
    </row>
    <row r="289">
      <c r="F289" s="104"/>
      <c r="G289" s="104"/>
      <c r="O289" s="42"/>
      <c r="P289" s="42"/>
    </row>
    <row r="290">
      <c r="F290" s="104"/>
      <c r="G290" s="104"/>
      <c r="O290" s="42"/>
      <c r="P290" s="42"/>
    </row>
    <row r="291">
      <c r="F291" s="104"/>
      <c r="G291" s="104"/>
      <c r="O291" s="42"/>
      <c r="P291" s="42"/>
    </row>
    <row r="292">
      <c r="F292" s="104"/>
      <c r="G292" s="104"/>
      <c r="O292" s="42"/>
      <c r="P292" s="42"/>
    </row>
    <row r="293">
      <c r="F293" s="104"/>
      <c r="G293" s="104"/>
      <c r="O293" s="42"/>
      <c r="P293" s="42"/>
    </row>
    <row r="294">
      <c r="F294" s="104"/>
      <c r="G294" s="104"/>
      <c r="O294" s="42"/>
      <c r="P294" s="42"/>
    </row>
    <row r="295">
      <c r="F295" s="104"/>
      <c r="G295" s="104"/>
      <c r="O295" s="42"/>
      <c r="P295" s="42"/>
    </row>
    <row r="296">
      <c r="F296" s="104"/>
      <c r="G296" s="104"/>
      <c r="O296" s="42"/>
      <c r="P296" s="42"/>
    </row>
    <row r="297">
      <c r="F297" s="104"/>
      <c r="G297" s="104"/>
      <c r="O297" s="42"/>
      <c r="P297" s="42"/>
    </row>
    <row r="298">
      <c r="F298" s="104"/>
      <c r="G298" s="104"/>
      <c r="O298" s="42"/>
      <c r="P298" s="42"/>
    </row>
    <row r="299">
      <c r="F299" s="104"/>
      <c r="G299" s="104"/>
      <c r="O299" s="42"/>
      <c r="P299" s="42"/>
    </row>
    <row r="300">
      <c r="F300" s="104"/>
      <c r="G300" s="104"/>
      <c r="O300" s="42"/>
      <c r="P300" s="42"/>
    </row>
    <row r="301">
      <c r="F301" s="104"/>
      <c r="G301" s="104"/>
      <c r="O301" s="42"/>
      <c r="P301" s="42"/>
    </row>
    <row r="302">
      <c r="F302" s="104"/>
      <c r="G302" s="104"/>
      <c r="O302" s="42"/>
      <c r="P302" s="42"/>
    </row>
    <row r="303">
      <c r="F303" s="104"/>
      <c r="G303" s="104"/>
      <c r="O303" s="42"/>
      <c r="P303" s="42"/>
    </row>
    <row r="304">
      <c r="F304" s="104"/>
      <c r="G304" s="104"/>
      <c r="O304" s="42"/>
      <c r="P304" s="42"/>
    </row>
    <row r="305">
      <c r="F305" s="104"/>
      <c r="G305" s="104"/>
      <c r="O305" s="42"/>
      <c r="P305" s="42"/>
    </row>
    <row r="306">
      <c r="F306" s="104"/>
      <c r="G306" s="104"/>
      <c r="O306" s="42"/>
      <c r="P306" s="42"/>
    </row>
    <row r="307">
      <c r="F307" s="104"/>
      <c r="G307" s="104"/>
      <c r="O307" s="42"/>
      <c r="P307" s="42"/>
    </row>
    <row r="308">
      <c r="F308" s="104"/>
      <c r="G308" s="104"/>
      <c r="O308" s="42"/>
      <c r="P308" s="42"/>
    </row>
    <row r="309">
      <c r="F309" s="104"/>
      <c r="G309" s="104"/>
      <c r="O309" s="42"/>
      <c r="P309" s="42"/>
    </row>
    <row r="310">
      <c r="F310" s="104"/>
      <c r="G310" s="104"/>
      <c r="O310" s="42"/>
      <c r="P310" s="42"/>
    </row>
    <row r="311">
      <c r="F311" s="104"/>
      <c r="G311" s="104"/>
      <c r="O311" s="42"/>
      <c r="P311" s="42"/>
    </row>
    <row r="312">
      <c r="F312" s="104"/>
      <c r="G312" s="104"/>
      <c r="O312" s="42"/>
      <c r="P312" s="42"/>
    </row>
    <row r="313">
      <c r="F313" s="104"/>
      <c r="G313" s="104"/>
      <c r="O313" s="42"/>
      <c r="P313" s="42"/>
    </row>
    <row r="314">
      <c r="F314" s="104"/>
      <c r="G314" s="104"/>
      <c r="O314" s="42"/>
      <c r="P314" s="42"/>
    </row>
    <row r="315">
      <c r="F315" s="104"/>
      <c r="G315" s="104"/>
      <c r="O315" s="42"/>
      <c r="P315" s="42"/>
    </row>
    <row r="316">
      <c r="F316" s="104"/>
      <c r="G316" s="104"/>
      <c r="O316" s="42"/>
      <c r="P316" s="42"/>
    </row>
    <row r="317">
      <c r="F317" s="104"/>
      <c r="G317" s="104"/>
      <c r="O317" s="42"/>
      <c r="P317" s="42"/>
    </row>
    <row r="318">
      <c r="F318" s="104"/>
      <c r="G318" s="104"/>
      <c r="O318" s="42"/>
      <c r="P318" s="42"/>
    </row>
    <row r="319">
      <c r="F319" s="104"/>
      <c r="G319" s="104"/>
      <c r="O319" s="42"/>
      <c r="P319" s="42"/>
    </row>
    <row r="320">
      <c r="F320" s="104"/>
      <c r="G320" s="104"/>
      <c r="O320" s="42"/>
      <c r="P320" s="42"/>
    </row>
    <row r="321">
      <c r="F321" s="104"/>
      <c r="G321" s="104"/>
      <c r="O321" s="42"/>
      <c r="P321" s="42"/>
    </row>
    <row r="322">
      <c r="F322" s="104"/>
      <c r="G322" s="104"/>
      <c r="O322" s="42"/>
      <c r="P322" s="42"/>
    </row>
    <row r="323">
      <c r="F323" s="104"/>
      <c r="G323" s="104"/>
      <c r="O323" s="42"/>
      <c r="P323" s="42"/>
    </row>
    <row r="324">
      <c r="F324" s="104"/>
      <c r="G324" s="104"/>
      <c r="O324" s="42"/>
      <c r="P324" s="42"/>
    </row>
    <row r="325">
      <c r="F325" s="104"/>
      <c r="G325" s="104"/>
      <c r="O325" s="42"/>
      <c r="P325" s="42"/>
    </row>
    <row r="326">
      <c r="F326" s="104"/>
      <c r="G326" s="104"/>
      <c r="O326" s="42"/>
      <c r="P326" s="42"/>
    </row>
    <row r="327">
      <c r="F327" s="104"/>
      <c r="G327" s="104"/>
      <c r="O327" s="42"/>
      <c r="P327" s="42"/>
    </row>
    <row r="328">
      <c r="F328" s="104"/>
      <c r="G328" s="104"/>
      <c r="O328" s="42"/>
      <c r="P328" s="42"/>
    </row>
    <row r="329">
      <c r="F329" s="104"/>
      <c r="G329" s="104"/>
      <c r="O329" s="42"/>
      <c r="P329" s="42"/>
    </row>
    <row r="330">
      <c r="F330" s="104"/>
      <c r="G330" s="104"/>
      <c r="O330" s="42"/>
      <c r="P330" s="42"/>
    </row>
    <row r="331">
      <c r="F331" s="104"/>
      <c r="G331" s="104"/>
      <c r="O331" s="42"/>
      <c r="P331" s="42"/>
    </row>
    <row r="332">
      <c r="F332" s="104"/>
      <c r="G332" s="104"/>
      <c r="O332" s="42"/>
      <c r="P332" s="42"/>
    </row>
    <row r="333">
      <c r="F333" s="104"/>
      <c r="G333" s="104"/>
      <c r="O333" s="42"/>
      <c r="P333" s="42"/>
    </row>
    <row r="334">
      <c r="F334" s="104"/>
      <c r="G334" s="104"/>
      <c r="O334" s="42"/>
      <c r="P334" s="42"/>
    </row>
    <row r="335">
      <c r="F335" s="104"/>
      <c r="G335" s="104"/>
      <c r="O335" s="42"/>
      <c r="P335" s="42"/>
    </row>
    <row r="336">
      <c r="F336" s="104"/>
      <c r="G336" s="104"/>
      <c r="O336" s="42"/>
      <c r="P336" s="42"/>
    </row>
    <row r="337">
      <c r="F337" s="104"/>
      <c r="G337" s="104"/>
      <c r="O337" s="42"/>
      <c r="P337" s="42"/>
    </row>
    <row r="338">
      <c r="F338" s="104"/>
      <c r="G338" s="104"/>
      <c r="O338" s="42"/>
      <c r="P338" s="42"/>
    </row>
    <row r="339">
      <c r="F339" s="104"/>
      <c r="G339" s="104"/>
      <c r="O339" s="42"/>
      <c r="P339" s="42"/>
    </row>
    <row r="340">
      <c r="F340" s="104"/>
      <c r="G340" s="104"/>
      <c r="O340" s="42"/>
      <c r="P340" s="42"/>
    </row>
    <row r="341">
      <c r="F341" s="104"/>
      <c r="G341" s="104"/>
      <c r="O341" s="42"/>
      <c r="P341" s="42"/>
    </row>
    <row r="342">
      <c r="F342" s="104"/>
      <c r="G342" s="104"/>
      <c r="O342" s="42"/>
      <c r="P342" s="42"/>
    </row>
    <row r="343">
      <c r="F343" s="104"/>
      <c r="G343" s="104"/>
      <c r="O343" s="42"/>
      <c r="P343" s="42"/>
    </row>
    <row r="344">
      <c r="F344" s="104"/>
      <c r="G344" s="104"/>
      <c r="O344" s="42"/>
      <c r="P344" s="42"/>
    </row>
    <row r="345">
      <c r="F345" s="104"/>
      <c r="G345" s="104"/>
      <c r="O345" s="42"/>
      <c r="P345" s="42"/>
    </row>
    <row r="346">
      <c r="F346" s="104"/>
      <c r="G346" s="104"/>
      <c r="O346" s="42"/>
      <c r="P346" s="42"/>
    </row>
    <row r="347">
      <c r="F347" s="104"/>
      <c r="G347" s="104"/>
      <c r="O347" s="42"/>
      <c r="P347" s="42"/>
    </row>
    <row r="348">
      <c r="F348" s="104"/>
      <c r="G348" s="104"/>
      <c r="O348" s="42"/>
      <c r="P348" s="42"/>
    </row>
    <row r="349">
      <c r="F349" s="104"/>
      <c r="G349" s="104"/>
      <c r="O349" s="42"/>
      <c r="P349" s="42"/>
    </row>
    <row r="350">
      <c r="F350" s="104"/>
      <c r="G350" s="104"/>
      <c r="O350" s="42"/>
      <c r="P350" s="42"/>
    </row>
    <row r="351">
      <c r="F351" s="104"/>
      <c r="G351" s="104"/>
      <c r="O351" s="42"/>
      <c r="P351" s="42"/>
    </row>
    <row r="352">
      <c r="F352" s="104"/>
      <c r="G352" s="104"/>
      <c r="O352" s="42"/>
      <c r="P352" s="42"/>
    </row>
    <row r="353">
      <c r="F353" s="104"/>
      <c r="G353" s="104"/>
      <c r="O353" s="42"/>
      <c r="P353" s="42"/>
    </row>
    <row r="354">
      <c r="F354" s="104"/>
      <c r="G354" s="104"/>
      <c r="O354" s="42"/>
      <c r="P354" s="42"/>
    </row>
    <row r="355">
      <c r="F355" s="104"/>
      <c r="G355" s="104"/>
      <c r="O355" s="42"/>
      <c r="P355" s="42"/>
    </row>
    <row r="356">
      <c r="F356" s="104"/>
      <c r="G356" s="104"/>
      <c r="O356" s="42"/>
      <c r="P356" s="42"/>
    </row>
    <row r="357">
      <c r="F357" s="104"/>
      <c r="G357" s="104"/>
      <c r="O357" s="42"/>
      <c r="P357" s="42"/>
    </row>
    <row r="358">
      <c r="F358" s="104"/>
      <c r="G358" s="104"/>
      <c r="O358" s="42"/>
      <c r="P358" s="42"/>
    </row>
    <row r="359">
      <c r="F359" s="104"/>
      <c r="G359" s="104"/>
      <c r="O359" s="42"/>
      <c r="P359" s="42"/>
    </row>
    <row r="360">
      <c r="F360" s="104"/>
      <c r="G360" s="104"/>
      <c r="O360" s="42"/>
      <c r="P360" s="42"/>
    </row>
    <row r="361">
      <c r="F361" s="104"/>
      <c r="G361" s="104"/>
      <c r="O361" s="42"/>
      <c r="P361" s="42"/>
    </row>
    <row r="362">
      <c r="F362" s="104"/>
      <c r="G362" s="104"/>
      <c r="O362" s="42"/>
      <c r="P362" s="42"/>
    </row>
    <row r="363">
      <c r="F363" s="104"/>
      <c r="G363" s="104"/>
      <c r="O363" s="42"/>
      <c r="P363" s="42"/>
    </row>
    <row r="364">
      <c r="F364" s="104"/>
      <c r="G364" s="104"/>
      <c r="O364" s="42"/>
      <c r="P364" s="42"/>
    </row>
    <row r="365">
      <c r="F365" s="104"/>
      <c r="G365" s="104"/>
      <c r="O365" s="42"/>
      <c r="P365" s="42"/>
    </row>
    <row r="366">
      <c r="F366" s="104"/>
      <c r="G366" s="104"/>
      <c r="O366" s="42"/>
      <c r="P366" s="42"/>
    </row>
    <row r="367">
      <c r="F367" s="104"/>
      <c r="G367" s="104"/>
      <c r="O367" s="42"/>
      <c r="P367" s="42"/>
    </row>
    <row r="368">
      <c r="F368" s="104"/>
      <c r="G368" s="104"/>
      <c r="O368" s="42"/>
      <c r="P368" s="42"/>
    </row>
    <row r="369">
      <c r="F369" s="104"/>
      <c r="G369" s="104"/>
      <c r="O369" s="42"/>
      <c r="P369" s="42"/>
    </row>
    <row r="370">
      <c r="F370" s="104"/>
      <c r="G370" s="104"/>
      <c r="O370" s="42"/>
      <c r="P370" s="42"/>
    </row>
    <row r="371">
      <c r="F371" s="104"/>
      <c r="G371" s="104"/>
      <c r="O371" s="42"/>
      <c r="P371" s="42"/>
    </row>
    <row r="372">
      <c r="F372" s="104"/>
      <c r="G372" s="104"/>
      <c r="O372" s="42"/>
      <c r="P372" s="42"/>
    </row>
    <row r="373">
      <c r="F373" s="104"/>
      <c r="G373" s="104"/>
      <c r="O373" s="42"/>
      <c r="P373" s="42"/>
    </row>
    <row r="374">
      <c r="F374" s="104"/>
      <c r="G374" s="104"/>
      <c r="O374" s="42"/>
      <c r="P374" s="42"/>
    </row>
    <row r="375">
      <c r="F375" s="104"/>
      <c r="G375" s="104"/>
      <c r="O375" s="42"/>
      <c r="P375" s="42"/>
    </row>
    <row r="376">
      <c r="F376" s="104"/>
      <c r="G376" s="104"/>
      <c r="O376" s="42"/>
      <c r="P376" s="42"/>
    </row>
    <row r="377">
      <c r="F377" s="104"/>
      <c r="G377" s="104"/>
      <c r="O377" s="42"/>
      <c r="P377" s="42"/>
    </row>
    <row r="378">
      <c r="F378" s="104"/>
      <c r="G378" s="104"/>
      <c r="O378" s="42"/>
      <c r="P378" s="42"/>
    </row>
    <row r="379">
      <c r="F379" s="104"/>
      <c r="G379" s="104"/>
      <c r="O379" s="42"/>
      <c r="P379" s="42"/>
    </row>
    <row r="380">
      <c r="F380" s="104"/>
      <c r="G380" s="104"/>
      <c r="O380" s="42"/>
      <c r="P380" s="42"/>
    </row>
    <row r="381">
      <c r="F381" s="104"/>
      <c r="G381" s="104"/>
      <c r="O381" s="42"/>
      <c r="P381" s="42"/>
    </row>
    <row r="382">
      <c r="F382" s="104"/>
      <c r="G382" s="104"/>
      <c r="O382" s="42"/>
      <c r="P382" s="42"/>
    </row>
    <row r="383">
      <c r="F383" s="104"/>
      <c r="G383" s="104"/>
      <c r="O383" s="42"/>
      <c r="P383" s="42"/>
    </row>
    <row r="384">
      <c r="F384" s="104"/>
      <c r="G384" s="104"/>
      <c r="O384" s="42"/>
      <c r="P384" s="42"/>
    </row>
    <row r="385">
      <c r="F385" s="104"/>
      <c r="G385" s="104"/>
      <c r="O385" s="42"/>
      <c r="P385" s="42"/>
    </row>
    <row r="386">
      <c r="F386" s="104"/>
      <c r="G386" s="104"/>
      <c r="O386" s="42"/>
      <c r="P386" s="42"/>
    </row>
    <row r="387">
      <c r="F387" s="104"/>
      <c r="G387" s="104"/>
      <c r="O387" s="42"/>
      <c r="P387" s="42"/>
    </row>
    <row r="388">
      <c r="F388" s="104"/>
      <c r="G388" s="104"/>
      <c r="O388" s="42"/>
      <c r="P388" s="42"/>
    </row>
    <row r="389">
      <c r="F389" s="104"/>
      <c r="G389" s="104"/>
      <c r="O389" s="42"/>
      <c r="P389" s="42"/>
    </row>
    <row r="390">
      <c r="F390" s="104"/>
      <c r="G390" s="104"/>
      <c r="O390" s="42"/>
      <c r="P390" s="42"/>
    </row>
    <row r="391">
      <c r="F391" s="104"/>
      <c r="G391" s="104"/>
      <c r="O391" s="42"/>
      <c r="P391" s="42"/>
    </row>
    <row r="392">
      <c r="F392" s="104"/>
      <c r="G392" s="104"/>
      <c r="O392" s="42"/>
      <c r="P392" s="42"/>
    </row>
    <row r="393">
      <c r="F393" s="104"/>
      <c r="G393" s="104"/>
      <c r="O393" s="42"/>
      <c r="P393" s="42"/>
    </row>
    <row r="394">
      <c r="F394" s="104"/>
      <c r="G394" s="104"/>
      <c r="O394" s="42"/>
      <c r="P394" s="42"/>
    </row>
    <row r="395">
      <c r="F395" s="104"/>
      <c r="G395" s="104"/>
      <c r="O395" s="42"/>
      <c r="P395" s="42"/>
    </row>
    <row r="396">
      <c r="F396" s="104"/>
      <c r="G396" s="104"/>
      <c r="O396" s="42"/>
      <c r="P396" s="42"/>
    </row>
    <row r="397">
      <c r="F397" s="104"/>
      <c r="G397" s="104"/>
      <c r="O397" s="42"/>
      <c r="P397" s="42"/>
    </row>
    <row r="398">
      <c r="F398" s="104"/>
      <c r="G398" s="104"/>
      <c r="O398" s="42"/>
      <c r="P398" s="42"/>
    </row>
    <row r="399">
      <c r="F399" s="104"/>
      <c r="G399" s="104"/>
      <c r="O399" s="42"/>
      <c r="P399" s="42"/>
    </row>
    <row r="400">
      <c r="F400" s="104"/>
      <c r="G400" s="104"/>
      <c r="O400" s="42"/>
      <c r="P400" s="42"/>
    </row>
    <row r="401">
      <c r="F401" s="104"/>
      <c r="G401" s="104"/>
      <c r="O401" s="42"/>
      <c r="P401" s="42"/>
    </row>
    <row r="402">
      <c r="F402" s="104"/>
      <c r="G402" s="104"/>
      <c r="O402" s="42"/>
      <c r="P402" s="42"/>
    </row>
    <row r="403">
      <c r="F403" s="104"/>
      <c r="G403" s="104"/>
      <c r="O403" s="42"/>
      <c r="P403" s="42"/>
    </row>
    <row r="404">
      <c r="F404" s="104"/>
      <c r="G404" s="104"/>
      <c r="O404" s="42"/>
      <c r="P404" s="42"/>
    </row>
    <row r="405">
      <c r="F405" s="104"/>
      <c r="G405" s="104"/>
      <c r="O405" s="42"/>
      <c r="P405" s="42"/>
    </row>
    <row r="406">
      <c r="F406" s="104"/>
      <c r="G406" s="104"/>
      <c r="O406" s="42"/>
      <c r="P406" s="42"/>
    </row>
    <row r="407">
      <c r="F407" s="104"/>
      <c r="G407" s="104"/>
      <c r="O407" s="42"/>
      <c r="P407" s="42"/>
    </row>
    <row r="408">
      <c r="F408" s="104"/>
      <c r="G408" s="104"/>
      <c r="O408" s="42"/>
      <c r="P408" s="42"/>
    </row>
    <row r="409">
      <c r="F409" s="104"/>
      <c r="G409" s="104"/>
      <c r="O409" s="42"/>
      <c r="P409" s="42"/>
    </row>
    <row r="410">
      <c r="F410" s="104"/>
      <c r="G410" s="104"/>
      <c r="O410" s="42"/>
      <c r="P410" s="42"/>
    </row>
    <row r="411">
      <c r="F411" s="104"/>
      <c r="G411" s="104"/>
      <c r="O411" s="42"/>
      <c r="P411" s="42"/>
    </row>
    <row r="412">
      <c r="F412" s="104"/>
      <c r="G412" s="104"/>
      <c r="O412" s="42"/>
      <c r="P412" s="42"/>
    </row>
    <row r="413">
      <c r="F413" s="104"/>
      <c r="G413" s="104"/>
      <c r="O413" s="42"/>
      <c r="P413" s="42"/>
    </row>
    <row r="414">
      <c r="F414" s="104"/>
      <c r="G414" s="104"/>
      <c r="O414" s="42"/>
      <c r="P414" s="42"/>
    </row>
    <row r="415">
      <c r="F415" s="104"/>
      <c r="G415" s="104"/>
      <c r="O415" s="42"/>
      <c r="P415" s="42"/>
    </row>
    <row r="416">
      <c r="F416" s="104"/>
      <c r="G416" s="104"/>
      <c r="O416" s="42"/>
      <c r="P416" s="42"/>
    </row>
    <row r="417">
      <c r="F417" s="104"/>
      <c r="G417" s="104"/>
      <c r="O417" s="42"/>
      <c r="P417" s="42"/>
    </row>
    <row r="418">
      <c r="F418" s="104"/>
      <c r="G418" s="104"/>
      <c r="O418" s="42"/>
      <c r="P418" s="42"/>
    </row>
    <row r="419">
      <c r="F419" s="104"/>
      <c r="G419" s="104"/>
      <c r="O419" s="42"/>
      <c r="P419" s="42"/>
    </row>
    <row r="420">
      <c r="F420" s="104"/>
      <c r="G420" s="104"/>
      <c r="O420" s="42"/>
      <c r="P420" s="42"/>
    </row>
    <row r="421">
      <c r="F421" s="104"/>
      <c r="G421" s="104"/>
      <c r="O421" s="42"/>
      <c r="P421" s="42"/>
    </row>
    <row r="422">
      <c r="F422" s="104"/>
      <c r="G422" s="104"/>
      <c r="O422" s="42"/>
      <c r="P422" s="42"/>
    </row>
    <row r="423">
      <c r="F423" s="104"/>
      <c r="G423" s="104"/>
      <c r="O423" s="42"/>
      <c r="P423" s="42"/>
    </row>
    <row r="424">
      <c r="F424" s="104"/>
      <c r="G424" s="104"/>
      <c r="O424" s="42"/>
      <c r="P424" s="42"/>
    </row>
    <row r="425">
      <c r="F425" s="104"/>
      <c r="G425" s="104"/>
      <c r="O425" s="42"/>
      <c r="P425" s="42"/>
    </row>
    <row r="426">
      <c r="F426" s="104"/>
      <c r="G426" s="104"/>
      <c r="O426" s="42"/>
      <c r="P426" s="42"/>
    </row>
    <row r="427">
      <c r="F427" s="104"/>
      <c r="G427" s="104"/>
      <c r="O427" s="42"/>
      <c r="P427" s="42"/>
    </row>
    <row r="428">
      <c r="F428" s="104"/>
      <c r="G428" s="104"/>
      <c r="O428" s="42"/>
      <c r="P428" s="42"/>
    </row>
    <row r="429">
      <c r="F429" s="104"/>
      <c r="G429" s="104"/>
      <c r="O429" s="42"/>
      <c r="P429" s="42"/>
    </row>
    <row r="430">
      <c r="F430" s="104"/>
      <c r="G430" s="104"/>
      <c r="O430" s="42"/>
      <c r="P430" s="42"/>
    </row>
    <row r="431">
      <c r="F431" s="104"/>
      <c r="G431" s="104"/>
      <c r="O431" s="42"/>
      <c r="P431" s="42"/>
    </row>
    <row r="432">
      <c r="F432" s="104"/>
      <c r="G432" s="104"/>
      <c r="O432" s="42"/>
      <c r="P432" s="42"/>
    </row>
    <row r="433">
      <c r="F433" s="104"/>
      <c r="G433" s="104"/>
      <c r="O433" s="42"/>
      <c r="P433" s="42"/>
    </row>
    <row r="434">
      <c r="F434" s="104"/>
      <c r="G434" s="104"/>
      <c r="O434" s="42"/>
      <c r="P434" s="42"/>
    </row>
    <row r="435">
      <c r="F435" s="104"/>
      <c r="G435" s="104"/>
      <c r="O435" s="42"/>
      <c r="P435" s="42"/>
    </row>
    <row r="436">
      <c r="F436" s="104"/>
      <c r="G436" s="104"/>
      <c r="O436" s="42"/>
      <c r="P436" s="42"/>
    </row>
    <row r="437">
      <c r="F437" s="104"/>
      <c r="G437" s="104"/>
      <c r="O437" s="42"/>
      <c r="P437" s="42"/>
    </row>
    <row r="438">
      <c r="F438" s="104"/>
      <c r="G438" s="104"/>
      <c r="O438" s="42"/>
      <c r="P438" s="42"/>
    </row>
    <row r="439">
      <c r="F439" s="104"/>
      <c r="G439" s="104"/>
      <c r="O439" s="42"/>
      <c r="P439" s="42"/>
    </row>
    <row r="440">
      <c r="F440" s="104"/>
      <c r="G440" s="104"/>
      <c r="O440" s="42"/>
      <c r="P440" s="42"/>
    </row>
    <row r="441">
      <c r="F441" s="104"/>
      <c r="G441" s="104"/>
      <c r="O441" s="42"/>
      <c r="P441" s="42"/>
    </row>
    <row r="442">
      <c r="F442" s="104"/>
      <c r="G442" s="104"/>
      <c r="O442" s="42"/>
      <c r="P442" s="42"/>
    </row>
    <row r="443">
      <c r="F443" s="104"/>
      <c r="G443" s="104"/>
      <c r="O443" s="42"/>
      <c r="P443" s="42"/>
    </row>
    <row r="444">
      <c r="F444" s="104"/>
      <c r="G444" s="104"/>
      <c r="O444" s="42"/>
      <c r="P444" s="42"/>
    </row>
    <row r="445">
      <c r="F445" s="104"/>
      <c r="G445" s="104"/>
      <c r="O445" s="42"/>
      <c r="P445" s="42"/>
    </row>
    <row r="446">
      <c r="F446" s="104"/>
      <c r="G446" s="104"/>
      <c r="O446" s="42"/>
      <c r="P446" s="42"/>
    </row>
    <row r="447">
      <c r="F447" s="104"/>
      <c r="G447" s="104"/>
      <c r="O447" s="42"/>
      <c r="P447" s="42"/>
    </row>
    <row r="448">
      <c r="F448" s="104"/>
      <c r="G448" s="104"/>
      <c r="O448" s="42"/>
      <c r="P448" s="42"/>
    </row>
    <row r="449">
      <c r="F449" s="104"/>
      <c r="G449" s="104"/>
      <c r="O449" s="42"/>
      <c r="P449" s="42"/>
    </row>
    <row r="450">
      <c r="F450" s="104"/>
      <c r="G450" s="104"/>
      <c r="O450" s="42"/>
      <c r="P450" s="42"/>
    </row>
    <row r="451">
      <c r="F451" s="104"/>
      <c r="G451" s="104"/>
      <c r="O451" s="42"/>
      <c r="P451" s="42"/>
    </row>
    <row r="452">
      <c r="F452" s="104"/>
      <c r="G452" s="104"/>
      <c r="O452" s="42"/>
      <c r="P452" s="42"/>
    </row>
    <row r="453">
      <c r="F453" s="104"/>
      <c r="G453" s="104"/>
      <c r="O453" s="42"/>
      <c r="P453" s="42"/>
    </row>
    <row r="454">
      <c r="F454" s="104"/>
      <c r="G454" s="104"/>
      <c r="O454" s="42"/>
      <c r="P454" s="42"/>
    </row>
    <row r="455">
      <c r="F455" s="104"/>
      <c r="G455" s="104"/>
      <c r="O455" s="42"/>
      <c r="P455" s="42"/>
    </row>
    <row r="456">
      <c r="F456" s="104"/>
      <c r="G456" s="104"/>
      <c r="O456" s="42"/>
      <c r="P456" s="42"/>
    </row>
    <row r="457">
      <c r="F457" s="104"/>
      <c r="G457" s="104"/>
      <c r="O457" s="42"/>
      <c r="P457" s="42"/>
    </row>
    <row r="458">
      <c r="F458" s="104"/>
      <c r="G458" s="104"/>
      <c r="O458" s="42"/>
      <c r="P458" s="42"/>
    </row>
    <row r="459">
      <c r="F459" s="104"/>
      <c r="G459" s="104"/>
      <c r="O459" s="42"/>
      <c r="P459" s="42"/>
    </row>
    <row r="460">
      <c r="F460" s="104"/>
      <c r="G460" s="104"/>
      <c r="O460" s="42"/>
      <c r="P460" s="42"/>
    </row>
    <row r="461">
      <c r="F461" s="104"/>
      <c r="G461" s="104"/>
      <c r="O461" s="42"/>
      <c r="P461" s="42"/>
    </row>
    <row r="462">
      <c r="F462" s="104"/>
      <c r="G462" s="104"/>
      <c r="O462" s="42"/>
      <c r="P462" s="42"/>
    </row>
    <row r="463">
      <c r="F463" s="104"/>
      <c r="G463" s="104"/>
      <c r="O463" s="42"/>
      <c r="P463" s="42"/>
    </row>
    <row r="464">
      <c r="F464" s="104"/>
      <c r="G464" s="104"/>
      <c r="O464" s="42"/>
      <c r="P464" s="42"/>
    </row>
    <row r="465">
      <c r="F465" s="104"/>
      <c r="G465" s="104"/>
      <c r="O465" s="42"/>
      <c r="P465" s="42"/>
    </row>
    <row r="466">
      <c r="F466" s="104"/>
      <c r="G466" s="104"/>
      <c r="O466" s="42"/>
      <c r="P466" s="42"/>
    </row>
    <row r="467">
      <c r="F467" s="104"/>
      <c r="G467" s="104"/>
      <c r="O467" s="42"/>
      <c r="P467" s="42"/>
    </row>
    <row r="468">
      <c r="F468" s="104"/>
      <c r="G468" s="104"/>
      <c r="O468" s="42"/>
      <c r="P468" s="42"/>
    </row>
    <row r="469">
      <c r="F469" s="104"/>
      <c r="G469" s="104"/>
      <c r="O469" s="42"/>
      <c r="P469" s="42"/>
    </row>
    <row r="470">
      <c r="F470" s="104"/>
      <c r="G470" s="104"/>
      <c r="O470" s="42"/>
      <c r="P470" s="42"/>
    </row>
    <row r="471">
      <c r="F471" s="104"/>
      <c r="G471" s="104"/>
      <c r="O471" s="42"/>
      <c r="P471" s="42"/>
    </row>
    <row r="472">
      <c r="F472" s="104"/>
      <c r="G472" s="104"/>
      <c r="O472" s="42"/>
      <c r="P472" s="42"/>
    </row>
    <row r="473">
      <c r="F473" s="104"/>
      <c r="G473" s="104"/>
      <c r="O473" s="42"/>
      <c r="P473" s="42"/>
    </row>
    <row r="474">
      <c r="F474" s="104"/>
      <c r="G474" s="104"/>
      <c r="O474" s="42"/>
      <c r="P474" s="42"/>
    </row>
    <row r="475">
      <c r="F475" s="104"/>
      <c r="G475" s="104"/>
      <c r="O475" s="42"/>
      <c r="P475" s="42"/>
    </row>
    <row r="476">
      <c r="F476" s="104"/>
      <c r="G476" s="104"/>
      <c r="O476" s="42"/>
      <c r="P476" s="42"/>
    </row>
    <row r="477">
      <c r="F477" s="104"/>
      <c r="G477" s="104"/>
      <c r="O477" s="42"/>
      <c r="P477" s="42"/>
    </row>
    <row r="478">
      <c r="F478" s="104"/>
      <c r="G478" s="104"/>
      <c r="O478" s="42"/>
      <c r="P478" s="42"/>
    </row>
    <row r="479">
      <c r="F479" s="104"/>
      <c r="G479" s="104"/>
      <c r="O479" s="42"/>
      <c r="P479" s="42"/>
    </row>
    <row r="480">
      <c r="F480" s="104"/>
      <c r="G480" s="104"/>
      <c r="O480" s="42"/>
      <c r="P480" s="42"/>
    </row>
    <row r="481">
      <c r="F481" s="104"/>
      <c r="G481" s="104"/>
      <c r="O481" s="42"/>
      <c r="P481" s="42"/>
    </row>
    <row r="482">
      <c r="F482" s="104"/>
      <c r="G482" s="104"/>
      <c r="O482" s="42"/>
      <c r="P482" s="42"/>
    </row>
    <row r="483">
      <c r="F483" s="104"/>
      <c r="G483" s="104"/>
      <c r="O483" s="42"/>
      <c r="P483" s="42"/>
    </row>
    <row r="484">
      <c r="F484" s="104"/>
      <c r="G484" s="104"/>
      <c r="O484" s="42"/>
      <c r="P484" s="42"/>
    </row>
    <row r="485">
      <c r="F485" s="104"/>
      <c r="G485" s="104"/>
      <c r="O485" s="42"/>
      <c r="P485" s="42"/>
    </row>
    <row r="486">
      <c r="F486" s="104"/>
      <c r="G486" s="104"/>
      <c r="O486" s="42"/>
      <c r="P486" s="42"/>
    </row>
    <row r="487">
      <c r="F487" s="104"/>
      <c r="G487" s="104"/>
      <c r="O487" s="42"/>
      <c r="P487" s="42"/>
    </row>
    <row r="488">
      <c r="F488" s="104"/>
      <c r="G488" s="104"/>
      <c r="O488" s="42"/>
      <c r="P488" s="42"/>
    </row>
    <row r="489">
      <c r="F489" s="104"/>
      <c r="G489" s="104"/>
      <c r="O489" s="42"/>
      <c r="P489" s="42"/>
    </row>
    <row r="490">
      <c r="F490" s="104"/>
      <c r="G490" s="104"/>
      <c r="O490" s="42"/>
      <c r="P490" s="42"/>
    </row>
    <row r="491">
      <c r="F491" s="104"/>
      <c r="G491" s="104"/>
      <c r="O491" s="42"/>
      <c r="P491" s="42"/>
    </row>
    <row r="492">
      <c r="F492" s="104"/>
      <c r="G492" s="104"/>
      <c r="O492" s="42"/>
      <c r="P492" s="42"/>
    </row>
    <row r="493">
      <c r="F493" s="104"/>
      <c r="G493" s="104"/>
      <c r="O493" s="42"/>
      <c r="P493" s="42"/>
    </row>
    <row r="494">
      <c r="F494" s="104"/>
      <c r="G494" s="104"/>
      <c r="O494" s="42"/>
      <c r="P494" s="42"/>
    </row>
    <row r="495">
      <c r="F495" s="104"/>
      <c r="G495" s="104"/>
      <c r="O495" s="42"/>
      <c r="P495" s="42"/>
    </row>
    <row r="496">
      <c r="F496" s="104"/>
      <c r="G496" s="104"/>
      <c r="O496" s="42"/>
      <c r="P496" s="42"/>
    </row>
    <row r="497">
      <c r="F497" s="104"/>
      <c r="G497" s="104"/>
      <c r="O497" s="42"/>
      <c r="P497" s="42"/>
    </row>
    <row r="498">
      <c r="F498" s="104"/>
      <c r="G498" s="104"/>
      <c r="O498" s="42"/>
      <c r="P498" s="42"/>
    </row>
    <row r="499">
      <c r="F499" s="104"/>
      <c r="G499" s="104"/>
      <c r="O499" s="42"/>
      <c r="P499" s="42"/>
    </row>
    <row r="500">
      <c r="F500" s="104"/>
      <c r="G500" s="104"/>
      <c r="O500" s="42"/>
      <c r="P500" s="42"/>
    </row>
    <row r="501">
      <c r="F501" s="104"/>
      <c r="G501" s="104"/>
      <c r="O501" s="42"/>
      <c r="P501" s="42"/>
    </row>
    <row r="502">
      <c r="F502" s="104"/>
      <c r="G502" s="104"/>
      <c r="O502" s="42"/>
      <c r="P502" s="42"/>
    </row>
    <row r="503">
      <c r="F503" s="104"/>
      <c r="G503" s="104"/>
      <c r="O503" s="42"/>
      <c r="P503" s="42"/>
    </row>
    <row r="504">
      <c r="F504" s="104"/>
      <c r="G504" s="104"/>
      <c r="O504" s="42"/>
      <c r="P504" s="42"/>
    </row>
    <row r="505">
      <c r="F505" s="104"/>
      <c r="G505" s="104"/>
      <c r="O505" s="42"/>
      <c r="P505" s="42"/>
    </row>
    <row r="506">
      <c r="F506" s="104"/>
      <c r="G506" s="104"/>
      <c r="O506" s="42"/>
      <c r="P506" s="42"/>
    </row>
    <row r="507">
      <c r="F507" s="104"/>
      <c r="G507" s="104"/>
      <c r="O507" s="42"/>
      <c r="P507" s="42"/>
    </row>
    <row r="508">
      <c r="F508" s="104"/>
      <c r="G508" s="104"/>
      <c r="O508" s="42"/>
      <c r="P508" s="42"/>
    </row>
    <row r="509">
      <c r="F509" s="104"/>
      <c r="G509" s="104"/>
      <c r="O509" s="42"/>
      <c r="P509" s="42"/>
    </row>
    <row r="510">
      <c r="F510" s="104"/>
      <c r="G510" s="104"/>
      <c r="O510" s="42"/>
      <c r="P510" s="42"/>
    </row>
    <row r="511">
      <c r="F511" s="104"/>
      <c r="G511" s="104"/>
      <c r="O511" s="42"/>
      <c r="P511" s="42"/>
    </row>
    <row r="512">
      <c r="F512" s="104"/>
      <c r="G512" s="104"/>
      <c r="O512" s="42"/>
      <c r="P512" s="42"/>
    </row>
    <row r="513">
      <c r="F513" s="104"/>
      <c r="G513" s="104"/>
      <c r="O513" s="42"/>
      <c r="P513" s="42"/>
    </row>
    <row r="514">
      <c r="F514" s="104"/>
      <c r="G514" s="104"/>
      <c r="O514" s="42"/>
      <c r="P514" s="42"/>
    </row>
    <row r="515">
      <c r="F515" s="104"/>
      <c r="G515" s="104"/>
      <c r="O515" s="42"/>
      <c r="P515" s="42"/>
    </row>
    <row r="516">
      <c r="F516" s="104"/>
      <c r="G516" s="104"/>
      <c r="O516" s="42"/>
      <c r="P516" s="42"/>
    </row>
    <row r="517">
      <c r="F517" s="104"/>
      <c r="G517" s="104"/>
      <c r="O517" s="42"/>
      <c r="P517" s="42"/>
    </row>
    <row r="518">
      <c r="F518" s="104"/>
      <c r="G518" s="104"/>
      <c r="O518" s="42"/>
      <c r="P518" s="42"/>
    </row>
    <row r="519">
      <c r="F519" s="104"/>
      <c r="G519" s="104"/>
      <c r="O519" s="42"/>
      <c r="P519" s="42"/>
    </row>
    <row r="520">
      <c r="F520" s="104"/>
      <c r="G520" s="104"/>
      <c r="O520" s="42"/>
      <c r="P520" s="42"/>
    </row>
    <row r="521">
      <c r="F521" s="104"/>
      <c r="G521" s="104"/>
      <c r="O521" s="42"/>
      <c r="P521" s="42"/>
    </row>
    <row r="522">
      <c r="F522" s="104"/>
      <c r="G522" s="104"/>
      <c r="O522" s="42"/>
      <c r="P522" s="42"/>
    </row>
    <row r="523">
      <c r="F523" s="104"/>
      <c r="G523" s="104"/>
      <c r="O523" s="42"/>
      <c r="P523" s="42"/>
    </row>
    <row r="524">
      <c r="F524" s="104"/>
      <c r="G524" s="104"/>
      <c r="O524" s="42"/>
      <c r="P524" s="42"/>
    </row>
    <row r="525">
      <c r="F525" s="104"/>
      <c r="G525" s="104"/>
      <c r="O525" s="42"/>
      <c r="P525" s="42"/>
    </row>
    <row r="526">
      <c r="F526" s="104"/>
      <c r="G526" s="104"/>
      <c r="O526" s="42"/>
      <c r="P526" s="42"/>
    </row>
    <row r="527">
      <c r="F527" s="104"/>
      <c r="G527" s="104"/>
      <c r="O527" s="42"/>
      <c r="P527" s="42"/>
    </row>
    <row r="528">
      <c r="F528" s="104"/>
      <c r="G528" s="104"/>
      <c r="O528" s="42"/>
      <c r="P528" s="42"/>
    </row>
    <row r="529">
      <c r="F529" s="104"/>
      <c r="G529" s="104"/>
      <c r="O529" s="42"/>
      <c r="P529" s="42"/>
    </row>
    <row r="530">
      <c r="F530" s="104"/>
      <c r="G530" s="104"/>
      <c r="O530" s="42"/>
      <c r="P530" s="42"/>
    </row>
    <row r="531">
      <c r="F531" s="104"/>
      <c r="G531" s="104"/>
      <c r="O531" s="42"/>
      <c r="P531" s="42"/>
    </row>
    <row r="532">
      <c r="F532" s="104"/>
      <c r="G532" s="104"/>
      <c r="O532" s="42"/>
      <c r="P532" s="42"/>
    </row>
    <row r="533">
      <c r="F533" s="104"/>
      <c r="G533" s="104"/>
      <c r="O533" s="42"/>
      <c r="P533" s="42"/>
    </row>
    <row r="534">
      <c r="F534" s="104"/>
      <c r="G534" s="104"/>
      <c r="O534" s="42"/>
      <c r="P534" s="42"/>
    </row>
    <row r="535">
      <c r="F535" s="104"/>
      <c r="G535" s="104"/>
      <c r="O535" s="42"/>
      <c r="P535" s="42"/>
    </row>
    <row r="536">
      <c r="F536" s="104"/>
      <c r="G536" s="104"/>
      <c r="O536" s="42"/>
      <c r="P536" s="42"/>
    </row>
    <row r="537">
      <c r="F537" s="104"/>
      <c r="G537" s="104"/>
      <c r="O537" s="42"/>
      <c r="P537" s="42"/>
    </row>
    <row r="538">
      <c r="F538" s="104"/>
      <c r="G538" s="104"/>
      <c r="O538" s="42"/>
      <c r="P538" s="42"/>
    </row>
    <row r="539">
      <c r="F539" s="104"/>
      <c r="G539" s="104"/>
      <c r="O539" s="42"/>
      <c r="P539" s="42"/>
    </row>
    <row r="540">
      <c r="F540" s="104"/>
      <c r="G540" s="104"/>
      <c r="O540" s="42"/>
      <c r="P540" s="42"/>
    </row>
    <row r="541">
      <c r="F541" s="104"/>
      <c r="G541" s="104"/>
      <c r="O541" s="42"/>
      <c r="P541" s="42"/>
    </row>
    <row r="542">
      <c r="F542" s="104"/>
      <c r="G542" s="104"/>
      <c r="O542" s="42"/>
      <c r="P542" s="42"/>
    </row>
    <row r="543">
      <c r="F543" s="104"/>
      <c r="G543" s="104"/>
      <c r="O543" s="42"/>
      <c r="P543" s="42"/>
    </row>
    <row r="544">
      <c r="F544" s="104"/>
      <c r="G544" s="104"/>
      <c r="O544" s="42"/>
      <c r="P544" s="42"/>
    </row>
    <row r="545">
      <c r="F545" s="104"/>
      <c r="G545" s="104"/>
      <c r="O545" s="42"/>
      <c r="P545" s="42"/>
    </row>
    <row r="546">
      <c r="F546" s="104"/>
      <c r="G546" s="104"/>
      <c r="O546" s="42"/>
      <c r="P546" s="42"/>
    </row>
    <row r="547">
      <c r="F547" s="104"/>
      <c r="G547" s="104"/>
      <c r="O547" s="42"/>
      <c r="P547" s="42"/>
    </row>
    <row r="548">
      <c r="F548" s="104"/>
      <c r="G548" s="104"/>
      <c r="O548" s="42"/>
      <c r="P548" s="42"/>
    </row>
    <row r="549">
      <c r="F549" s="104"/>
      <c r="G549" s="104"/>
      <c r="O549" s="42"/>
      <c r="P549" s="42"/>
    </row>
    <row r="550">
      <c r="F550" s="104"/>
      <c r="G550" s="104"/>
      <c r="O550" s="42"/>
      <c r="P550" s="42"/>
    </row>
    <row r="551">
      <c r="F551" s="104"/>
      <c r="G551" s="104"/>
      <c r="O551" s="42"/>
      <c r="P551" s="42"/>
    </row>
    <row r="552">
      <c r="F552" s="104"/>
      <c r="G552" s="104"/>
      <c r="O552" s="42"/>
      <c r="P552" s="42"/>
    </row>
    <row r="553">
      <c r="F553" s="104"/>
      <c r="G553" s="104"/>
      <c r="O553" s="42"/>
      <c r="P553" s="42"/>
    </row>
    <row r="554">
      <c r="F554" s="104"/>
      <c r="G554" s="104"/>
      <c r="O554" s="42"/>
      <c r="P554" s="42"/>
    </row>
    <row r="555">
      <c r="F555" s="104"/>
      <c r="G555" s="104"/>
      <c r="O555" s="42"/>
      <c r="P555" s="42"/>
    </row>
    <row r="556">
      <c r="F556" s="104"/>
      <c r="G556" s="104"/>
      <c r="O556" s="42"/>
      <c r="P556" s="42"/>
    </row>
    <row r="557">
      <c r="F557" s="104"/>
      <c r="G557" s="104"/>
      <c r="O557" s="42"/>
      <c r="P557" s="42"/>
    </row>
    <row r="558">
      <c r="F558" s="104"/>
      <c r="G558" s="104"/>
      <c r="O558" s="42"/>
      <c r="P558" s="42"/>
    </row>
    <row r="559">
      <c r="F559" s="104"/>
      <c r="G559" s="104"/>
      <c r="O559" s="42"/>
      <c r="P559" s="42"/>
    </row>
    <row r="560">
      <c r="F560" s="104"/>
      <c r="G560" s="104"/>
      <c r="O560" s="42"/>
      <c r="P560" s="42"/>
    </row>
    <row r="561">
      <c r="F561" s="104"/>
      <c r="G561" s="104"/>
      <c r="O561" s="42"/>
      <c r="P561" s="42"/>
    </row>
    <row r="562">
      <c r="F562" s="104"/>
      <c r="G562" s="104"/>
      <c r="O562" s="42"/>
      <c r="P562" s="42"/>
    </row>
    <row r="563">
      <c r="F563" s="104"/>
      <c r="G563" s="104"/>
      <c r="O563" s="42"/>
      <c r="P563" s="42"/>
    </row>
    <row r="564">
      <c r="F564" s="104"/>
      <c r="G564" s="104"/>
      <c r="O564" s="42"/>
      <c r="P564" s="42"/>
    </row>
    <row r="565">
      <c r="F565" s="104"/>
      <c r="G565" s="104"/>
      <c r="O565" s="42"/>
      <c r="P565" s="42"/>
    </row>
    <row r="566">
      <c r="F566" s="104"/>
      <c r="G566" s="104"/>
      <c r="O566" s="42"/>
      <c r="P566" s="42"/>
    </row>
    <row r="567">
      <c r="F567" s="104"/>
      <c r="G567" s="104"/>
      <c r="O567" s="42"/>
      <c r="P567" s="42"/>
    </row>
    <row r="568">
      <c r="F568" s="104"/>
      <c r="G568" s="104"/>
      <c r="O568" s="42"/>
      <c r="P568" s="42"/>
    </row>
    <row r="569">
      <c r="F569" s="104"/>
      <c r="G569" s="104"/>
      <c r="O569" s="42"/>
      <c r="P569" s="42"/>
    </row>
    <row r="570">
      <c r="F570" s="104"/>
      <c r="G570" s="104"/>
      <c r="O570" s="42"/>
      <c r="P570" s="42"/>
    </row>
    <row r="571">
      <c r="F571" s="104"/>
      <c r="G571" s="104"/>
      <c r="O571" s="42"/>
      <c r="P571" s="42"/>
    </row>
    <row r="572">
      <c r="F572" s="104"/>
      <c r="G572" s="104"/>
      <c r="O572" s="42"/>
      <c r="P572" s="42"/>
    </row>
    <row r="573">
      <c r="F573" s="104"/>
      <c r="G573" s="104"/>
      <c r="O573" s="42"/>
      <c r="P573" s="42"/>
    </row>
    <row r="574">
      <c r="F574" s="104"/>
      <c r="G574" s="104"/>
      <c r="O574" s="42"/>
      <c r="P574" s="42"/>
    </row>
    <row r="575">
      <c r="F575" s="104"/>
      <c r="G575" s="104"/>
      <c r="O575" s="42"/>
      <c r="P575" s="42"/>
    </row>
    <row r="576">
      <c r="F576" s="104"/>
      <c r="G576" s="104"/>
      <c r="O576" s="42"/>
      <c r="P576" s="42"/>
    </row>
    <row r="577">
      <c r="F577" s="104"/>
      <c r="G577" s="104"/>
      <c r="O577" s="42"/>
      <c r="P577" s="42"/>
    </row>
    <row r="578">
      <c r="F578" s="104"/>
      <c r="G578" s="104"/>
      <c r="O578" s="42"/>
      <c r="P578" s="42"/>
    </row>
    <row r="579">
      <c r="F579" s="104"/>
      <c r="G579" s="104"/>
      <c r="O579" s="42"/>
      <c r="P579" s="42"/>
    </row>
    <row r="580">
      <c r="F580" s="104"/>
      <c r="G580" s="104"/>
      <c r="O580" s="42"/>
      <c r="P580" s="42"/>
    </row>
    <row r="581">
      <c r="F581" s="104"/>
      <c r="G581" s="104"/>
      <c r="O581" s="42"/>
      <c r="P581" s="42"/>
    </row>
    <row r="582">
      <c r="F582" s="104"/>
      <c r="G582" s="104"/>
      <c r="O582" s="42"/>
      <c r="P582" s="42"/>
    </row>
    <row r="583">
      <c r="F583" s="104"/>
      <c r="G583" s="104"/>
      <c r="O583" s="42"/>
      <c r="P583" s="42"/>
    </row>
    <row r="584">
      <c r="F584" s="104"/>
      <c r="G584" s="104"/>
      <c r="O584" s="42"/>
      <c r="P584" s="42"/>
    </row>
    <row r="585">
      <c r="F585" s="104"/>
      <c r="G585" s="104"/>
      <c r="O585" s="42"/>
      <c r="P585" s="42"/>
    </row>
    <row r="586">
      <c r="F586" s="104"/>
      <c r="G586" s="104"/>
      <c r="O586" s="42"/>
      <c r="P586" s="42"/>
    </row>
    <row r="587">
      <c r="F587" s="104"/>
      <c r="G587" s="104"/>
      <c r="O587" s="42"/>
      <c r="P587" s="42"/>
    </row>
    <row r="588">
      <c r="F588" s="104"/>
      <c r="G588" s="104"/>
      <c r="O588" s="42"/>
      <c r="P588" s="42"/>
    </row>
    <row r="589">
      <c r="F589" s="104"/>
      <c r="G589" s="104"/>
      <c r="O589" s="42"/>
      <c r="P589" s="42"/>
    </row>
    <row r="590">
      <c r="F590" s="104"/>
      <c r="G590" s="104"/>
      <c r="O590" s="42"/>
      <c r="P590" s="42"/>
    </row>
    <row r="591">
      <c r="F591" s="104"/>
      <c r="G591" s="104"/>
      <c r="O591" s="42"/>
      <c r="P591" s="42"/>
    </row>
    <row r="592">
      <c r="F592" s="104"/>
      <c r="G592" s="104"/>
      <c r="O592" s="42"/>
      <c r="P592" s="42"/>
    </row>
    <row r="593">
      <c r="F593" s="104"/>
      <c r="G593" s="104"/>
      <c r="O593" s="42"/>
      <c r="P593" s="42"/>
    </row>
    <row r="594">
      <c r="F594" s="104"/>
      <c r="G594" s="104"/>
      <c r="O594" s="42"/>
      <c r="P594" s="42"/>
    </row>
    <row r="595">
      <c r="F595" s="104"/>
      <c r="G595" s="104"/>
      <c r="O595" s="42"/>
      <c r="P595" s="42"/>
    </row>
    <row r="596">
      <c r="F596" s="104"/>
      <c r="G596" s="104"/>
      <c r="O596" s="42"/>
      <c r="P596" s="42"/>
    </row>
    <row r="597">
      <c r="F597" s="104"/>
      <c r="G597" s="104"/>
      <c r="O597" s="42"/>
      <c r="P597" s="42"/>
    </row>
    <row r="598">
      <c r="F598" s="104"/>
      <c r="G598" s="104"/>
      <c r="O598" s="42"/>
      <c r="P598" s="42"/>
    </row>
    <row r="599">
      <c r="F599" s="104"/>
      <c r="G599" s="104"/>
      <c r="O599" s="42"/>
      <c r="P599" s="42"/>
    </row>
    <row r="600">
      <c r="F600" s="104"/>
      <c r="G600" s="104"/>
      <c r="O600" s="42"/>
      <c r="P600" s="42"/>
    </row>
    <row r="601">
      <c r="F601" s="104"/>
      <c r="G601" s="104"/>
      <c r="O601" s="42"/>
      <c r="P601" s="42"/>
    </row>
    <row r="602">
      <c r="F602" s="104"/>
      <c r="G602" s="104"/>
      <c r="O602" s="42"/>
      <c r="P602" s="42"/>
    </row>
    <row r="603">
      <c r="F603" s="104"/>
      <c r="G603" s="104"/>
      <c r="O603" s="42"/>
      <c r="P603" s="42"/>
    </row>
    <row r="604">
      <c r="F604" s="104"/>
      <c r="G604" s="104"/>
      <c r="O604" s="42"/>
      <c r="P604" s="42"/>
    </row>
    <row r="605">
      <c r="F605" s="104"/>
      <c r="G605" s="104"/>
      <c r="O605" s="42"/>
      <c r="P605" s="42"/>
    </row>
    <row r="606">
      <c r="F606" s="104"/>
      <c r="G606" s="104"/>
      <c r="O606" s="42"/>
      <c r="P606" s="42"/>
    </row>
    <row r="607">
      <c r="F607" s="104"/>
      <c r="G607" s="104"/>
      <c r="O607" s="42"/>
      <c r="P607" s="42"/>
    </row>
    <row r="608">
      <c r="F608" s="104"/>
      <c r="G608" s="104"/>
      <c r="O608" s="42"/>
      <c r="P608" s="42"/>
    </row>
    <row r="609">
      <c r="F609" s="104"/>
      <c r="G609" s="104"/>
      <c r="O609" s="42"/>
      <c r="P609" s="42"/>
    </row>
    <row r="610">
      <c r="F610" s="104"/>
      <c r="G610" s="104"/>
      <c r="O610" s="42"/>
      <c r="P610" s="42"/>
    </row>
    <row r="611">
      <c r="F611" s="104"/>
      <c r="G611" s="104"/>
      <c r="O611" s="42"/>
      <c r="P611" s="42"/>
    </row>
    <row r="612">
      <c r="F612" s="104"/>
      <c r="G612" s="104"/>
      <c r="O612" s="42"/>
      <c r="P612" s="42"/>
    </row>
    <row r="613">
      <c r="F613" s="104"/>
      <c r="G613" s="104"/>
      <c r="O613" s="42"/>
      <c r="P613" s="42"/>
    </row>
    <row r="614">
      <c r="F614" s="104"/>
      <c r="G614" s="104"/>
      <c r="O614" s="42"/>
      <c r="P614" s="42"/>
    </row>
    <row r="615">
      <c r="F615" s="104"/>
      <c r="G615" s="104"/>
      <c r="O615" s="42"/>
      <c r="P615" s="42"/>
    </row>
    <row r="616">
      <c r="F616" s="104"/>
      <c r="G616" s="104"/>
      <c r="O616" s="42"/>
      <c r="P616" s="42"/>
    </row>
    <row r="617">
      <c r="F617" s="104"/>
      <c r="G617" s="104"/>
      <c r="O617" s="42"/>
      <c r="P617" s="42"/>
    </row>
    <row r="618">
      <c r="F618" s="104"/>
      <c r="G618" s="104"/>
      <c r="O618" s="42"/>
      <c r="P618" s="42"/>
    </row>
    <row r="619">
      <c r="F619" s="104"/>
      <c r="G619" s="104"/>
      <c r="O619" s="42"/>
      <c r="P619" s="42"/>
    </row>
    <row r="620">
      <c r="F620" s="104"/>
      <c r="G620" s="104"/>
      <c r="O620" s="42"/>
      <c r="P620" s="42"/>
    </row>
    <row r="621">
      <c r="F621" s="104"/>
      <c r="G621" s="104"/>
      <c r="O621" s="42"/>
      <c r="P621" s="42"/>
    </row>
    <row r="622">
      <c r="F622" s="104"/>
      <c r="G622" s="104"/>
      <c r="O622" s="42"/>
      <c r="P622" s="42"/>
    </row>
    <row r="623">
      <c r="F623" s="104"/>
      <c r="G623" s="104"/>
      <c r="O623" s="42"/>
      <c r="P623" s="42"/>
    </row>
    <row r="624">
      <c r="F624" s="104"/>
      <c r="G624" s="104"/>
      <c r="O624" s="42"/>
      <c r="P624" s="42"/>
    </row>
    <row r="625">
      <c r="F625" s="104"/>
      <c r="G625" s="104"/>
      <c r="O625" s="42"/>
      <c r="P625" s="42"/>
    </row>
    <row r="626">
      <c r="F626" s="104"/>
      <c r="G626" s="104"/>
      <c r="O626" s="42"/>
      <c r="P626" s="42"/>
    </row>
    <row r="627">
      <c r="F627" s="104"/>
      <c r="G627" s="104"/>
      <c r="O627" s="42"/>
      <c r="P627" s="42"/>
    </row>
    <row r="628">
      <c r="F628" s="104"/>
      <c r="G628" s="104"/>
      <c r="O628" s="42"/>
      <c r="P628" s="42"/>
    </row>
    <row r="629">
      <c r="F629" s="104"/>
      <c r="G629" s="104"/>
      <c r="O629" s="42"/>
      <c r="P629" s="42"/>
    </row>
    <row r="630">
      <c r="F630" s="104"/>
      <c r="G630" s="104"/>
      <c r="O630" s="42"/>
      <c r="P630" s="42"/>
    </row>
    <row r="631">
      <c r="F631" s="104"/>
      <c r="G631" s="104"/>
      <c r="O631" s="42"/>
      <c r="P631" s="42"/>
    </row>
    <row r="632">
      <c r="F632" s="104"/>
      <c r="G632" s="104"/>
      <c r="O632" s="42"/>
      <c r="P632" s="42"/>
    </row>
    <row r="633">
      <c r="F633" s="104"/>
      <c r="G633" s="104"/>
      <c r="O633" s="42"/>
      <c r="P633" s="42"/>
    </row>
    <row r="634">
      <c r="F634" s="104"/>
      <c r="G634" s="104"/>
      <c r="O634" s="42"/>
      <c r="P634" s="42"/>
    </row>
    <row r="635">
      <c r="F635" s="104"/>
      <c r="G635" s="104"/>
      <c r="O635" s="42"/>
      <c r="P635" s="42"/>
    </row>
    <row r="636">
      <c r="F636" s="104"/>
      <c r="G636" s="104"/>
      <c r="O636" s="42"/>
      <c r="P636" s="42"/>
    </row>
    <row r="637">
      <c r="F637" s="104"/>
      <c r="G637" s="104"/>
      <c r="O637" s="42"/>
      <c r="P637" s="42"/>
    </row>
    <row r="638">
      <c r="F638" s="104"/>
      <c r="G638" s="104"/>
      <c r="O638" s="42"/>
      <c r="P638" s="42"/>
    </row>
    <row r="639">
      <c r="F639" s="104"/>
      <c r="G639" s="104"/>
      <c r="O639" s="42"/>
      <c r="P639" s="42"/>
    </row>
    <row r="640">
      <c r="F640" s="104"/>
      <c r="G640" s="104"/>
      <c r="O640" s="42"/>
      <c r="P640" s="42"/>
    </row>
    <row r="641">
      <c r="F641" s="104"/>
      <c r="G641" s="104"/>
      <c r="O641" s="42"/>
      <c r="P641" s="42"/>
    </row>
    <row r="642">
      <c r="F642" s="104"/>
      <c r="G642" s="104"/>
      <c r="O642" s="42"/>
      <c r="P642" s="42"/>
    </row>
    <row r="643">
      <c r="F643" s="104"/>
      <c r="G643" s="104"/>
      <c r="O643" s="42"/>
      <c r="P643" s="42"/>
    </row>
    <row r="644">
      <c r="F644" s="104"/>
      <c r="G644" s="104"/>
      <c r="O644" s="42"/>
      <c r="P644" s="42"/>
    </row>
    <row r="645">
      <c r="F645" s="104"/>
      <c r="G645" s="104"/>
      <c r="O645" s="42"/>
      <c r="P645" s="42"/>
    </row>
    <row r="646">
      <c r="F646" s="104"/>
      <c r="G646" s="104"/>
      <c r="O646" s="42"/>
      <c r="P646" s="42"/>
    </row>
    <row r="647">
      <c r="F647" s="104"/>
      <c r="G647" s="104"/>
      <c r="O647" s="42"/>
      <c r="P647" s="42"/>
    </row>
    <row r="648">
      <c r="F648" s="104"/>
      <c r="G648" s="104"/>
      <c r="O648" s="42"/>
      <c r="P648" s="42"/>
    </row>
    <row r="649">
      <c r="F649" s="104"/>
      <c r="G649" s="104"/>
      <c r="O649" s="42"/>
      <c r="P649" s="42"/>
    </row>
    <row r="650">
      <c r="F650" s="104"/>
      <c r="G650" s="104"/>
      <c r="O650" s="42"/>
      <c r="P650" s="42"/>
    </row>
    <row r="651">
      <c r="F651" s="104"/>
      <c r="G651" s="104"/>
      <c r="O651" s="42"/>
      <c r="P651" s="42"/>
    </row>
    <row r="652">
      <c r="F652" s="104"/>
      <c r="G652" s="104"/>
      <c r="O652" s="42"/>
      <c r="P652" s="42"/>
    </row>
    <row r="653">
      <c r="F653" s="104"/>
      <c r="G653" s="104"/>
      <c r="O653" s="42"/>
      <c r="P653" s="42"/>
    </row>
    <row r="654">
      <c r="F654" s="104"/>
      <c r="G654" s="104"/>
      <c r="O654" s="42"/>
      <c r="P654" s="42"/>
    </row>
    <row r="655">
      <c r="F655" s="104"/>
      <c r="G655" s="104"/>
      <c r="O655" s="42"/>
      <c r="P655" s="42"/>
    </row>
    <row r="656">
      <c r="F656" s="104"/>
      <c r="G656" s="104"/>
      <c r="O656" s="42"/>
      <c r="P656" s="42"/>
    </row>
    <row r="657">
      <c r="F657" s="104"/>
      <c r="G657" s="104"/>
      <c r="O657" s="42"/>
      <c r="P657" s="42"/>
    </row>
    <row r="658">
      <c r="F658" s="104"/>
      <c r="G658" s="104"/>
      <c r="O658" s="42"/>
      <c r="P658" s="42"/>
    </row>
    <row r="659">
      <c r="F659" s="104"/>
      <c r="G659" s="104"/>
      <c r="O659" s="42"/>
      <c r="P659" s="42"/>
    </row>
    <row r="660">
      <c r="F660" s="104"/>
      <c r="G660" s="104"/>
      <c r="O660" s="42"/>
      <c r="P660" s="42"/>
    </row>
    <row r="661">
      <c r="F661" s="104"/>
      <c r="G661" s="104"/>
      <c r="O661" s="42"/>
      <c r="P661" s="42"/>
    </row>
    <row r="662">
      <c r="F662" s="104"/>
      <c r="G662" s="104"/>
      <c r="O662" s="42"/>
      <c r="P662" s="42"/>
    </row>
    <row r="663">
      <c r="F663" s="104"/>
      <c r="G663" s="104"/>
      <c r="O663" s="42"/>
      <c r="P663" s="42"/>
    </row>
    <row r="664">
      <c r="F664" s="104"/>
      <c r="G664" s="104"/>
      <c r="O664" s="42"/>
      <c r="P664" s="42"/>
    </row>
    <row r="665">
      <c r="F665" s="104"/>
      <c r="G665" s="104"/>
      <c r="O665" s="42"/>
      <c r="P665" s="42"/>
    </row>
    <row r="666">
      <c r="F666" s="104"/>
      <c r="G666" s="104"/>
      <c r="O666" s="42"/>
      <c r="P666" s="42"/>
    </row>
    <row r="667">
      <c r="F667" s="104"/>
      <c r="G667" s="104"/>
      <c r="O667" s="42"/>
      <c r="P667" s="42"/>
    </row>
    <row r="668">
      <c r="F668" s="104"/>
      <c r="G668" s="104"/>
      <c r="O668" s="42"/>
      <c r="P668" s="42"/>
    </row>
    <row r="669">
      <c r="F669" s="104"/>
      <c r="G669" s="104"/>
      <c r="O669" s="42"/>
      <c r="P669" s="42"/>
    </row>
    <row r="670">
      <c r="F670" s="104"/>
      <c r="G670" s="104"/>
      <c r="O670" s="42"/>
      <c r="P670" s="42"/>
    </row>
    <row r="671">
      <c r="F671" s="104"/>
      <c r="G671" s="104"/>
      <c r="O671" s="42"/>
      <c r="P671" s="42"/>
    </row>
    <row r="672">
      <c r="F672" s="104"/>
      <c r="G672" s="104"/>
      <c r="O672" s="42"/>
      <c r="P672" s="42"/>
    </row>
    <row r="673">
      <c r="F673" s="104"/>
      <c r="G673" s="104"/>
      <c r="O673" s="42"/>
      <c r="P673" s="42"/>
    </row>
    <row r="674">
      <c r="F674" s="104"/>
      <c r="G674" s="104"/>
      <c r="O674" s="42"/>
      <c r="P674" s="42"/>
    </row>
    <row r="675">
      <c r="F675" s="104"/>
      <c r="G675" s="104"/>
      <c r="O675" s="42"/>
      <c r="P675" s="42"/>
    </row>
    <row r="676">
      <c r="F676" s="104"/>
      <c r="G676" s="104"/>
      <c r="O676" s="42"/>
      <c r="P676" s="42"/>
    </row>
    <row r="677">
      <c r="F677" s="104"/>
      <c r="G677" s="104"/>
      <c r="O677" s="42"/>
      <c r="P677" s="42"/>
    </row>
    <row r="678">
      <c r="F678" s="104"/>
      <c r="G678" s="104"/>
      <c r="O678" s="42"/>
      <c r="P678" s="42"/>
    </row>
    <row r="679">
      <c r="F679" s="104"/>
      <c r="G679" s="104"/>
      <c r="O679" s="42"/>
      <c r="P679" s="42"/>
    </row>
    <row r="680">
      <c r="F680" s="104"/>
      <c r="G680" s="104"/>
      <c r="O680" s="42"/>
      <c r="P680" s="42"/>
    </row>
    <row r="681">
      <c r="F681" s="104"/>
      <c r="G681" s="104"/>
      <c r="O681" s="42"/>
      <c r="P681" s="42"/>
    </row>
    <row r="682">
      <c r="F682" s="104"/>
      <c r="G682" s="104"/>
      <c r="O682" s="42"/>
      <c r="P682" s="42"/>
    </row>
    <row r="683">
      <c r="F683" s="104"/>
      <c r="G683" s="104"/>
      <c r="O683" s="42"/>
      <c r="P683" s="42"/>
    </row>
    <row r="684">
      <c r="F684" s="104"/>
      <c r="G684" s="104"/>
      <c r="O684" s="42"/>
      <c r="P684" s="42"/>
    </row>
    <row r="685">
      <c r="F685" s="104"/>
      <c r="G685" s="104"/>
      <c r="O685" s="42"/>
      <c r="P685" s="42"/>
    </row>
    <row r="686">
      <c r="F686" s="104"/>
      <c r="G686" s="104"/>
      <c r="O686" s="42"/>
      <c r="P686" s="42"/>
    </row>
    <row r="687">
      <c r="F687" s="104"/>
      <c r="G687" s="104"/>
      <c r="O687" s="42"/>
      <c r="P687" s="42"/>
    </row>
    <row r="688">
      <c r="F688" s="104"/>
      <c r="G688" s="104"/>
      <c r="O688" s="42"/>
      <c r="P688" s="42"/>
    </row>
    <row r="689">
      <c r="F689" s="104"/>
      <c r="G689" s="104"/>
      <c r="O689" s="42"/>
      <c r="P689" s="42"/>
    </row>
    <row r="690">
      <c r="F690" s="104"/>
      <c r="G690" s="104"/>
      <c r="O690" s="42"/>
      <c r="P690" s="42"/>
    </row>
    <row r="691">
      <c r="F691" s="104"/>
      <c r="G691" s="104"/>
      <c r="O691" s="42"/>
      <c r="P691" s="42"/>
    </row>
    <row r="692">
      <c r="F692" s="104"/>
      <c r="G692" s="104"/>
      <c r="O692" s="42"/>
      <c r="P692" s="42"/>
    </row>
    <row r="693">
      <c r="F693" s="104"/>
      <c r="G693" s="104"/>
      <c r="O693" s="42"/>
      <c r="P693" s="42"/>
    </row>
    <row r="694">
      <c r="F694" s="104"/>
      <c r="G694" s="104"/>
      <c r="O694" s="42"/>
      <c r="P694" s="42"/>
    </row>
    <row r="695">
      <c r="F695" s="104"/>
      <c r="G695" s="104"/>
      <c r="O695" s="42"/>
      <c r="P695" s="42"/>
    </row>
    <row r="696">
      <c r="F696" s="104"/>
      <c r="G696" s="104"/>
      <c r="O696" s="42"/>
      <c r="P696" s="42"/>
    </row>
    <row r="697">
      <c r="F697" s="104"/>
      <c r="G697" s="104"/>
      <c r="O697" s="42"/>
      <c r="P697" s="42"/>
    </row>
    <row r="698">
      <c r="F698" s="104"/>
      <c r="G698" s="104"/>
      <c r="O698" s="42"/>
      <c r="P698" s="42"/>
    </row>
    <row r="699">
      <c r="F699" s="104"/>
      <c r="G699" s="104"/>
      <c r="O699" s="42"/>
      <c r="P699" s="42"/>
    </row>
    <row r="700">
      <c r="F700" s="104"/>
      <c r="G700" s="104"/>
      <c r="O700" s="42"/>
      <c r="P700" s="42"/>
    </row>
    <row r="701">
      <c r="F701" s="104"/>
      <c r="G701" s="104"/>
      <c r="O701" s="42"/>
      <c r="P701" s="42"/>
    </row>
    <row r="702">
      <c r="F702" s="104"/>
      <c r="G702" s="104"/>
      <c r="O702" s="42"/>
      <c r="P702" s="42"/>
    </row>
    <row r="703">
      <c r="F703" s="104"/>
      <c r="G703" s="104"/>
      <c r="O703" s="42"/>
      <c r="P703" s="42"/>
    </row>
    <row r="704">
      <c r="F704" s="104"/>
      <c r="G704" s="104"/>
      <c r="O704" s="42"/>
      <c r="P704" s="42"/>
    </row>
    <row r="705">
      <c r="F705" s="104"/>
      <c r="G705" s="104"/>
      <c r="O705" s="42"/>
      <c r="P705" s="42"/>
    </row>
    <row r="706">
      <c r="F706" s="104"/>
      <c r="G706" s="104"/>
      <c r="O706" s="42"/>
      <c r="P706" s="42"/>
    </row>
    <row r="707">
      <c r="F707" s="104"/>
      <c r="G707" s="104"/>
      <c r="O707" s="42"/>
      <c r="P707" s="42"/>
    </row>
    <row r="708">
      <c r="F708" s="104"/>
      <c r="G708" s="104"/>
      <c r="O708" s="42"/>
      <c r="P708" s="42"/>
    </row>
    <row r="709">
      <c r="F709" s="104"/>
      <c r="G709" s="104"/>
      <c r="O709" s="42"/>
      <c r="P709" s="42"/>
    </row>
    <row r="710">
      <c r="F710" s="104"/>
      <c r="G710" s="104"/>
      <c r="O710" s="42"/>
      <c r="P710" s="42"/>
    </row>
    <row r="711">
      <c r="F711" s="104"/>
      <c r="G711" s="104"/>
      <c r="O711" s="42"/>
      <c r="P711" s="42"/>
    </row>
    <row r="712">
      <c r="F712" s="104"/>
      <c r="G712" s="104"/>
      <c r="O712" s="42"/>
      <c r="P712" s="42"/>
    </row>
    <row r="713">
      <c r="F713" s="104"/>
      <c r="G713" s="104"/>
      <c r="O713" s="42"/>
      <c r="P713" s="42"/>
    </row>
    <row r="714">
      <c r="F714" s="104"/>
      <c r="G714" s="104"/>
      <c r="O714" s="42"/>
      <c r="P714" s="42"/>
    </row>
    <row r="715">
      <c r="F715" s="104"/>
      <c r="G715" s="104"/>
      <c r="O715" s="42"/>
      <c r="P715" s="42"/>
    </row>
    <row r="716">
      <c r="F716" s="104"/>
      <c r="G716" s="104"/>
      <c r="O716" s="42"/>
      <c r="P716" s="42"/>
    </row>
    <row r="717">
      <c r="F717" s="104"/>
      <c r="G717" s="104"/>
      <c r="O717" s="42"/>
      <c r="P717" s="42"/>
    </row>
    <row r="718">
      <c r="F718" s="104"/>
      <c r="G718" s="104"/>
      <c r="O718" s="42"/>
      <c r="P718" s="42"/>
    </row>
    <row r="719">
      <c r="F719" s="104"/>
      <c r="G719" s="104"/>
      <c r="O719" s="42"/>
      <c r="P719" s="42"/>
    </row>
    <row r="720">
      <c r="F720" s="104"/>
      <c r="G720" s="104"/>
      <c r="O720" s="42"/>
      <c r="P720" s="42"/>
    </row>
    <row r="721">
      <c r="F721" s="104"/>
      <c r="G721" s="104"/>
      <c r="O721" s="42"/>
      <c r="P721" s="42"/>
    </row>
    <row r="722">
      <c r="F722" s="104"/>
      <c r="G722" s="104"/>
      <c r="O722" s="42"/>
      <c r="P722" s="42"/>
    </row>
    <row r="723">
      <c r="F723" s="104"/>
      <c r="G723" s="104"/>
      <c r="O723" s="42"/>
      <c r="P723" s="42"/>
    </row>
    <row r="724">
      <c r="F724" s="104"/>
      <c r="G724" s="104"/>
      <c r="O724" s="42"/>
      <c r="P724" s="42"/>
    </row>
    <row r="725">
      <c r="F725" s="104"/>
      <c r="G725" s="104"/>
      <c r="O725" s="42"/>
      <c r="P725" s="42"/>
    </row>
    <row r="726">
      <c r="F726" s="104"/>
      <c r="G726" s="104"/>
      <c r="O726" s="42"/>
      <c r="P726" s="42"/>
    </row>
    <row r="727">
      <c r="F727" s="104"/>
      <c r="G727" s="104"/>
      <c r="O727" s="42"/>
      <c r="P727" s="42"/>
    </row>
    <row r="728">
      <c r="F728" s="104"/>
      <c r="G728" s="104"/>
      <c r="O728" s="42"/>
      <c r="P728" s="42"/>
    </row>
    <row r="729">
      <c r="F729" s="104"/>
      <c r="G729" s="104"/>
      <c r="O729" s="42"/>
      <c r="P729" s="42"/>
    </row>
    <row r="730">
      <c r="F730" s="104"/>
      <c r="G730" s="104"/>
      <c r="O730" s="42"/>
      <c r="P730" s="42"/>
    </row>
    <row r="731">
      <c r="F731" s="104"/>
      <c r="G731" s="104"/>
      <c r="O731" s="42"/>
      <c r="P731" s="42"/>
    </row>
    <row r="732">
      <c r="F732" s="104"/>
      <c r="G732" s="104"/>
      <c r="O732" s="42"/>
      <c r="P732" s="42"/>
    </row>
    <row r="733">
      <c r="F733" s="104"/>
      <c r="G733" s="104"/>
      <c r="O733" s="42"/>
      <c r="P733" s="42"/>
    </row>
    <row r="734">
      <c r="F734" s="104"/>
      <c r="G734" s="104"/>
      <c r="O734" s="42"/>
      <c r="P734" s="42"/>
    </row>
    <row r="735">
      <c r="F735" s="104"/>
      <c r="G735" s="104"/>
      <c r="O735" s="42"/>
      <c r="P735" s="42"/>
    </row>
    <row r="736">
      <c r="F736" s="104"/>
      <c r="G736" s="104"/>
      <c r="O736" s="42"/>
      <c r="P736" s="42"/>
    </row>
    <row r="737">
      <c r="F737" s="104"/>
      <c r="G737" s="104"/>
      <c r="O737" s="42"/>
      <c r="P737" s="42"/>
    </row>
    <row r="738">
      <c r="F738" s="104"/>
      <c r="G738" s="104"/>
      <c r="O738" s="42"/>
      <c r="P738" s="42"/>
    </row>
    <row r="739">
      <c r="F739" s="104"/>
      <c r="G739" s="104"/>
      <c r="O739" s="42"/>
      <c r="P739" s="42"/>
    </row>
    <row r="740">
      <c r="F740" s="104"/>
      <c r="G740" s="104"/>
      <c r="O740" s="42"/>
      <c r="P740" s="42"/>
    </row>
    <row r="741">
      <c r="F741" s="104"/>
      <c r="G741" s="104"/>
      <c r="O741" s="42"/>
      <c r="P741" s="42"/>
    </row>
    <row r="742">
      <c r="F742" s="104"/>
      <c r="G742" s="104"/>
      <c r="O742" s="42"/>
      <c r="P742" s="42"/>
    </row>
    <row r="743">
      <c r="F743" s="104"/>
      <c r="G743" s="104"/>
      <c r="O743" s="42"/>
      <c r="P743" s="42"/>
    </row>
    <row r="744">
      <c r="F744" s="104"/>
      <c r="G744" s="104"/>
      <c r="O744" s="42"/>
      <c r="P744" s="42"/>
    </row>
    <row r="745">
      <c r="F745" s="104"/>
      <c r="G745" s="104"/>
      <c r="O745" s="42"/>
      <c r="P745" s="42"/>
    </row>
    <row r="746">
      <c r="F746" s="104"/>
      <c r="G746" s="104"/>
      <c r="O746" s="42"/>
      <c r="P746" s="42"/>
    </row>
    <row r="747">
      <c r="F747" s="104"/>
      <c r="G747" s="104"/>
      <c r="O747" s="42"/>
      <c r="P747" s="42"/>
    </row>
    <row r="748">
      <c r="F748" s="104"/>
      <c r="G748" s="104"/>
      <c r="O748" s="42"/>
      <c r="P748" s="42"/>
    </row>
    <row r="749">
      <c r="F749" s="104"/>
      <c r="G749" s="104"/>
      <c r="O749" s="42"/>
      <c r="P749" s="42"/>
    </row>
    <row r="750">
      <c r="F750" s="104"/>
      <c r="G750" s="104"/>
      <c r="O750" s="42"/>
      <c r="P750" s="42"/>
    </row>
    <row r="751">
      <c r="F751" s="104"/>
      <c r="G751" s="104"/>
      <c r="O751" s="42"/>
      <c r="P751" s="42"/>
    </row>
    <row r="752">
      <c r="F752" s="104"/>
      <c r="G752" s="104"/>
      <c r="O752" s="42"/>
      <c r="P752" s="42"/>
    </row>
    <row r="753">
      <c r="F753" s="104"/>
      <c r="G753" s="104"/>
      <c r="O753" s="42"/>
      <c r="P753" s="42"/>
    </row>
    <row r="754">
      <c r="F754" s="104"/>
      <c r="G754" s="104"/>
      <c r="O754" s="42"/>
      <c r="P754" s="42"/>
    </row>
    <row r="755">
      <c r="F755" s="104"/>
      <c r="G755" s="104"/>
      <c r="O755" s="42"/>
      <c r="P755" s="42"/>
    </row>
    <row r="756">
      <c r="F756" s="104"/>
      <c r="G756" s="104"/>
      <c r="O756" s="42"/>
      <c r="P756" s="42"/>
    </row>
    <row r="757">
      <c r="F757" s="104"/>
      <c r="G757" s="104"/>
      <c r="O757" s="42"/>
      <c r="P757" s="42"/>
    </row>
    <row r="758">
      <c r="F758" s="104"/>
      <c r="G758" s="104"/>
      <c r="O758" s="42"/>
      <c r="P758" s="42"/>
    </row>
    <row r="759">
      <c r="F759" s="104"/>
      <c r="G759" s="104"/>
      <c r="O759" s="42"/>
      <c r="P759" s="42"/>
    </row>
    <row r="760">
      <c r="F760" s="104"/>
      <c r="G760" s="104"/>
      <c r="O760" s="42"/>
      <c r="P760" s="42"/>
    </row>
    <row r="761">
      <c r="F761" s="104"/>
      <c r="G761" s="104"/>
      <c r="O761" s="42"/>
      <c r="P761" s="42"/>
    </row>
    <row r="762">
      <c r="F762" s="104"/>
      <c r="G762" s="104"/>
      <c r="O762" s="42"/>
      <c r="P762" s="42"/>
    </row>
    <row r="763">
      <c r="F763" s="104"/>
      <c r="G763" s="104"/>
      <c r="O763" s="42"/>
      <c r="P763" s="42"/>
    </row>
    <row r="764">
      <c r="F764" s="104"/>
      <c r="G764" s="104"/>
      <c r="O764" s="42"/>
      <c r="P764" s="42"/>
    </row>
    <row r="765">
      <c r="F765" s="104"/>
      <c r="G765" s="104"/>
      <c r="O765" s="42"/>
      <c r="P765" s="42"/>
    </row>
    <row r="766">
      <c r="F766" s="104"/>
      <c r="G766" s="104"/>
      <c r="O766" s="42"/>
      <c r="P766" s="42"/>
    </row>
    <row r="767">
      <c r="F767" s="104"/>
      <c r="G767" s="104"/>
      <c r="O767" s="42"/>
      <c r="P767" s="42"/>
    </row>
    <row r="768">
      <c r="F768" s="104"/>
      <c r="G768" s="104"/>
      <c r="O768" s="42"/>
      <c r="P768" s="42"/>
    </row>
    <row r="769">
      <c r="F769" s="104"/>
      <c r="G769" s="104"/>
      <c r="O769" s="42"/>
      <c r="P769" s="42"/>
    </row>
    <row r="770">
      <c r="F770" s="104"/>
      <c r="G770" s="104"/>
      <c r="O770" s="42"/>
      <c r="P770" s="42"/>
    </row>
    <row r="771">
      <c r="F771" s="104"/>
      <c r="G771" s="104"/>
      <c r="O771" s="42"/>
      <c r="P771" s="42"/>
    </row>
    <row r="772">
      <c r="F772" s="104"/>
      <c r="G772" s="104"/>
      <c r="O772" s="42"/>
      <c r="P772" s="42"/>
    </row>
    <row r="773">
      <c r="F773" s="104"/>
      <c r="G773" s="104"/>
      <c r="O773" s="42"/>
      <c r="P773" s="42"/>
    </row>
    <row r="774">
      <c r="F774" s="104"/>
      <c r="G774" s="104"/>
      <c r="O774" s="42"/>
      <c r="P774" s="42"/>
    </row>
    <row r="775">
      <c r="F775" s="104"/>
      <c r="G775" s="104"/>
      <c r="O775" s="42"/>
      <c r="P775" s="42"/>
    </row>
    <row r="776">
      <c r="F776" s="104"/>
      <c r="G776" s="104"/>
      <c r="O776" s="42"/>
      <c r="P776" s="42"/>
    </row>
    <row r="777">
      <c r="F777" s="104"/>
      <c r="G777" s="104"/>
      <c r="O777" s="42"/>
      <c r="P777" s="42"/>
    </row>
    <row r="778">
      <c r="F778" s="104"/>
      <c r="G778" s="104"/>
      <c r="O778" s="42"/>
      <c r="P778" s="42"/>
    </row>
    <row r="779">
      <c r="F779" s="104"/>
      <c r="G779" s="104"/>
      <c r="O779" s="42"/>
      <c r="P779" s="42"/>
    </row>
    <row r="780">
      <c r="F780" s="104"/>
      <c r="G780" s="104"/>
      <c r="O780" s="42"/>
      <c r="P780" s="42"/>
    </row>
    <row r="781">
      <c r="F781" s="104"/>
      <c r="G781" s="104"/>
      <c r="O781" s="42"/>
      <c r="P781" s="42"/>
    </row>
    <row r="782">
      <c r="F782" s="104"/>
      <c r="G782" s="104"/>
      <c r="O782" s="42"/>
      <c r="P782" s="42"/>
    </row>
    <row r="783">
      <c r="F783" s="104"/>
      <c r="G783" s="104"/>
      <c r="O783" s="42"/>
      <c r="P783" s="42"/>
    </row>
    <row r="784">
      <c r="F784" s="104"/>
      <c r="G784" s="104"/>
      <c r="O784" s="42"/>
      <c r="P784" s="42"/>
    </row>
    <row r="785">
      <c r="F785" s="104"/>
      <c r="G785" s="104"/>
      <c r="O785" s="42"/>
      <c r="P785" s="42"/>
    </row>
    <row r="786">
      <c r="F786" s="104"/>
      <c r="G786" s="104"/>
      <c r="O786" s="42"/>
      <c r="P786" s="42"/>
    </row>
    <row r="787">
      <c r="F787" s="104"/>
      <c r="G787" s="104"/>
      <c r="O787" s="42"/>
      <c r="P787" s="42"/>
    </row>
    <row r="788">
      <c r="F788" s="104"/>
      <c r="G788" s="104"/>
      <c r="O788" s="42"/>
      <c r="P788" s="42"/>
    </row>
    <row r="789">
      <c r="F789" s="104"/>
      <c r="G789" s="104"/>
      <c r="O789" s="42"/>
      <c r="P789" s="42"/>
    </row>
    <row r="790">
      <c r="F790" s="104"/>
      <c r="G790" s="104"/>
      <c r="O790" s="42"/>
      <c r="P790" s="42"/>
    </row>
    <row r="791">
      <c r="F791" s="104"/>
      <c r="G791" s="104"/>
      <c r="O791" s="42"/>
      <c r="P791" s="42"/>
    </row>
    <row r="792">
      <c r="F792" s="104"/>
      <c r="G792" s="104"/>
      <c r="O792" s="42"/>
      <c r="P792" s="42"/>
    </row>
    <row r="793">
      <c r="F793" s="104"/>
      <c r="G793" s="104"/>
      <c r="O793" s="42"/>
      <c r="P793" s="42"/>
    </row>
    <row r="794">
      <c r="F794" s="104"/>
      <c r="G794" s="104"/>
      <c r="O794" s="42"/>
      <c r="P794" s="42"/>
    </row>
    <row r="795">
      <c r="F795" s="104"/>
      <c r="G795" s="104"/>
      <c r="O795" s="42"/>
      <c r="P795" s="42"/>
    </row>
    <row r="796">
      <c r="F796" s="104"/>
      <c r="G796" s="104"/>
      <c r="O796" s="42"/>
      <c r="P796" s="42"/>
    </row>
    <row r="797">
      <c r="F797" s="104"/>
      <c r="G797" s="104"/>
      <c r="O797" s="42"/>
      <c r="P797" s="42"/>
    </row>
    <row r="798">
      <c r="F798" s="104"/>
      <c r="G798" s="104"/>
      <c r="O798" s="42"/>
      <c r="P798" s="42"/>
    </row>
    <row r="799">
      <c r="F799" s="104"/>
      <c r="G799" s="104"/>
      <c r="O799" s="42"/>
      <c r="P799" s="42"/>
    </row>
    <row r="800">
      <c r="F800" s="104"/>
      <c r="G800" s="104"/>
      <c r="O800" s="42"/>
      <c r="P800" s="42"/>
    </row>
    <row r="801">
      <c r="F801" s="104"/>
      <c r="G801" s="104"/>
      <c r="O801" s="42"/>
      <c r="P801" s="42"/>
    </row>
    <row r="802">
      <c r="F802" s="104"/>
      <c r="G802" s="104"/>
      <c r="O802" s="42"/>
      <c r="P802" s="42"/>
    </row>
    <row r="803">
      <c r="F803" s="104"/>
      <c r="G803" s="104"/>
      <c r="O803" s="42"/>
      <c r="P803" s="42"/>
    </row>
    <row r="804">
      <c r="F804" s="104"/>
      <c r="G804" s="104"/>
      <c r="O804" s="42"/>
      <c r="P804" s="42"/>
    </row>
    <row r="805">
      <c r="F805" s="104"/>
      <c r="G805" s="104"/>
      <c r="O805" s="42"/>
      <c r="P805" s="42"/>
    </row>
    <row r="806">
      <c r="F806" s="104"/>
      <c r="G806" s="104"/>
      <c r="O806" s="42"/>
      <c r="P806" s="42"/>
    </row>
    <row r="807">
      <c r="F807" s="104"/>
      <c r="G807" s="104"/>
      <c r="O807" s="42"/>
      <c r="P807" s="42"/>
    </row>
    <row r="808">
      <c r="F808" s="104"/>
      <c r="G808" s="104"/>
      <c r="O808" s="42"/>
      <c r="P808" s="42"/>
    </row>
    <row r="809">
      <c r="F809" s="104"/>
      <c r="G809" s="104"/>
      <c r="O809" s="42"/>
      <c r="P809" s="42"/>
    </row>
    <row r="810">
      <c r="F810" s="104"/>
      <c r="G810" s="104"/>
      <c r="O810" s="42"/>
      <c r="P810" s="42"/>
    </row>
    <row r="811">
      <c r="F811" s="104"/>
      <c r="G811" s="104"/>
      <c r="O811" s="42"/>
      <c r="P811" s="42"/>
    </row>
    <row r="812">
      <c r="F812" s="104"/>
      <c r="G812" s="104"/>
      <c r="O812" s="42"/>
      <c r="P812" s="42"/>
    </row>
    <row r="813">
      <c r="F813" s="104"/>
      <c r="G813" s="104"/>
      <c r="O813" s="42"/>
      <c r="P813" s="42"/>
    </row>
    <row r="814">
      <c r="F814" s="104"/>
      <c r="G814" s="104"/>
      <c r="O814" s="42"/>
      <c r="P814" s="42"/>
    </row>
    <row r="815">
      <c r="F815" s="104"/>
      <c r="G815" s="104"/>
      <c r="O815" s="42"/>
      <c r="P815" s="42"/>
    </row>
    <row r="816">
      <c r="F816" s="104"/>
      <c r="G816" s="104"/>
      <c r="O816" s="42"/>
      <c r="P816" s="42"/>
    </row>
    <row r="817">
      <c r="F817" s="104"/>
      <c r="G817" s="104"/>
      <c r="O817" s="42"/>
      <c r="P817" s="42"/>
    </row>
    <row r="818">
      <c r="F818" s="104"/>
      <c r="G818" s="104"/>
      <c r="O818" s="42"/>
      <c r="P818" s="42"/>
    </row>
    <row r="819">
      <c r="F819" s="104"/>
      <c r="G819" s="104"/>
      <c r="O819" s="42"/>
      <c r="P819" s="42"/>
    </row>
    <row r="820">
      <c r="F820" s="104"/>
      <c r="G820" s="104"/>
      <c r="O820" s="42"/>
      <c r="P820" s="42"/>
    </row>
    <row r="821">
      <c r="F821" s="104"/>
      <c r="G821" s="104"/>
      <c r="O821" s="42"/>
      <c r="P821" s="42"/>
    </row>
    <row r="822">
      <c r="F822" s="104"/>
      <c r="G822" s="104"/>
      <c r="O822" s="42"/>
      <c r="P822" s="42"/>
    </row>
    <row r="823">
      <c r="F823" s="104"/>
      <c r="G823" s="104"/>
      <c r="O823" s="42"/>
      <c r="P823" s="42"/>
    </row>
    <row r="824">
      <c r="F824" s="104"/>
      <c r="G824" s="104"/>
      <c r="O824" s="42"/>
      <c r="P824" s="42"/>
    </row>
    <row r="825">
      <c r="F825" s="104"/>
      <c r="G825" s="104"/>
      <c r="O825" s="42"/>
      <c r="P825" s="42"/>
    </row>
    <row r="826">
      <c r="F826" s="104"/>
      <c r="G826" s="104"/>
      <c r="O826" s="42"/>
      <c r="P826" s="42"/>
    </row>
    <row r="827">
      <c r="F827" s="104"/>
      <c r="G827" s="104"/>
      <c r="O827" s="42"/>
      <c r="P827" s="42"/>
    </row>
    <row r="828">
      <c r="F828" s="104"/>
      <c r="G828" s="104"/>
      <c r="O828" s="42"/>
      <c r="P828" s="42"/>
    </row>
    <row r="829">
      <c r="F829" s="104"/>
      <c r="G829" s="104"/>
      <c r="O829" s="42"/>
      <c r="P829" s="42"/>
    </row>
    <row r="830">
      <c r="F830" s="104"/>
      <c r="G830" s="104"/>
      <c r="O830" s="42"/>
      <c r="P830" s="42"/>
    </row>
    <row r="831">
      <c r="F831" s="104"/>
      <c r="G831" s="104"/>
      <c r="O831" s="42"/>
      <c r="P831" s="42"/>
    </row>
    <row r="832">
      <c r="F832" s="104"/>
      <c r="G832" s="104"/>
      <c r="O832" s="42"/>
      <c r="P832" s="42"/>
    </row>
    <row r="833">
      <c r="F833" s="104"/>
      <c r="G833" s="104"/>
      <c r="O833" s="42"/>
      <c r="P833" s="42"/>
    </row>
    <row r="834">
      <c r="F834" s="104"/>
      <c r="G834" s="104"/>
      <c r="O834" s="42"/>
      <c r="P834" s="42"/>
    </row>
    <row r="835">
      <c r="F835" s="104"/>
      <c r="G835" s="104"/>
      <c r="O835" s="42"/>
      <c r="P835" s="42"/>
    </row>
    <row r="836">
      <c r="F836" s="104"/>
      <c r="G836" s="104"/>
      <c r="O836" s="42"/>
      <c r="P836" s="42"/>
    </row>
    <row r="837">
      <c r="F837" s="104"/>
      <c r="G837" s="104"/>
      <c r="O837" s="42"/>
      <c r="P837" s="42"/>
    </row>
    <row r="838">
      <c r="F838" s="104"/>
      <c r="G838" s="104"/>
      <c r="O838" s="42"/>
      <c r="P838" s="42"/>
    </row>
    <row r="839">
      <c r="F839" s="104"/>
      <c r="G839" s="104"/>
      <c r="O839" s="42"/>
      <c r="P839" s="42"/>
    </row>
    <row r="840">
      <c r="F840" s="104"/>
      <c r="G840" s="104"/>
      <c r="O840" s="42"/>
      <c r="P840" s="42"/>
    </row>
    <row r="841">
      <c r="F841" s="104"/>
      <c r="G841" s="104"/>
      <c r="O841" s="42"/>
      <c r="P841" s="42"/>
    </row>
    <row r="842">
      <c r="F842" s="104"/>
      <c r="G842" s="104"/>
      <c r="O842" s="42"/>
      <c r="P842" s="42"/>
    </row>
    <row r="843">
      <c r="F843" s="104"/>
      <c r="G843" s="104"/>
      <c r="O843" s="42"/>
      <c r="P843" s="42"/>
    </row>
    <row r="844">
      <c r="F844" s="104"/>
      <c r="G844" s="104"/>
      <c r="O844" s="42"/>
      <c r="P844" s="42"/>
    </row>
    <row r="845">
      <c r="F845" s="104"/>
      <c r="G845" s="104"/>
      <c r="O845" s="42"/>
      <c r="P845" s="42"/>
    </row>
    <row r="846">
      <c r="F846" s="104"/>
      <c r="G846" s="104"/>
      <c r="O846" s="42"/>
      <c r="P846" s="42"/>
    </row>
    <row r="847">
      <c r="F847" s="104"/>
      <c r="G847" s="104"/>
      <c r="O847" s="42"/>
      <c r="P847" s="42"/>
    </row>
    <row r="848">
      <c r="F848" s="104"/>
      <c r="G848" s="104"/>
      <c r="O848" s="42"/>
      <c r="P848" s="42"/>
    </row>
    <row r="849">
      <c r="F849" s="104"/>
      <c r="G849" s="104"/>
      <c r="O849" s="42"/>
      <c r="P849" s="42"/>
    </row>
    <row r="850">
      <c r="F850" s="104"/>
      <c r="G850" s="104"/>
      <c r="O850" s="42"/>
      <c r="P850" s="42"/>
    </row>
    <row r="851">
      <c r="F851" s="104"/>
      <c r="G851" s="104"/>
      <c r="O851" s="42"/>
      <c r="P851" s="42"/>
    </row>
    <row r="852">
      <c r="F852" s="104"/>
      <c r="G852" s="104"/>
      <c r="O852" s="42"/>
      <c r="P852" s="42"/>
    </row>
    <row r="853">
      <c r="F853" s="104"/>
      <c r="G853" s="104"/>
      <c r="O853" s="42"/>
      <c r="P853" s="42"/>
    </row>
    <row r="854">
      <c r="F854" s="104"/>
      <c r="G854" s="104"/>
      <c r="O854" s="42"/>
      <c r="P854" s="42"/>
    </row>
    <row r="855">
      <c r="F855" s="104"/>
      <c r="G855" s="104"/>
      <c r="O855" s="42"/>
      <c r="P855" s="42"/>
    </row>
    <row r="856">
      <c r="F856" s="104"/>
      <c r="G856" s="104"/>
      <c r="O856" s="42"/>
      <c r="P856" s="42"/>
    </row>
    <row r="857">
      <c r="F857" s="104"/>
      <c r="G857" s="104"/>
      <c r="O857" s="42"/>
      <c r="P857" s="42"/>
    </row>
    <row r="858">
      <c r="F858" s="104"/>
      <c r="G858" s="104"/>
      <c r="O858" s="42"/>
      <c r="P858" s="42"/>
    </row>
    <row r="859">
      <c r="F859" s="104"/>
      <c r="G859" s="104"/>
      <c r="O859" s="42"/>
      <c r="P859" s="42"/>
    </row>
    <row r="860">
      <c r="F860" s="104"/>
      <c r="G860" s="104"/>
      <c r="O860" s="42"/>
      <c r="P860" s="42"/>
    </row>
    <row r="861">
      <c r="F861" s="104"/>
      <c r="G861" s="104"/>
      <c r="O861" s="42"/>
      <c r="P861" s="42"/>
    </row>
    <row r="862">
      <c r="F862" s="104"/>
      <c r="G862" s="104"/>
      <c r="O862" s="42"/>
      <c r="P862" s="42"/>
    </row>
    <row r="863">
      <c r="F863" s="104"/>
      <c r="G863" s="104"/>
      <c r="O863" s="42"/>
      <c r="P863" s="42"/>
    </row>
    <row r="864">
      <c r="F864" s="104"/>
      <c r="G864" s="104"/>
      <c r="O864" s="42"/>
      <c r="P864" s="42"/>
    </row>
    <row r="865">
      <c r="F865" s="104"/>
      <c r="G865" s="104"/>
      <c r="O865" s="42"/>
      <c r="P865" s="42"/>
    </row>
    <row r="866">
      <c r="F866" s="104"/>
      <c r="G866" s="104"/>
      <c r="O866" s="42"/>
      <c r="P866" s="42"/>
    </row>
    <row r="867">
      <c r="F867" s="104"/>
      <c r="G867" s="104"/>
      <c r="O867" s="42"/>
      <c r="P867" s="42"/>
    </row>
    <row r="868">
      <c r="F868" s="104"/>
      <c r="G868" s="104"/>
      <c r="O868" s="42"/>
      <c r="P868" s="42"/>
    </row>
    <row r="869">
      <c r="F869" s="104"/>
      <c r="G869" s="104"/>
      <c r="O869" s="42"/>
      <c r="P869" s="42"/>
    </row>
    <row r="870">
      <c r="F870" s="104"/>
      <c r="G870" s="104"/>
      <c r="O870" s="42"/>
      <c r="P870" s="42"/>
    </row>
    <row r="871">
      <c r="F871" s="104"/>
      <c r="G871" s="104"/>
      <c r="O871" s="42"/>
      <c r="P871" s="42"/>
    </row>
    <row r="872">
      <c r="F872" s="104"/>
      <c r="G872" s="104"/>
      <c r="O872" s="42"/>
      <c r="P872" s="42"/>
    </row>
    <row r="873">
      <c r="F873" s="104"/>
      <c r="G873" s="104"/>
      <c r="O873" s="42"/>
      <c r="P873" s="42"/>
    </row>
    <row r="874">
      <c r="F874" s="104"/>
      <c r="G874" s="104"/>
      <c r="O874" s="42"/>
      <c r="P874" s="42"/>
    </row>
    <row r="875">
      <c r="F875" s="104"/>
      <c r="G875" s="104"/>
      <c r="O875" s="42"/>
      <c r="P875" s="42"/>
    </row>
    <row r="876">
      <c r="F876" s="104"/>
      <c r="G876" s="104"/>
      <c r="O876" s="42"/>
      <c r="P876" s="42"/>
    </row>
    <row r="877">
      <c r="F877" s="104"/>
      <c r="G877" s="104"/>
      <c r="O877" s="42"/>
      <c r="P877" s="42"/>
    </row>
    <row r="878">
      <c r="F878" s="104"/>
      <c r="G878" s="104"/>
      <c r="O878" s="42"/>
      <c r="P878" s="42"/>
    </row>
    <row r="879">
      <c r="F879" s="104"/>
      <c r="G879" s="104"/>
      <c r="O879" s="42"/>
      <c r="P879" s="42"/>
    </row>
    <row r="880">
      <c r="F880" s="104"/>
      <c r="G880" s="104"/>
      <c r="O880" s="42"/>
      <c r="P880" s="42"/>
    </row>
    <row r="881">
      <c r="F881" s="104"/>
      <c r="G881" s="104"/>
      <c r="O881" s="42"/>
      <c r="P881" s="42"/>
    </row>
    <row r="882">
      <c r="F882" s="104"/>
      <c r="G882" s="104"/>
      <c r="O882" s="42"/>
      <c r="P882" s="42"/>
    </row>
    <row r="883">
      <c r="F883" s="104"/>
      <c r="G883" s="104"/>
      <c r="O883" s="42"/>
      <c r="P883" s="42"/>
    </row>
    <row r="884">
      <c r="F884" s="104"/>
      <c r="G884" s="104"/>
      <c r="O884" s="42"/>
      <c r="P884" s="42"/>
    </row>
    <row r="885">
      <c r="F885" s="104"/>
      <c r="G885" s="104"/>
      <c r="O885" s="42"/>
      <c r="P885" s="42"/>
    </row>
    <row r="886">
      <c r="F886" s="104"/>
      <c r="G886" s="104"/>
      <c r="O886" s="42"/>
      <c r="P886" s="42"/>
    </row>
    <row r="887">
      <c r="F887" s="104"/>
      <c r="G887" s="104"/>
      <c r="O887" s="42"/>
      <c r="P887" s="42"/>
    </row>
    <row r="888">
      <c r="F888" s="104"/>
      <c r="G888" s="104"/>
      <c r="O888" s="42"/>
      <c r="P888" s="42"/>
    </row>
    <row r="889">
      <c r="F889" s="104"/>
      <c r="G889" s="104"/>
      <c r="O889" s="42"/>
      <c r="P889" s="42"/>
    </row>
    <row r="890">
      <c r="F890" s="104"/>
      <c r="G890" s="104"/>
      <c r="O890" s="42"/>
      <c r="P890" s="42"/>
    </row>
    <row r="891">
      <c r="F891" s="104"/>
      <c r="G891" s="104"/>
      <c r="O891" s="42"/>
      <c r="P891" s="42"/>
    </row>
    <row r="892">
      <c r="F892" s="104"/>
      <c r="G892" s="104"/>
      <c r="O892" s="42"/>
      <c r="P892" s="42"/>
    </row>
    <row r="893">
      <c r="F893" s="104"/>
      <c r="G893" s="104"/>
      <c r="O893" s="42"/>
      <c r="P893" s="42"/>
    </row>
    <row r="894">
      <c r="F894" s="104"/>
      <c r="G894" s="104"/>
      <c r="O894" s="42"/>
      <c r="P894" s="42"/>
    </row>
    <row r="895">
      <c r="F895" s="104"/>
      <c r="G895" s="104"/>
      <c r="O895" s="42"/>
      <c r="P895" s="42"/>
    </row>
    <row r="896">
      <c r="F896" s="104"/>
      <c r="G896" s="104"/>
      <c r="O896" s="42"/>
      <c r="P896" s="42"/>
    </row>
    <row r="897">
      <c r="F897" s="104"/>
      <c r="G897" s="104"/>
      <c r="O897" s="42"/>
      <c r="P897" s="42"/>
    </row>
    <row r="898">
      <c r="F898" s="104"/>
      <c r="G898" s="104"/>
      <c r="O898" s="42"/>
      <c r="P898" s="42"/>
    </row>
    <row r="899">
      <c r="F899" s="104"/>
      <c r="G899" s="104"/>
      <c r="O899" s="42"/>
      <c r="P899" s="42"/>
    </row>
    <row r="900">
      <c r="F900" s="104"/>
      <c r="G900" s="104"/>
      <c r="O900" s="42"/>
      <c r="P900" s="42"/>
    </row>
    <row r="901">
      <c r="F901" s="104"/>
      <c r="G901" s="104"/>
      <c r="O901" s="42"/>
      <c r="P901" s="42"/>
    </row>
    <row r="902">
      <c r="F902" s="104"/>
      <c r="G902" s="104"/>
      <c r="O902" s="42"/>
      <c r="P902" s="42"/>
    </row>
    <row r="903">
      <c r="F903" s="104"/>
      <c r="G903" s="104"/>
      <c r="O903" s="42"/>
      <c r="P903" s="42"/>
    </row>
    <row r="904">
      <c r="F904" s="104"/>
      <c r="G904" s="104"/>
      <c r="O904" s="42"/>
      <c r="P904" s="42"/>
    </row>
    <row r="905">
      <c r="F905" s="104"/>
      <c r="G905" s="104"/>
      <c r="O905" s="42"/>
      <c r="P905" s="42"/>
    </row>
    <row r="906">
      <c r="F906" s="104"/>
      <c r="G906" s="104"/>
      <c r="O906" s="42"/>
      <c r="P906" s="42"/>
    </row>
    <row r="907">
      <c r="F907" s="104"/>
      <c r="G907" s="104"/>
      <c r="O907" s="42"/>
      <c r="P907" s="42"/>
    </row>
    <row r="908">
      <c r="F908" s="104"/>
      <c r="G908" s="104"/>
      <c r="O908" s="42"/>
      <c r="P908" s="42"/>
    </row>
    <row r="909">
      <c r="F909" s="104"/>
      <c r="G909" s="104"/>
      <c r="O909" s="42"/>
      <c r="P909" s="42"/>
    </row>
    <row r="910">
      <c r="F910" s="104"/>
      <c r="G910" s="104"/>
      <c r="O910" s="42"/>
      <c r="P910" s="42"/>
    </row>
    <row r="911">
      <c r="F911" s="104"/>
      <c r="G911" s="104"/>
      <c r="O911" s="42"/>
      <c r="P911" s="42"/>
    </row>
    <row r="912">
      <c r="F912" s="104"/>
      <c r="G912" s="104"/>
      <c r="O912" s="42"/>
      <c r="P912" s="42"/>
    </row>
    <row r="913">
      <c r="F913" s="104"/>
      <c r="G913" s="104"/>
      <c r="O913" s="42"/>
      <c r="P913" s="42"/>
    </row>
    <row r="914">
      <c r="F914" s="104"/>
      <c r="G914" s="104"/>
      <c r="O914" s="42"/>
      <c r="P914" s="42"/>
    </row>
    <row r="915">
      <c r="F915" s="104"/>
      <c r="G915" s="104"/>
      <c r="O915" s="42"/>
      <c r="P915" s="42"/>
    </row>
    <row r="916">
      <c r="F916" s="104"/>
      <c r="G916" s="104"/>
      <c r="O916" s="42"/>
      <c r="P916" s="42"/>
    </row>
    <row r="917">
      <c r="F917" s="104"/>
      <c r="G917" s="104"/>
      <c r="O917" s="42"/>
      <c r="P917" s="42"/>
    </row>
    <row r="918">
      <c r="F918" s="104"/>
      <c r="G918" s="104"/>
      <c r="O918" s="42"/>
      <c r="P918" s="42"/>
    </row>
    <row r="919">
      <c r="F919" s="104"/>
      <c r="G919" s="104"/>
      <c r="O919" s="42"/>
      <c r="P919" s="42"/>
    </row>
    <row r="920">
      <c r="F920" s="104"/>
      <c r="G920" s="104"/>
      <c r="O920" s="42"/>
      <c r="P920" s="42"/>
    </row>
    <row r="921">
      <c r="F921" s="104"/>
      <c r="G921" s="104"/>
      <c r="O921" s="42"/>
      <c r="P921" s="42"/>
    </row>
    <row r="922">
      <c r="F922" s="104"/>
      <c r="G922" s="104"/>
      <c r="O922" s="42"/>
      <c r="P922" s="42"/>
    </row>
    <row r="923">
      <c r="F923" s="104"/>
      <c r="G923" s="104"/>
      <c r="O923" s="42"/>
      <c r="P923" s="42"/>
    </row>
    <row r="924">
      <c r="F924" s="104"/>
      <c r="G924" s="104"/>
      <c r="O924" s="42"/>
      <c r="P924" s="42"/>
    </row>
    <row r="925">
      <c r="F925" s="104"/>
      <c r="G925" s="104"/>
      <c r="O925" s="42"/>
      <c r="P925" s="42"/>
    </row>
    <row r="926">
      <c r="F926" s="104"/>
      <c r="G926" s="104"/>
      <c r="O926" s="42"/>
      <c r="P926" s="42"/>
    </row>
    <row r="927">
      <c r="F927" s="104"/>
      <c r="G927" s="104"/>
      <c r="O927" s="42"/>
      <c r="P927" s="42"/>
    </row>
    <row r="928">
      <c r="F928" s="104"/>
      <c r="G928" s="104"/>
      <c r="O928" s="42"/>
      <c r="P928" s="42"/>
    </row>
    <row r="929">
      <c r="F929" s="104"/>
      <c r="G929" s="104"/>
      <c r="O929" s="42"/>
      <c r="P929" s="42"/>
    </row>
    <row r="930">
      <c r="F930" s="104"/>
      <c r="G930" s="104"/>
      <c r="O930" s="42"/>
      <c r="P930" s="42"/>
    </row>
    <row r="931">
      <c r="F931" s="104"/>
      <c r="G931" s="104"/>
      <c r="O931" s="42"/>
      <c r="P931" s="42"/>
    </row>
    <row r="932">
      <c r="F932" s="104"/>
      <c r="G932" s="104"/>
      <c r="O932" s="42"/>
      <c r="P932" s="42"/>
    </row>
    <row r="933">
      <c r="F933" s="104"/>
      <c r="G933" s="104"/>
      <c r="O933" s="42"/>
      <c r="P933" s="42"/>
    </row>
    <row r="934">
      <c r="F934" s="104"/>
      <c r="G934" s="104"/>
      <c r="O934" s="42"/>
      <c r="P934" s="42"/>
    </row>
    <row r="935">
      <c r="F935" s="104"/>
      <c r="G935" s="104"/>
      <c r="O935" s="42"/>
      <c r="P935" s="42"/>
    </row>
    <row r="936">
      <c r="F936" s="104"/>
      <c r="G936" s="104"/>
      <c r="O936" s="42"/>
      <c r="P936" s="42"/>
    </row>
    <row r="937">
      <c r="F937" s="104"/>
      <c r="G937" s="104"/>
      <c r="O937" s="42"/>
      <c r="P937" s="42"/>
    </row>
    <row r="938">
      <c r="F938" s="104"/>
      <c r="G938" s="104"/>
      <c r="O938" s="42"/>
      <c r="P938" s="42"/>
    </row>
    <row r="939">
      <c r="F939" s="104"/>
      <c r="G939" s="104"/>
      <c r="O939" s="42"/>
      <c r="P939" s="42"/>
    </row>
    <row r="940">
      <c r="F940" s="104"/>
      <c r="G940" s="104"/>
      <c r="O940" s="42"/>
      <c r="P940" s="42"/>
    </row>
    <row r="941">
      <c r="F941" s="104"/>
      <c r="G941" s="104"/>
      <c r="O941" s="42"/>
      <c r="P941" s="42"/>
    </row>
    <row r="942">
      <c r="F942" s="104"/>
      <c r="G942" s="104"/>
      <c r="O942" s="42"/>
      <c r="P942" s="42"/>
    </row>
    <row r="943">
      <c r="F943" s="104"/>
      <c r="G943" s="104"/>
      <c r="O943" s="42"/>
      <c r="P943" s="42"/>
    </row>
    <row r="944">
      <c r="F944" s="104"/>
      <c r="G944" s="104"/>
      <c r="O944" s="42"/>
      <c r="P944" s="42"/>
    </row>
    <row r="945">
      <c r="F945" s="104"/>
      <c r="G945" s="104"/>
      <c r="O945" s="42"/>
      <c r="P945" s="42"/>
    </row>
    <row r="946">
      <c r="F946" s="104"/>
      <c r="G946" s="104"/>
      <c r="O946" s="42"/>
      <c r="P946" s="42"/>
    </row>
    <row r="947">
      <c r="F947" s="104"/>
      <c r="G947" s="104"/>
      <c r="O947" s="42"/>
      <c r="P947" s="42"/>
    </row>
    <row r="948">
      <c r="F948" s="104"/>
      <c r="G948" s="104"/>
      <c r="O948" s="42"/>
      <c r="P948" s="42"/>
    </row>
    <row r="949">
      <c r="F949" s="104"/>
      <c r="G949" s="104"/>
      <c r="O949" s="42"/>
      <c r="P949" s="42"/>
    </row>
    <row r="950">
      <c r="F950" s="104"/>
      <c r="G950" s="104"/>
      <c r="O950" s="42"/>
      <c r="P950" s="42"/>
    </row>
    <row r="951">
      <c r="F951" s="104"/>
      <c r="G951" s="104"/>
      <c r="O951" s="42"/>
      <c r="P951" s="42"/>
    </row>
    <row r="952">
      <c r="F952" s="104"/>
      <c r="G952" s="104"/>
      <c r="O952" s="42"/>
      <c r="P952" s="42"/>
    </row>
    <row r="953">
      <c r="F953" s="104"/>
      <c r="G953" s="104"/>
      <c r="O953" s="42"/>
      <c r="P953" s="42"/>
    </row>
    <row r="954">
      <c r="F954" s="104"/>
      <c r="G954" s="104"/>
      <c r="O954" s="42"/>
      <c r="P954" s="42"/>
    </row>
    <row r="955">
      <c r="F955" s="104"/>
      <c r="G955" s="104"/>
      <c r="O955" s="42"/>
      <c r="P955" s="42"/>
    </row>
    <row r="956">
      <c r="F956" s="104"/>
      <c r="G956" s="104"/>
      <c r="O956" s="42"/>
      <c r="P956" s="42"/>
    </row>
    <row r="957">
      <c r="F957" s="104"/>
      <c r="G957" s="104"/>
      <c r="O957" s="42"/>
      <c r="P957" s="42"/>
    </row>
    <row r="958">
      <c r="F958" s="104"/>
      <c r="G958" s="104"/>
      <c r="O958" s="42"/>
      <c r="P958" s="42"/>
    </row>
    <row r="959">
      <c r="F959" s="104"/>
      <c r="G959" s="104"/>
      <c r="O959" s="42"/>
      <c r="P959" s="42"/>
    </row>
    <row r="960">
      <c r="F960" s="104"/>
      <c r="G960" s="104"/>
      <c r="O960" s="42"/>
      <c r="P960" s="42"/>
    </row>
    <row r="961">
      <c r="F961" s="104"/>
      <c r="G961" s="104"/>
      <c r="O961" s="42"/>
      <c r="P961" s="42"/>
    </row>
    <row r="962">
      <c r="F962" s="104"/>
      <c r="G962" s="104"/>
      <c r="O962" s="42"/>
      <c r="P962" s="42"/>
    </row>
    <row r="963">
      <c r="F963" s="104"/>
      <c r="G963" s="104"/>
      <c r="O963" s="42"/>
      <c r="P963" s="42"/>
    </row>
    <row r="964">
      <c r="F964" s="104"/>
      <c r="G964" s="104"/>
      <c r="O964" s="42"/>
      <c r="P964" s="42"/>
    </row>
    <row r="965">
      <c r="F965" s="104"/>
      <c r="G965" s="104"/>
      <c r="O965" s="42"/>
      <c r="P965" s="42"/>
    </row>
    <row r="966">
      <c r="F966" s="104"/>
      <c r="G966" s="104"/>
      <c r="O966" s="42"/>
      <c r="P966" s="42"/>
    </row>
    <row r="967">
      <c r="F967" s="104"/>
      <c r="G967" s="104"/>
      <c r="O967" s="42"/>
      <c r="P967" s="42"/>
    </row>
    <row r="968">
      <c r="F968" s="104"/>
      <c r="G968" s="104"/>
      <c r="O968" s="42"/>
      <c r="P968" s="42"/>
    </row>
    <row r="969">
      <c r="F969" s="104"/>
      <c r="G969" s="104"/>
      <c r="O969" s="42"/>
      <c r="P969" s="42"/>
    </row>
    <row r="970">
      <c r="F970" s="104"/>
      <c r="G970" s="104"/>
      <c r="O970" s="42"/>
      <c r="P970" s="42"/>
    </row>
    <row r="971">
      <c r="F971" s="104"/>
      <c r="G971" s="104"/>
      <c r="O971" s="42"/>
      <c r="P971" s="42"/>
    </row>
    <row r="972">
      <c r="F972" s="104"/>
      <c r="G972" s="104"/>
      <c r="O972" s="42"/>
      <c r="P972" s="42"/>
    </row>
    <row r="973">
      <c r="F973" s="104"/>
      <c r="G973" s="104"/>
      <c r="O973" s="42"/>
      <c r="P973" s="42"/>
    </row>
    <row r="974">
      <c r="F974" s="104"/>
      <c r="G974" s="104"/>
      <c r="O974" s="42"/>
      <c r="P974" s="42"/>
    </row>
    <row r="975">
      <c r="F975" s="104"/>
      <c r="G975" s="104"/>
      <c r="O975" s="42"/>
      <c r="P975" s="42"/>
    </row>
    <row r="976">
      <c r="F976" s="104"/>
      <c r="G976" s="104"/>
      <c r="O976" s="42"/>
      <c r="P976" s="42"/>
    </row>
    <row r="977">
      <c r="F977" s="104"/>
      <c r="G977" s="104"/>
      <c r="O977" s="42"/>
      <c r="P977" s="42"/>
    </row>
    <row r="978">
      <c r="F978" s="104"/>
      <c r="G978" s="104"/>
      <c r="O978" s="42"/>
      <c r="P978" s="42"/>
    </row>
    <row r="979">
      <c r="F979" s="104"/>
      <c r="G979" s="104"/>
      <c r="O979" s="42"/>
      <c r="P979" s="42"/>
    </row>
    <row r="980">
      <c r="F980" s="104"/>
      <c r="G980" s="104"/>
      <c r="O980" s="42"/>
      <c r="P980" s="42"/>
    </row>
    <row r="981">
      <c r="F981" s="104"/>
      <c r="G981" s="104"/>
      <c r="O981" s="42"/>
      <c r="P981" s="42"/>
    </row>
    <row r="982">
      <c r="F982" s="104"/>
      <c r="G982" s="104"/>
      <c r="O982" s="42"/>
      <c r="P982" s="42"/>
    </row>
    <row r="983">
      <c r="F983" s="104"/>
      <c r="G983" s="104"/>
      <c r="O983" s="42"/>
      <c r="P983" s="42"/>
    </row>
    <row r="984">
      <c r="F984" s="104"/>
      <c r="G984" s="104"/>
      <c r="O984" s="42"/>
      <c r="P984" s="42"/>
    </row>
    <row r="985">
      <c r="F985" s="104"/>
      <c r="G985" s="104"/>
      <c r="O985" s="42"/>
      <c r="P985" s="42"/>
    </row>
    <row r="986">
      <c r="F986" s="104"/>
      <c r="G986" s="104"/>
      <c r="O986" s="42"/>
      <c r="P986" s="42"/>
    </row>
    <row r="987">
      <c r="F987" s="104"/>
      <c r="G987" s="104"/>
      <c r="O987" s="42"/>
      <c r="P987" s="42"/>
    </row>
    <row r="988">
      <c r="F988" s="104"/>
      <c r="G988" s="104"/>
      <c r="O988" s="42"/>
      <c r="P988" s="42"/>
    </row>
    <row r="989">
      <c r="F989" s="104"/>
      <c r="G989" s="104"/>
      <c r="O989" s="42"/>
      <c r="P989" s="42"/>
    </row>
    <row r="990">
      <c r="F990" s="104"/>
      <c r="G990" s="104"/>
      <c r="O990" s="42"/>
      <c r="P990" s="42"/>
    </row>
    <row r="991">
      <c r="F991" s="104"/>
      <c r="G991" s="104"/>
      <c r="O991" s="42"/>
      <c r="P991" s="42"/>
    </row>
    <row r="992">
      <c r="F992" s="104"/>
      <c r="G992" s="104"/>
      <c r="O992" s="42"/>
      <c r="P992" s="42"/>
    </row>
    <row r="993">
      <c r="F993" s="104"/>
      <c r="G993" s="104"/>
      <c r="O993" s="42"/>
      <c r="P993" s="42"/>
    </row>
    <row r="994">
      <c r="F994" s="104"/>
      <c r="G994" s="104"/>
      <c r="O994" s="42"/>
      <c r="P994" s="42"/>
    </row>
    <row r="995">
      <c r="F995" s="104"/>
      <c r="G995" s="104"/>
      <c r="O995" s="42"/>
      <c r="P995" s="42"/>
    </row>
    <row r="996">
      <c r="F996" s="104"/>
      <c r="G996" s="104"/>
      <c r="O996" s="42"/>
      <c r="P996" s="42"/>
    </row>
    <row r="997">
      <c r="F997" s="104"/>
      <c r="G997" s="104"/>
      <c r="O997" s="42"/>
      <c r="P997" s="42"/>
    </row>
    <row r="998">
      <c r="F998" s="104"/>
      <c r="G998" s="104"/>
      <c r="O998" s="42"/>
      <c r="P998" s="42"/>
    </row>
    <row r="999">
      <c r="F999" s="104"/>
      <c r="G999" s="104"/>
      <c r="O999" s="42"/>
      <c r="P999" s="42"/>
    </row>
    <row r="1000">
      <c r="F1000" s="104"/>
      <c r="G1000" s="104"/>
      <c r="O1000" s="42"/>
      <c r="P1000" s="42"/>
    </row>
  </sheetData>
  <autoFilter ref="$F$1:$G$10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  <col customWidth="1" min="4" max="4" width="22.63"/>
    <col customWidth="1" min="5" max="5" width="20.13"/>
    <col customWidth="1" min="6" max="6" width="23.75"/>
  </cols>
  <sheetData>
    <row r="1">
      <c r="A1" s="55" t="s">
        <v>1300</v>
      </c>
    </row>
    <row r="2">
      <c r="A2" s="55"/>
      <c r="B2" s="55" t="s">
        <v>1301</v>
      </c>
    </row>
    <row r="4">
      <c r="A4" s="129">
        <v>45689.0</v>
      </c>
      <c r="B4" s="55" t="s">
        <v>1300</v>
      </c>
      <c r="C4" s="101">
        <f>80*3</f>
        <v>240</v>
      </c>
      <c r="D4" s="55" t="s">
        <v>1302</v>
      </c>
      <c r="E4" s="55" t="s">
        <v>1303</v>
      </c>
      <c r="G4" s="101" t="b">
        <v>0</v>
      </c>
    </row>
    <row r="5">
      <c r="A5" s="129">
        <v>45689.0</v>
      </c>
      <c r="B5" s="55" t="s">
        <v>1300</v>
      </c>
      <c r="C5" s="55">
        <v>240.0</v>
      </c>
      <c r="D5" s="55" t="s">
        <v>194</v>
      </c>
      <c r="E5" s="55" t="s">
        <v>1304</v>
      </c>
      <c r="G5" s="101" t="b">
        <v>0</v>
      </c>
    </row>
    <row r="6">
      <c r="A6" s="130">
        <v>45717.0</v>
      </c>
      <c r="B6" s="55" t="s">
        <v>1300</v>
      </c>
      <c r="C6" s="55">
        <v>240.0</v>
      </c>
      <c r="D6" s="55" t="s">
        <v>1305</v>
      </c>
      <c r="E6" s="55" t="s">
        <v>1306</v>
      </c>
      <c r="G6" s="101" t="b">
        <v>0</v>
      </c>
    </row>
    <row r="7">
      <c r="A7" s="130">
        <v>45717.0</v>
      </c>
      <c r="B7" s="55" t="s">
        <v>1300</v>
      </c>
      <c r="C7" s="55">
        <v>240.0</v>
      </c>
      <c r="D7" s="55" t="s">
        <v>1307</v>
      </c>
      <c r="E7" s="55" t="s">
        <v>1308</v>
      </c>
      <c r="G7" s="101" t="b">
        <v>0</v>
      </c>
    </row>
    <row r="8">
      <c r="A8" s="130">
        <v>45718.0</v>
      </c>
      <c r="B8" s="55" t="s">
        <v>122</v>
      </c>
      <c r="C8" s="55">
        <v>200.0</v>
      </c>
      <c r="D8" s="55" t="s">
        <v>1309</v>
      </c>
      <c r="F8" s="55" t="s">
        <v>1310</v>
      </c>
      <c r="G8" s="101" t="b">
        <v>0</v>
      </c>
    </row>
    <row r="9">
      <c r="A9" s="130">
        <v>45719.0</v>
      </c>
      <c r="B9" s="55" t="s">
        <v>122</v>
      </c>
      <c r="C9" s="55">
        <v>220.0</v>
      </c>
      <c r="D9" s="55" t="s">
        <v>1311</v>
      </c>
      <c r="F9" s="55" t="s">
        <v>1312</v>
      </c>
      <c r="G9" s="101" t="b">
        <v>0</v>
      </c>
    </row>
    <row r="10">
      <c r="A10" s="130">
        <v>45720.0</v>
      </c>
      <c r="B10" s="55" t="s">
        <v>122</v>
      </c>
      <c r="C10" s="55">
        <v>220.0</v>
      </c>
      <c r="D10" s="55" t="s">
        <v>1313</v>
      </c>
      <c r="F10" s="55" t="s">
        <v>1312</v>
      </c>
      <c r="G10" s="101" t="b">
        <v>0</v>
      </c>
    </row>
    <row r="11">
      <c r="A11" s="130">
        <v>45721.0</v>
      </c>
      <c r="B11" s="55" t="s">
        <v>122</v>
      </c>
      <c r="C11" s="55">
        <v>200.0</v>
      </c>
      <c r="D11" s="55" t="s">
        <v>1314</v>
      </c>
      <c r="F11" s="55" t="s">
        <v>1312</v>
      </c>
      <c r="G11" s="55" t="b">
        <v>1</v>
      </c>
    </row>
    <row r="12">
      <c r="A12" s="130">
        <v>45722.0</v>
      </c>
      <c r="B12" s="55" t="s">
        <v>511</v>
      </c>
      <c r="G12" s="101" t="b">
        <v>0</v>
      </c>
    </row>
    <row r="13">
      <c r="A13" s="130">
        <v>45723.0</v>
      </c>
      <c r="B13" s="55" t="s">
        <v>1315</v>
      </c>
      <c r="D13" s="55" t="s">
        <v>1316</v>
      </c>
      <c r="E13" s="55" t="s">
        <v>1317</v>
      </c>
      <c r="G13" s="55" t="b">
        <v>1</v>
      </c>
    </row>
    <row r="14">
      <c r="A14" s="130">
        <v>45724.0</v>
      </c>
      <c r="B14" s="55" t="s">
        <v>1315</v>
      </c>
      <c r="D14" s="55" t="s">
        <v>1318</v>
      </c>
      <c r="E14" s="55" t="s">
        <v>1317</v>
      </c>
      <c r="G14" s="55" t="b">
        <v>1</v>
      </c>
    </row>
    <row r="15">
      <c r="A15" s="130">
        <v>45725.0</v>
      </c>
      <c r="B15" s="55" t="s">
        <v>1319</v>
      </c>
      <c r="G15" s="101" t="b">
        <v>0</v>
      </c>
    </row>
    <row r="16">
      <c r="A16" s="130">
        <v>45726.0</v>
      </c>
      <c r="B16" s="55" t="s">
        <v>1320</v>
      </c>
      <c r="G16" s="55" t="b">
        <v>1</v>
      </c>
    </row>
    <row r="17">
      <c r="A17" s="130">
        <v>45717.0</v>
      </c>
      <c r="B17" s="55" t="s">
        <v>1321</v>
      </c>
      <c r="C17" s="55">
        <v>120.0</v>
      </c>
      <c r="D17" s="55" t="s">
        <v>1322</v>
      </c>
      <c r="E17" s="55" t="s">
        <v>1011</v>
      </c>
      <c r="G17" s="55" t="b">
        <v>1</v>
      </c>
      <c r="H17" s="55" t="s">
        <v>1323</v>
      </c>
    </row>
    <row r="18">
      <c r="A18" s="130">
        <v>45718.0</v>
      </c>
      <c r="B18" s="55" t="s">
        <v>1321</v>
      </c>
      <c r="C18" s="55">
        <v>100.0</v>
      </c>
      <c r="D18" s="55" t="s">
        <v>1324</v>
      </c>
      <c r="E18" s="55" t="s">
        <v>1011</v>
      </c>
      <c r="G18" s="55" t="b">
        <v>1</v>
      </c>
    </row>
    <row r="19">
      <c r="A19" s="130">
        <v>45719.0</v>
      </c>
      <c r="B19" s="55" t="s">
        <v>1321</v>
      </c>
      <c r="C19" s="55">
        <v>60.0</v>
      </c>
      <c r="D19" s="55" t="s">
        <v>1325</v>
      </c>
      <c r="E19" s="55" t="s">
        <v>1011</v>
      </c>
      <c r="G19" s="55" t="b">
        <v>1</v>
      </c>
    </row>
    <row r="20">
      <c r="A20" s="130">
        <v>45720.0</v>
      </c>
      <c r="B20" s="55" t="s">
        <v>1321</v>
      </c>
      <c r="C20" s="55">
        <v>60.0</v>
      </c>
      <c r="D20" s="55" t="s">
        <v>1326</v>
      </c>
      <c r="E20" s="55" t="s">
        <v>1011</v>
      </c>
      <c r="G20" s="55" t="b">
        <v>1</v>
      </c>
    </row>
    <row r="21">
      <c r="A21" s="130">
        <v>45721.0</v>
      </c>
      <c r="G21" s="101" t="b">
        <v>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18.38"/>
    <col customWidth="1" min="3" max="3" width="6.63"/>
    <col customWidth="1" min="4" max="4" width="22.63"/>
    <col customWidth="1" min="5" max="5" width="16.25"/>
    <col customWidth="1" min="6" max="6" width="7.88"/>
    <col customWidth="1" min="7" max="7" width="9.63"/>
    <col customWidth="1" min="9" max="9" width="6.0"/>
    <col customWidth="1" min="10" max="10" width="5.38"/>
    <col customWidth="1" min="11" max="11" width="7.0"/>
    <col customWidth="1" min="12" max="12" width="5.13"/>
    <col customWidth="1" min="13" max="13" width="6.25"/>
    <col customWidth="1" min="14" max="14" width="5.0"/>
    <col customWidth="1" min="15" max="15" width="6.5"/>
  </cols>
  <sheetData>
    <row r="1">
      <c r="A1" s="55" t="s">
        <v>1300</v>
      </c>
    </row>
    <row r="2">
      <c r="A2" s="55"/>
      <c r="B2" s="55" t="s">
        <v>1301</v>
      </c>
      <c r="I2" s="131">
        <v>45846.0</v>
      </c>
      <c r="J2" s="131">
        <v>45878.0</v>
      </c>
      <c r="K2" s="131">
        <v>45910.0</v>
      </c>
      <c r="L2" s="131">
        <v>45941.0</v>
      </c>
      <c r="M2" s="131">
        <v>45973.0</v>
      </c>
      <c r="N2" s="132"/>
    </row>
    <row r="3">
      <c r="F3" s="133" t="s">
        <v>1327</v>
      </c>
      <c r="G3" s="119" t="s">
        <v>1328</v>
      </c>
      <c r="H3" s="133" t="s">
        <v>1329</v>
      </c>
      <c r="I3" s="133" t="s">
        <v>1330</v>
      </c>
      <c r="J3" s="133" t="s">
        <v>1030</v>
      </c>
      <c r="K3" s="133" t="s">
        <v>1331</v>
      </c>
      <c r="L3" s="133" t="s">
        <v>1332</v>
      </c>
      <c r="M3" s="133" t="s">
        <v>1333</v>
      </c>
      <c r="N3" s="133" t="s">
        <v>1334</v>
      </c>
      <c r="O3" s="134" t="s">
        <v>1089</v>
      </c>
      <c r="P3" s="134" t="s">
        <v>1335</v>
      </c>
    </row>
    <row r="4">
      <c r="A4" s="130">
        <v>45748.0</v>
      </c>
      <c r="B4" s="55"/>
      <c r="C4" s="55">
        <v>1000.0</v>
      </c>
      <c r="D4" s="55" t="s">
        <v>1336</v>
      </c>
      <c r="E4" s="55"/>
      <c r="F4" s="135"/>
      <c r="G4" s="136">
        <v>45762.0</v>
      </c>
      <c r="H4" s="101" t="b">
        <v>0</v>
      </c>
      <c r="I4" s="55"/>
      <c r="J4" s="55"/>
      <c r="K4" s="55"/>
      <c r="L4" s="55"/>
      <c r="M4" s="55"/>
      <c r="N4" s="55"/>
      <c r="P4" s="55" t="s">
        <v>781</v>
      </c>
    </row>
    <row r="5">
      <c r="A5" s="130">
        <v>45749.0</v>
      </c>
      <c r="B5" s="55"/>
      <c r="C5" s="55">
        <v>11.0</v>
      </c>
      <c r="D5" s="55" t="s">
        <v>1337</v>
      </c>
      <c r="E5" s="55"/>
      <c r="F5" s="135"/>
      <c r="G5" s="136">
        <v>45764.0</v>
      </c>
      <c r="H5" s="101" t="b">
        <v>0</v>
      </c>
      <c r="I5" s="55">
        <v>1.0</v>
      </c>
      <c r="J5" s="55">
        <v>6.0</v>
      </c>
      <c r="K5" s="55">
        <v>1.0</v>
      </c>
      <c r="L5" s="55">
        <v>2.0</v>
      </c>
      <c r="M5" s="55">
        <v>1.0</v>
      </c>
      <c r="N5" s="55"/>
      <c r="O5" s="101">
        <f t="shared" ref="O5:O14" si="1">SUM(H5:N5)</f>
        <v>11</v>
      </c>
    </row>
    <row r="6">
      <c r="A6" s="130">
        <v>45750.0</v>
      </c>
      <c r="B6" s="55"/>
      <c r="C6" s="55">
        <v>7.0</v>
      </c>
      <c r="D6" s="55" t="s">
        <v>1338</v>
      </c>
      <c r="E6" s="55"/>
      <c r="F6" s="135"/>
      <c r="G6" s="136">
        <v>45762.0</v>
      </c>
      <c r="H6" s="101" t="b">
        <v>0</v>
      </c>
      <c r="I6" s="55"/>
      <c r="J6" s="55">
        <v>2.0</v>
      </c>
      <c r="K6" s="55">
        <v>5.0</v>
      </c>
      <c r="L6" s="55"/>
      <c r="M6" s="55"/>
      <c r="N6" s="55"/>
      <c r="O6" s="101">
        <f t="shared" si="1"/>
        <v>7</v>
      </c>
    </row>
    <row r="7">
      <c r="A7" s="130">
        <v>45748.0</v>
      </c>
      <c r="C7" s="55">
        <v>1000.0</v>
      </c>
      <c r="D7" s="55" t="s">
        <v>1339</v>
      </c>
      <c r="E7" s="55" t="s">
        <v>1340</v>
      </c>
      <c r="F7" s="137">
        <v>45934.0</v>
      </c>
      <c r="G7" s="136">
        <v>45770.0</v>
      </c>
      <c r="H7" s="101" t="b">
        <v>0</v>
      </c>
      <c r="I7" s="55">
        <v>200.0</v>
      </c>
      <c r="J7" s="55">
        <v>200.0</v>
      </c>
      <c r="K7" s="55">
        <v>200.0</v>
      </c>
      <c r="L7" s="55">
        <v>200.0</v>
      </c>
      <c r="M7" s="55">
        <v>200.0</v>
      </c>
      <c r="O7" s="101">
        <f t="shared" si="1"/>
        <v>1000</v>
      </c>
      <c r="P7" s="55" t="s">
        <v>781</v>
      </c>
    </row>
    <row r="8">
      <c r="A8" s="130">
        <v>45749.0</v>
      </c>
      <c r="C8" s="55">
        <v>1000.0</v>
      </c>
      <c r="D8" s="55" t="s">
        <v>1341</v>
      </c>
      <c r="E8" s="55" t="s">
        <v>1340</v>
      </c>
      <c r="F8" s="137">
        <v>45934.0</v>
      </c>
      <c r="G8" s="136">
        <v>45770.0</v>
      </c>
      <c r="H8" s="101" t="b">
        <v>0</v>
      </c>
      <c r="I8" s="55">
        <v>150.0</v>
      </c>
      <c r="J8" s="55">
        <v>300.0</v>
      </c>
      <c r="K8" s="55">
        <v>300.0</v>
      </c>
      <c r="L8" s="55">
        <v>150.0</v>
      </c>
      <c r="M8" s="55">
        <v>100.0</v>
      </c>
      <c r="O8" s="101">
        <f t="shared" si="1"/>
        <v>1000</v>
      </c>
      <c r="P8" s="55" t="s">
        <v>781</v>
      </c>
    </row>
    <row r="9">
      <c r="A9" s="130">
        <v>45748.0</v>
      </c>
      <c r="B9" s="55" t="s">
        <v>122</v>
      </c>
      <c r="C9" s="55">
        <v>100.0</v>
      </c>
      <c r="D9" s="55" t="s">
        <v>1309</v>
      </c>
      <c r="E9" s="55" t="s">
        <v>1232</v>
      </c>
      <c r="F9" s="135"/>
      <c r="G9" s="136">
        <v>45777.0</v>
      </c>
      <c r="H9" s="101" t="b">
        <v>0</v>
      </c>
      <c r="I9" s="55">
        <v>10.0</v>
      </c>
      <c r="J9" s="55">
        <v>15.0</v>
      </c>
      <c r="K9" s="55">
        <v>25.0</v>
      </c>
      <c r="L9" s="55">
        <v>25.0</v>
      </c>
      <c r="M9" s="55">
        <v>15.0</v>
      </c>
      <c r="N9" s="55">
        <v>10.0</v>
      </c>
      <c r="O9" s="101">
        <f t="shared" si="1"/>
        <v>100</v>
      </c>
      <c r="P9" s="55" t="s">
        <v>781</v>
      </c>
    </row>
    <row r="10">
      <c r="A10" s="130">
        <v>45749.0</v>
      </c>
      <c r="B10" s="55" t="s">
        <v>122</v>
      </c>
      <c r="C10" s="55">
        <v>100.0</v>
      </c>
      <c r="D10" s="55" t="s">
        <v>1309</v>
      </c>
      <c r="E10" s="55" t="s">
        <v>1221</v>
      </c>
      <c r="F10" s="135"/>
      <c r="G10" s="136">
        <v>45777.0</v>
      </c>
      <c r="H10" s="101" t="b">
        <v>0</v>
      </c>
      <c r="I10" s="55">
        <v>10.0</v>
      </c>
      <c r="J10" s="55">
        <v>15.0</v>
      </c>
      <c r="K10" s="55">
        <v>25.0</v>
      </c>
      <c r="L10" s="55">
        <v>25.0</v>
      </c>
      <c r="M10" s="55">
        <v>15.0</v>
      </c>
      <c r="N10" s="55">
        <v>10.0</v>
      </c>
      <c r="O10" s="101">
        <f t="shared" si="1"/>
        <v>100</v>
      </c>
      <c r="P10" s="55" t="s">
        <v>781</v>
      </c>
    </row>
    <row r="11">
      <c r="A11" s="130">
        <v>45748.0</v>
      </c>
      <c r="B11" s="55" t="s">
        <v>122</v>
      </c>
      <c r="C11" s="55">
        <v>110.0</v>
      </c>
      <c r="D11" s="55" t="s">
        <v>1311</v>
      </c>
      <c r="E11" s="55" t="s">
        <v>1232</v>
      </c>
      <c r="F11" s="135"/>
      <c r="G11" s="136">
        <v>45783.0</v>
      </c>
      <c r="H11" s="101" t="b">
        <v>0</v>
      </c>
      <c r="I11" s="55">
        <v>15.0</v>
      </c>
      <c r="J11" s="55">
        <v>15.0</v>
      </c>
      <c r="K11" s="55">
        <v>25.0</v>
      </c>
      <c r="L11" s="55">
        <v>25.0</v>
      </c>
      <c r="M11" s="55">
        <v>20.0</v>
      </c>
      <c r="N11" s="55">
        <v>10.0</v>
      </c>
      <c r="O11" s="101">
        <f t="shared" si="1"/>
        <v>110</v>
      </c>
      <c r="P11" s="55" t="s">
        <v>1342</v>
      </c>
    </row>
    <row r="12">
      <c r="A12" s="130">
        <v>45748.0</v>
      </c>
      <c r="B12" s="55" t="s">
        <v>122</v>
      </c>
      <c r="C12" s="55">
        <v>110.0</v>
      </c>
      <c r="D12" s="55" t="s">
        <v>1311</v>
      </c>
      <c r="E12" s="55" t="s">
        <v>1343</v>
      </c>
      <c r="F12" s="135"/>
      <c r="G12" s="136">
        <v>45783.0</v>
      </c>
      <c r="H12" s="101" t="b">
        <v>0</v>
      </c>
      <c r="I12" s="55">
        <v>15.0</v>
      </c>
      <c r="J12" s="55">
        <v>15.0</v>
      </c>
      <c r="K12" s="55">
        <v>25.0</v>
      </c>
      <c r="L12" s="55">
        <v>25.0</v>
      </c>
      <c r="M12" s="55">
        <v>20.0</v>
      </c>
      <c r="N12" s="55">
        <v>10.0</v>
      </c>
      <c r="O12" s="101">
        <f t="shared" si="1"/>
        <v>110</v>
      </c>
      <c r="P12" s="55" t="s">
        <v>1342</v>
      </c>
    </row>
    <row r="13">
      <c r="A13" s="130">
        <v>45748.0</v>
      </c>
      <c r="B13" s="55" t="s">
        <v>122</v>
      </c>
      <c r="C13" s="55">
        <v>110.0</v>
      </c>
      <c r="D13" s="55" t="s">
        <v>1313</v>
      </c>
      <c r="E13" s="55" t="s">
        <v>1232</v>
      </c>
      <c r="F13" s="135"/>
      <c r="G13" s="136">
        <v>45783.0</v>
      </c>
      <c r="H13" s="101" t="b">
        <v>0</v>
      </c>
      <c r="I13" s="55">
        <v>15.0</v>
      </c>
      <c r="J13" s="55">
        <v>15.0</v>
      </c>
      <c r="K13" s="55">
        <v>25.0</v>
      </c>
      <c r="L13" s="55">
        <v>25.0</v>
      </c>
      <c r="M13" s="55">
        <v>20.0</v>
      </c>
      <c r="N13" s="55">
        <v>10.0</v>
      </c>
      <c r="O13" s="101">
        <f t="shared" si="1"/>
        <v>110</v>
      </c>
      <c r="P13" s="55" t="s">
        <v>781</v>
      </c>
    </row>
    <row r="14">
      <c r="A14" s="130">
        <v>45748.0</v>
      </c>
      <c r="B14" s="55" t="s">
        <v>122</v>
      </c>
      <c r="C14" s="55">
        <v>110.0</v>
      </c>
      <c r="D14" s="55" t="s">
        <v>1313</v>
      </c>
      <c r="E14" s="55" t="s">
        <v>1343</v>
      </c>
      <c r="F14" s="135"/>
      <c r="G14" s="136">
        <v>45783.0</v>
      </c>
      <c r="H14" s="101" t="b">
        <v>0</v>
      </c>
      <c r="I14" s="55">
        <v>15.0</v>
      </c>
      <c r="J14" s="55">
        <v>15.0</v>
      </c>
      <c r="K14" s="55">
        <v>25.0</v>
      </c>
      <c r="L14" s="55">
        <v>25.0</v>
      </c>
      <c r="M14" s="55">
        <v>20.0</v>
      </c>
      <c r="N14" s="55">
        <v>10.0</v>
      </c>
      <c r="O14" s="101">
        <f t="shared" si="1"/>
        <v>110</v>
      </c>
      <c r="P14" s="55" t="s">
        <v>781</v>
      </c>
    </row>
    <row r="15">
      <c r="A15" s="130">
        <v>45749.0</v>
      </c>
      <c r="B15" s="55"/>
      <c r="D15" s="55" t="s">
        <v>1344</v>
      </c>
      <c r="E15" s="55"/>
      <c r="F15" s="135"/>
      <c r="G15" s="136">
        <v>45787.0</v>
      </c>
      <c r="H15" s="101" t="b">
        <v>0</v>
      </c>
      <c r="I15" s="55"/>
      <c r="J15" s="55"/>
      <c r="K15" s="55"/>
      <c r="L15" s="55"/>
      <c r="M15" s="55"/>
      <c r="P15" s="55" t="s">
        <v>781</v>
      </c>
    </row>
    <row r="16">
      <c r="A16" s="130">
        <v>45750.0</v>
      </c>
      <c r="B16" s="55"/>
      <c r="D16" s="55" t="s">
        <v>1345</v>
      </c>
      <c r="E16" s="55" t="s">
        <v>1346</v>
      </c>
      <c r="F16" s="135"/>
      <c r="G16" s="136">
        <v>45792.0</v>
      </c>
      <c r="H16" s="101" t="b">
        <v>0</v>
      </c>
      <c r="I16" s="55"/>
      <c r="J16" s="55"/>
      <c r="K16" s="55"/>
      <c r="L16" s="55"/>
      <c r="M16" s="55"/>
    </row>
    <row r="17">
      <c r="A17" s="130">
        <v>45750.0</v>
      </c>
      <c r="B17" s="55" t="s">
        <v>1347</v>
      </c>
      <c r="C17" s="101">
        <f t="shared" ref="C17:C24" si="2">O17</f>
        <v>140</v>
      </c>
      <c r="D17" s="55" t="s">
        <v>1158</v>
      </c>
      <c r="E17" s="55" t="s">
        <v>1340</v>
      </c>
      <c r="F17" s="135"/>
      <c r="G17" s="136">
        <v>45797.0</v>
      </c>
      <c r="H17" s="101" t="b">
        <v>0</v>
      </c>
      <c r="I17" s="55">
        <v>10.0</v>
      </c>
      <c r="J17" s="55">
        <v>40.0</v>
      </c>
      <c r="K17" s="55">
        <v>40.0</v>
      </c>
      <c r="L17" s="55">
        <v>40.0</v>
      </c>
      <c r="M17" s="55">
        <v>10.0</v>
      </c>
      <c r="O17" s="101">
        <f t="shared" ref="O17:O24" si="3">SUM(I17:M17)</f>
        <v>140</v>
      </c>
      <c r="P17" s="55" t="s">
        <v>781</v>
      </c>
    </row>
    <row r="18">
      <c r="A18" s="130">
        <v>45751.0</v>
      </c>
      <c r="B18" s="55" t="s">
        <v>1347</v>
      </c>
      <c r="C18" s="101">
        <f t="shared" si="2"/>
        <v>140</v>
      </c>
      <c r="D18" s="55" t="s">
        <v>1158</v>
      </c>
      <c r="E18" s="55" t="s">
        <v>1221</v>
      </c>
      <c r="F18" s="135"/>
      <c r="G18" s="135"/>
      <c r="H18" s="101" t="b">
        <v>0</v>
      </c>
      <c r="I18" s="55">
        <v>10.0</v>
      </c>
      <c r="J18" s="55">
        <v>40.0</v>
      </c>
      <c r="K18" s="55">
        <v>40.0</v>
      </c>
      <c r="L18" s="55">
        <v>40.0</v>
      </c>
      <c r="M18" s="55">
        <v>10.0</v>
      </c>
      <c r="O18" s="101">
        <f t="shared" si="3"/>
        <v>140</v>
      </c>
      <c r="P18" s="55" t="s">
        <v>781</v>
      </c>
    </row>
    <row r="19">
      <c r="A19" s="130">
        <v>45752.0</v>
      </c>
      <c r="B19" s="55" t="s">
        <v>1347</v>
      </c>
      <c r="C19" s="101">
        <f t="shared" si="2"/>
        <v>210</v>
      </c>
      <c r="D19" s="55" t="s">
        <v>1348</v>
      </c>
      <c r="E19" s="55" t="s">
        <v>1349</v>
      </c>
      <c r="F19" s="135"/>
      <c r="G19" s="135"/>
      <c r="H19" s="101" t="b">
        <v>0</v>
      </c>
      <c r="I19" s="55">
        <v>10.0</v>
      </c>
      <c r="J19" s="55">
        <v>60.0</v>
      </c>
      <c r="K19" s="55">
        <v>60.0</v>
      </c>
      <c r="L19" s="55">
        <v>60.0</v>
      </c>
      <c r="M19" s="55">
        <v>20.0</v>
      </c>
      <c r="O19" s="101">
        <f t="shared" si="3"/>
        <v>210</v>
      </c>
      <c r="P19" s="55" t="s">
        <v>781</v>
      </c>
    </row>
    <row r="20">
      <c r="A20" s="130">
        <v>45753.0</v>
      </c>
      <c r="B20" s="55" t="s">
        <v>1347</v>
      </c>
      <c r="C20" s="101">
        <f t="shared" si="2"/>
        <v>190</v>
      </c>
      <c r="D20" s="55" t="s">
        <v>1348</v>
      </c>
      <c r="E20" s="55" t="s">
        <v>1350</v>
      </c>
      <c r="F20" s="135"/>
      <c r="G20" s="135"/>
      <c r="H20" s="101" t="b">
        <v>0</v>
      </c>
      <c r="I20" s="55">
        <v>20.0</v>
      </c>
      <c r="J20" s="55">
        <v>50.0</v>
      </c>
      <c r="K20" s="55">
        <v>50.0</v>
      </c>
      <c r="L20" s="55">
        <v>50.0</v>
      </c>
      <c r="M20" s="55">
        <v>20.0</v>
      </c>
      <c r="O20" s="101">
        <f t="shared" si="3"/>
        <v>190</v>
      </c>
      <c r="P20" s="55" t="s">
        <v>781</v>
      </c>
    </row>
    <row r="21">
      <c r="A21" s="130">
        <v>45754.0</v>
      </c>
      <c r="B21" s="55" t="s">
        <v>1351</v>
      </c>
      <c r="C21" s="101">
        <f t="shared" si="2"/>
        <v>140</v>
      </c>
      <c r="D21" s="55" t="s">
        <v>1158</v>
      </c>
      <c r="E21" s="55" t="s">
        <v>1232</v>
      </c>
      <c r="F21" s="135"/>
      <c r="G21" s="135"/>
      <c r="H21" s="101" t="b">
        <v>0</v>
      </c>
      <c r="I21" s="55">
        <v>10.0</v>
      </c>
      <c r="J21" s="55">
        <v>40.0</v>
      </c>
      <c r="K21" s="55">
        <v>40.0</v>
      </c>
      <c r="L21" s="55">
        <v>40.0</v>
      </c>
      <c r="M21" s="55">
        <v>10.0</v>
      </c>
      <c r="O21" s="101">
        <f t="shared" si="3"/>
        <v>140</v>
      </c>
      <c r="P21" s="55" t="s">
        <v>781</v>
      </c>
    </row>
    <row r="22">
      <c r="A22" s="130">
        <v>45755.0</v>
      </c>
      <c r="B22" s="55" t="s">
        <v>1351</v>
      </c>
      <c r="C22" s="101">
        <f t="shared" si="2"/>
        <v>230</v>
      </c>
      <c r="D22" s="55" t="s">
        <v>1158</v>
      </c>
      <c r="E22" s="55" t="s">
        <v>1352</v>
      </c>
      <c r="F22" s="135"/>
      <c r="G22" s="135"/>
      <c r="H22" s="101" t="b">
        <v>0</v>
      </c>
      <c r="I22" s="55">
        <v>20.0</v>
      </c>
      <c r="J22" s="55">
        <v>60.0</v>
      </c>
      <c r="K22" s="55">
        <v>60.0</v>
      </c>
      <c r="L22" s="55">
        <v>60.0</v>
      </c>
      <c r="M22" s="55">
        <v>30.0</v>
      </c>
      <c r="O22" s="101">
        <f t="shared" si="3"/>
        <v>230</v>
      </c>
      <c r="P22" s="55" t="s">
        <v>781</v>
      </c>
    </row>
    <row r="23">
      <c r="A23" s="130">
        <v>45756.0</v>
      </c>
      <c r="B23" s="55" t="s">
        <v>1351</v>
      </c>
      <c r="C23" s="101">
        <f t="shared" si="2"/>
        <v>135</v>
      </c>
      <c r="D23" s="55" t="s">
        <v>1158</v>
      </c>
      <c r="E23" s="55" t="s">
        <v>1232</v>
      </c>
      <c r="F23" s="135"/>
      <c r="G23" s="135"/>
      <c r="H23" s="101" t="b">
        <v>0</v>
      </c>
      <c r="I23" s="55">
        <v>5.0</v>
      </c>
      <c r="J23" s="55">
        <v>40.0</v>
      </c>
      <c r="K23" s="55">
        <v>40.0</v>
      </c>
      <c r="L23" s="55">
        <v>40.0</v>
      </c>
      <c r="M23" s="55">
        <v>10.0</v>
      </c>
      <c r="O23" s="101">
        <f t="shared" si="3"/>
        <v>135</v>
      </c>
      <c r="P23" s="55" t="s">
        <v>781</v>
      </c>
    </row>
    <row r="24">
      <c r="A24" s="130">
        <v>45757.0</v>
      </c>
      <c r="B24" s="55" t="s">
        <v>1351</v>
      </c>
      <c r="C24" s="101">
        <f t="shared" si="2"/>
        <v>135</v>
      </c>
      <c r="D24" s="55" t="s">
        <v>1158</v>
      </c>
      <c r="E24" s="55" t="s">
        <v>1221</v>
      </c>
      <c r="F24" s="135"/>
      <c r="G24" s="135"/>
      <c r="H24" s="101" t="b">
        <v>0</v>
      </c>
      <c r="I24" s="55">
        <v>5.0</v>
      </c>
      <c r="J24" s="55">
        <v>40.0</v>
      </c>
      <c r="K24" s="55">
        <v>40.0</v>
      </c>
      <c r="L24" s="55">
        <v>40.0</v>
      </c>
      <c r="M24" s="55">
        <v>10.0</v>
      </c>
      <c r="O24" s="101">
        <f t="shared" si="3"/>
        <v>135</v>
      </c>
      <c r="P24" s="55" t="s">
        <v>781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6.5"/>
    <col customWidth="1" min="3" max="3" width="7.88"/>
    <col customWidth="1" min="4" max="4" width="6.13"/>
    <col customWidth="1" min="5" max="5" width="6.38"/>
    <col customWidth="1" min="6" max="6" width="7.0"/>
    <col customWidth="1" min="7" max="7" width="7.38"/>
    <col customWidth="1" min="8" max="8" width="8.0"/>
  </cols>
  <sheetData>
    <row r="1">
      <c r="B1" s="55" t="s">
        <v>1353</v>
      </c>
    </row>
    <row r="3">
      <c r="A3" s="132"/>
      <c r="B3" s="133" t="s">
        <v>1330</v>
      </c>
      <c r="C3" s="133" t="s">
        <v>1030</v>
      </c>
      <c r="D3" s="133" t="s">
        <v>1331</v>
      </c>
      <c r="E3" s="133" t="s">
        <v>1332</v>
      </c>
      <c r="F3" s="133" t="s">
        <v>1333</v>
      </c>
      <c r="G3" s="133" t="s">
        <v>1334</v>
      </c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</row>
    <row r="4">
      <c r="A4" s="134" t="s">
        <v>1354</v>
      </c>
    </row>
    <row r="6">
      <c r="A6" s="55" t="s">
        <v>1355</v>
      </c>
      <c r="F6" s="55">
        <v>2.0</v>
      </c>
      <c r="H6" s="101">
        <f t="shared" ref="H6:H7" si="1">SUM(B6:G6)</f>
        <v>2</v>
      </c>
    </row>
    <row r="7">
      <c r="A7" s="55" t="s">
        <v>1233</v>
      </c>
      <c r="B7" s="55">
        <v>10.0</v>
      </c>
      <c r="C7" s="55">
        <v>32.0</v>
      </c>
      <c r="D7" s="55">
        <f>3+44</f>
        <v>47</v>
      </c>
      <c r="E7" s="55">
        <v>26.0</v>
      </c>
      <c r="F7" s="55">
        <v>13.0</v>
      </c>
      <c r="G7" s="55">
        <v>11.0</v>
      </c>
      <c r="H7" s="101">
        <f t="shared" si="1"/>
        <v>139</v>
      </c>
    </row>
    <row r="8">
      <c r="A8" s="55"/>
      <c r="B8" s="55"/>
      <c r="C8" s="55"/>
      <c r="D8" s="55"/>
      <c r="E8" s="55"/>
      <c r="F8" s="55"/>
      <c r="G8" s="55"/>
    </row>
    <row r="9">
      <c r="A9" s="55"/>
      <c r="B9" s="55"/>
      <c r="C9" s="55"/>
      <c r="D9" s="55"/>
      <c r="E9" s="55"/>
      <c r="F9" s="55"/>
      <c r="G9" s="55"/>
    </row>
    <row r="10">
      <c r="A10" s="55"/>
      <c r="B10" s="55"/>
      <c r="C10" s="55"/>
      <c r="D10" s="55"/>
      <c r="E10" s="55"/>
      <c r="F10" s="55"/>
      <c r="G10" s="55"/>
    </row>
    <row r="11">
      <c r="A11" s="55" t="s">
        <v>1356</v>
      </c>
      <c r="B11" s="55">
        <v>10.0</v>
      </c>
      <c r="C11" s="55">
        <v>30.0</v>
      </c>
      <c r="D11" s="55">
        <f>30+10</f>
        <v>40</v>
      </c>
      <c r="E11" s="55">
        <f>24+2</f>
        <v>26</v>
      </c>
      <c r="F11" s="55">
        <f>14+2</f>
        <v>16</v>
      </c>
      <c r="G11" s="55">
        <f>11+1</f>
        <v>12</v>
      </c>
      <c r="H11" s="101">
        <f>SUM(B11:G11)</f>
        <v>134</v>
      </c>
    </row>
    <row r="12">
      <c r="A12" s="55"/>
      <c r="F12" s="55"/>
    </row>
    <row r="13">
      <c r="A13" s="55"/>
      <c r="F13" s="55"/>
    </row>
    <row r="14">
      <c r="A14" s="55"/>
      <c r="F14" s="55"/>
    </row>
    <row r="15">
      <c r="A15" s="55" t="s">
        <v>1357</v>
      </c>
      <c r="F15" s="55">
        <v>4.0</v>
      </c>
      <c r="H15" s="101">
        <f>SUM(B15:G15)</f>
        <v>4</v>
      </c>
    </row>
    <row r="16">
      <c r="A16" s="55"/>
      <c r="B16" s="55"/>
      <c r="C16" s="55"/>
      <c r="D16" s="55"/>
      <c r="E16" s="55"/>
      <c r="F16" s="55"/>
      <c r="G16" s="55"/>
    </row>
    <row r="17">
      <c r="A17" s="55"/>
      <c r="B17" s="55"/>
      <c r="C17" s="55"/>
      <c r="D17" s="55"/>
      <c r="E17" s="55"/>
      <c r="F17" s="55"/>
      <c r="G17" s="55"/>
    </row>
    <row r="18">
      <c r="A18" s="55"/>
      <c r="B18" s="55"/>
      <c r="C18" s="55"/>
      <c r="D18" s="55"/>
      <c r="E18" s="55"/>
      <c r="F18" s="55"/>
      <c r="G18" s="55"/>
    </row>
    <row r="19">
      <c r="A19" s="55" t="s">
        <v>1232</v>
      </c>
      <c r="B19" s="55">
        <f>1+10</f>
        <v>11</v>
      </c>
      <c r="C19" s="55">
        <f>7+26</f>
        <v>33</v>
      </c>
      <c r="D19" s="55">
        <f>8+35</f>
        <v>43</v>
      </c>
      <c r="E19" s="55">
        <v>30.0</v>
      </c>
      <c r="F19" s="55">
        <v>13.0</v>
      </c>
      <c r="G19" s="55">
        <v>12.0</v>
      </c>
      <c r="H19" s="101">
        <f>SUM(B19:G19)</f>
        <v>142</v>
      </c>
    </row>
    <row r="20">
      <c r="A20" s="55"/>
      <c r="E20" s="55"/>
      <c r="F20" s="55"/>
    </row>
    <row r="21">
      <c r="A21" s="55"/>
      <c r="E21" s="55"/>
      <c r="F21" s="55"/>
    </row>
    <row r="22">
      <c r="A22" s="55"/>
      <c r="E22" s="55"/>
      <c r="F22" s="55"/>
    </row>
    <row r="23">
      <c r="A23" s="55" t="s">
        <v>1221</v>
      </c>
      <c r="E23" s="55">
        <v>1.0</v>
      </c>
      <c r="F23" s="55">
        <v>1.0</v>
      </c>
      <c r="H23" s="101">
        <f>SUM(B23:G23)</f>
        <v>2</v>
      </c>
    </row>
    <row r="24">
      <c r="H24" s="138">
        <f>SUM(H5:H23)</f>
        <v>423</v>
      </c>
    </row>
    <row r="25">
      <c r="A25" s="134" t="s">
        <v>1358</v>
      </c>
    </row>
    <row r="27">
      <c r="A27" s="55" t="s">
        <v>1359</v>
      </c>
      <c r="B27" s="55">
        <v>10.0</v>
      </c>
      <c r="C27" s="55">
        <v>30.0</v>
      </c>
      <c r="D27" s="55">
        <v>34.0</v>
      </c>
      <c r="E27" s="55">
        <v>28.0</v>
      </c>
      <c r="F27" s="55">
        <v>7.0</v>
      </c>
      <c r="G27" s="55">
        <v>12.0</v>
      </c>
      <c r="H27" s="101">
        <f t="shared" ref="H27:H33" si="2">SUM(B27:G27)</f>
        <v>121</v>
      </c>
    </row>
    <row r="28">
      <c r="A28" s="55" t="s">
        <v>1360</v>
      </c>
      <c r="B28" s="55">
        <v>10.0</v>
      </c>
      <c r="C28" s="55">
        <v>29.0</v>
      </c>
      <c r="D28" s="55">
        <v>45.0</v>
      </c>
      <c r="E28" s="55">
        <v>23.0</v>
      </c>
      <c r="F28" s="55">
        <v>13.0</v>
      </c>
      <c r="G28" s="55">
        <v>11.0</v>
      </c>
      <c r="H28" s="101">
        <f t="shared" si="2"/>
        <v>131</v>
      </c>
    </row>
    <row r="29">
      <c r="A29" s="55" t="s">
        <v>1361</v>
      </c>
      <c r="B29" s="55">
        <v>8.0</v>
      </c>
      <c r="C29" s="55">
        <v>31.0</v>
      </c>
      <c r="D29" s="55">
        <v>41.0</v>
      </c>
      <c r="E29" s="55">
        <v>26.0</v>
      </c>
      <c r="F29" s="55">
        <v>13.0</v>
      </c>
      <c r="G29" s="55">
        <v>11.0</v>
      </c>
      <c r="H29" s="101">
        <f t="shared" si="2"/>
        <v>130</v>
      </c>
    </row>
    <row r="30">
      <c r="A30" s="55" t="s">
        <v>1362</v>
      </c>
      <c r="B30" s="55">
        <v>12.0</v>
      </c>
      <c r="C30" s="55">
        <v>34.0</v>
      </c>
      <c r="D30" s="55">
        <v>42.0</v>
      </c>
      <c r="E30" s="55">
        <v>30.0</v>
      </c>
      <c r="F30" s="55">
        <v>14.0</v>
      </c>
      <c r="G30" s="55">
        <v>10.0</v>
      </c>
      <c r="H30" s="101">
        <f t="shared" si="2"/>
        <v>142</v>
      </c>
    </row>
    <row r="31">
      <c r="A31" s="55" t="s">
        <v>1363</v>
      </c>
      <c r="G31" s="55">
        <v>1.0</v>
      </c>
      <c r="H31" s="101">
        <f t="shared" si="2"/>
        <v>1</v>
      </c>
    </row>
    <row r="32">
      <c r="A32" s="55" t="s">
        <v>1364</v>
      </c>
      <c r="B32" s="55">
        <v>10.0</v>
      </c>
      <c r="C32" s="55">
        <v>32.0</v>
      </c>
      <c r="D32" s="55">
        <f>30+8</f>
        <v>38</v>
      </c>
      <c r="E32" s="55">
        <v>27.0</v>
      </c>
      <c r="F32" s="55">
        <v>12.0</v>
      </c>
      <c r="G32" s="55">
        <v>11.0</v>
      </c>
      <c r="H32" s="101">
        <f t="shared" si="2"/>
        <v>130</v>
      </c>
    </row>
    <row r="33">
      <c r="A33" s="55" t="s">
        <v>1290</v>
      </c>
      <c r="D33" s="55">
        <v>3.0</v>
      </c>
      <c r="F33" s="55">
        <v>2.0</v>
      </c>
      <c r="H33" s="101">
        <f t="shared" si="2"/>
        <v>5</v>
      </c>
    </row>
    <row r="38">
      <c r="H38" s="138">
        <f>SUM(H27:H35)</f>
        <v>660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6.88"/>
    <col customWidth="1" min="3" max="3" width="10.38"/>
    <col customWidth="1" min="4" max="4" width="9.75"/>
    <col customWidth="1" min="5" max="5" width="24.63"/>
    <col customWidth="1" min="6" max="6" width="8.13"/>
    <col customWidth="1" min="7" max="7" width="16.0"/>
    <col customWidth="1" min="8" max="8" width="9.0"/>
  </cols>
  <sheetData>
    <row r="1">
      <c r="B1" s="139"/>
    </row>
    <row r="2">
      <c r="B2" s="139"/>
    </row>
    <row r="3" ht="22.5" customHeight="1">
      <c r="A3" s="140" t="s">
        <v>1365</v>
      </c>
      <c r="B3" s="140" t="s">
        <v>1366</v>
      </c>
      <c r="C3" s="140" t="s">
        <v>1367</v>
      </c>
      <c r="D3" s="140" t="s">
        <v>1069</v>
      </c>
      <c r="E3" s="140" t="s">
        <v>1368</v>
      </c>
      <c r="F3" s="140" t="s">
        <v>1070</v>
      </c>
      <c r="G3" s="141" t="s">
        <v>1369</v>
      </c>
      <c r="H3" s="140" t="s">
        <v>1370</v>
      </c>
      <c r="J3" s="55" t="s">
        <v>1371</v>
      </c>
    </row>
    <row r="4" ht="22.5" customHeight="1">
      <c r="A4" s="142"/>
      <c r="B4" s="143"/>
      <c r="D4" s="142"/>
      <c r="E4" s="142"/>
    </row>
    <row r="5" ht="22.5" customHeight="1">
      <c r="A5" s="144">
        <v>3201.0</v>
      </c>
      <c r="B5" s="140" t="s">
        <v>1372</v>
      </c>
      <c r="C5" s="144" t="s">
        <v>1373</v>
      </c>
      <c r="D5" s="144">
        <v>25.0</v>
      </c>
      <c r="E5" s="144">
        <v>25.0</v>
      </c>
      <c r="J5" s="55">
        <v>25.0</v>
      </c>
      <c r="K5" s="55" t="b">
        <v>1</v>
      </c>
      <c r="M5" s="55">
        <v>47523.35</v>
      </c>
    </row>
    <row r="6" ht="22.5" customHeight="1">
      <c r="A6" s="144">
        <v>3201.0</v>
      </c>
      <c r="B6" s="140" t="s">
        <v>1372</v>
      </c>
      <c r="C6" s="144" t="s">
        <v>1233</v>
      </c>
      <c r="D6" s="144">
        <v>50.0</v>
      </c>
      <c r="E6" s="144">
        <v>50.0</v>
      </c>
      <c r="J6" s="55">
        <v>50.0</v>
      </c>
      <c r="K6" s="55" t="b">
        <v>1</v>
      </c>
      <c r="M6" s="55">
        <v>18255.65</v>
      </c>
    </row>
    <row r="7" ht="22.5" customHeight="1">
      <c r="A7" s="144">
        <v>3202.0</v>
      </c>
      <c r="B7" s="140" t="s">
        <v>1374</v>
      </c>
      <c r="C7" s="144" t="s">
        <v>1356</v>
      </c>
      <c r="D7" s="144">
        <v>100.0</v>
      </c>
      <c r="E7" s="144">
        <v>100.0</v>
      </c>
      <c r="J7" s="55">
        <v>100.0</v>
      </c>
      <c r="K7" s="55" t="b">
        <v>1</v>
      </c>
      <c r="M7" s="55">
        <v>5051.25</v>
      </c>
    </row>
    <row r="8" ht="22.5" customHeight="1">
      <c r="A8" s="144">
        <v>3202.0</v>
      </c>
      <c r="B8" s="140" t="s">
        <v>1374</v>
      </c>
      <c r="C8" s="144" t="s">
        <v>1375</v>
      </c>
      <c r="D8" s="144">
        <v>100.0</v>
      </c>
      <c r="E8" s="144">
        <v>100.0</v>
      </c>
      <c r="J8" s="55">
        <v>100.0</v>
      </c>
      <c r="K8" s="55" t="b">
        <v>1</v>
      </c>
      <c r="M8" s="55">
        <v>34286.35</v>
      </c>
    </row>
    <row r="9" ht="22.5" customHeight="1">
      <c r="A9" s="144">
        <v>3202.0</v>
      </c>
      <c r="B9" s="140" t="s">
        <v>1374</v>
      </c>
      <c r="C9" s="144" t="s">
        <v>1357</v>
      </c>
      <c r="D9" s="144">
        <v>75.0</v>
      </c>
      <c r="E9" s="144">
        <v>75.0</v>
      </c>
      <c r="J9" s="55">
        <v>75.0</v>
      </c>
      <c r="K9" s="55" t="b">
        <v>1</v>
      </c>
    </row>
    <row r="10" ht="22.5" customHeight="1">
      <c r="A10" s="144">
        <v>3203.0</v>
      </c>
      <c r="B10" s="140">
        <v>6070.0</v>
      </c>
      <c r="C10" s="144" t="s">
        <v>1294</v>
      </c>
      <c r="D10" s="144">
        <v>200.0</v>
      </c>
      <c r="E10" s="144">
        <v>200.0</v>
      </c>
      <c r="J10" s="55">
        <v>200.0</v>
      </c>
      <c r="K10" s="55" t="b">
        <v>1</v>
      </c>
    </row>
    <row r="11" ht="22.5" customHeight="1">
      <c r="A11" s="144">
        <v>3204.0</v>
      </c>
      <c r="B11" s="140">
        <v>17610.0</v>
      </c>
      <c r="C11" s="144" t="s">
        <v>1376</v>
      </c>
      <c r="D11" s="144">
        <v>150.0</v>
      </c>
      <c r="E11" s="144">
        <v>150.0</v>
      </c>
      <c r="J11" s="55">
        <v>150.0</v>
      </c>
      <c r="K11" s="55" t="b">
        <v>1</v>
      </c>
      <c r="M11" s="101">
        <f>SUM(M5:M9)</f>
        <v>105116.6</v>
      </c>
    </row>
    <row r="12" ht="22.5" customHeight="1">
      <c r="A12" s="144">
        <v>3205.0</v>
      </c>
      <c r="B12" s="140">
        <v>17603.0</v>
      </c>
      <c r="C12" s="144" t="s">
        <v>1292</v>
      </c>
      <c r="D12" s="144">
        <v>75.0</v>
      </c>
      <c r="E12" s="144">
        <v>50.0</v>
      </c>
      <c r="F12" s="145"/>
      <c r="G12" s="145" t="s">
        <v>1377</v>
      </c>
      <c r="H12" s="144">
        <v>25.0</v>
      </c>
      <c r="J12" s="55">
        <v>50.0</v>
      </c>
      <c r="K12" s="55" t="b">
        <v>1</v>
      </c>
    </row>
    <row r="13" ht="22.5" customHeight="1">
      <c r="A13" s="144">
        <v>3206.0</v>
      </c>
      <c r="B13" s="140" t="s">
        <v>1378</v>
      </c>
      <c r="C13" s="144" t="s">
        <v>1232</v>
      </c>
      <c r="D13" s="144">
        <v>150.0</v>
      </c>
      <c r="E13" s="144">
        <v>150.0</v>
      </c>
      <c r="J13" s="55">
        <v>150.0</v>
      </c>
      <c r="K13" s="55" t="b">
        <v>1</v>
      </c>
    </row>
    <row r="14" ht="22.5" customHeight="1">
      <c r="A14" s="144">
        <v>3206.0</v>
      </c>
      <c r="B14" s="140" t="s">
        <v>1378</v>
      </c>
      <c r="C14" s="144" t="s">
        <v>1356</v>
      </c>
      <c r="D14" s="144">
        <v>150.0</v>
      </c>
      <c r="E14" s="144">
        <v>150.0</v>
      </c>
      <c r="J14" s="55">
        <v>150.0</v>
      </c>
      <c r="K14" s="55" t="b">
        <v>1</v>
      </c>
    </row>
    <row r="15" ht="22.5" customHeight="1">
      <c r="A15" s="145">
        <v>3207.0</v>
      </c>
      <c r="B15" s="146" t="s">
        <v>1379</v>
      </c>
      <c r="C15" s="145" t="s">
        <v>1232</v>
      </c>
      <c r="D15" s="145">
        <v>150.0</v>
      </c>
      <c r="E15" s="147"/>
      <c r="F15" s="145"/>
      <c r="G15" s="145" t="s">
        <v>1380</v>
      </c>
      <c r="H15" s="148"/>
      <c r="I15" s="110"/>
      <c r="J15" s="109">
        <v>150.0</v>
      </c>
      <c r="K15" s="109" t="b">
        <v>1</v>
      </c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</row>
    <row r="16" ht="22.5" customHeight="1">
      <c r="A16" s="144">
        <v>3207.0</v>
      </c>
      <c r="B16" s="140" t="s">
        <v>1379</v>
      </c>
      <c r="C16" s="144" t="s">
        <v>1356</v>
      </c>
      <c r="D16" s="144">
        <v>150.0</v>
      </c>
      <c r="E16" s="142"/>
      <c r="F16" s="144"/>
      <c r="J16" s="55">
        <v>150.0</v>
      </c>
      <c r="K16" s="55" t="b">
        <v>1</v>
      </c>
    </row>
    <row r="17" ht="22.5" customHeight="1">
      <c r="A17" s="144">
        <v>3209.0</v>
      </c>
      <c r="B17" s="140" t="s">
        <v>1381</v>
      </c>
      <c r="C17" s="144" t="s">
        <v>1232</v>
      </c>
      <c r="D17" s="144">
        <v>50.0</v>
      </c>
      <c r="E17" s="142"/>
      <c r="F17" s="144">
        <v>50.0</v>
      </c>
      <c r="G17" s="144" t="s">
        <v>1382</v>
      </c>
      <c r="J17" s="55">
        <v>50.0</v>
      </c>
      <c r="K17" s="55" t="b">
        <v>1</v>
      </c>
    </row>
    <row r="18" ht="22.5" customHeight="1">
      <c r="A18" s="144">
        <v>3209.0</v>
      </c>
      <c r="B18" s="140" t="s">
        <v>1381</v>
      </c>
      <c r="C18" s="144" t="s">
        <v>1221</v>
      </c>
      <c r="D18" s="144">
        <v>25.0</v>
      </c>
      <c r="E18" s="142"/>
      <c r="F18" s="144">
        <v>25.0</v>
      </c>
      <c r="G18" s="144" t="s">
        <v>1382</v>
      </c>
      <c r="J18" s="55">
        <v>25.0</v>
      </c>
      <c r="K18" s="55" t="b">
        <v>1</v>
      </c>
    </row>
    <row r="19" ht="22.5" customHeight="1">
      <c r="A19" s="144">
        <v>3211.0</v>
      </c>
      <c r="B19" s="140">
        <v>6042.0</v>
      </c>
      <c r="C19" s="144" t="s">
        <v>1383</v>
      </c>
      <c r="D19" s="144">
        <v>100.0</v>
      </c>
      <c r="E19" s="144">
        <v>100.0</v>
      </c>
      <c r="F19" s="144">
        <v>100.0</v>
      </c>
      <c r="G19" s="144" t="s">
        <v>1384</v>
      </c>
      <c r="K19" s="101" t="b">
        <v>0</v>
      </c>
    </row>
    <row r="20" ht="22.5" customHeight="1">
      <c r="A20" s="145">
        <v>3211.0</v>
      </c>
      <c r="B20" s="146">
        <v>6042.0</v>
      </c>
      <c r="C20" s="145" t="s">
        <v>1357</v>
      </c>
      <c r="D20" s="145">
        <v>50.0</v>
      </c>
      <c r="E20" s="147"/>
      <c r="F20" s="145">
        <v>50.0</v>
      </c>
      <c r="G20" s="145" t="s">
        <v>1385</v>
      </c>
      <c r="H20" s="148"/>
      <c r="I20" s="110"/>
      <c r="J20" s="109"/>
      <c r="K20" s="110" t="b">
        <v>0</v>
      </c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</row>
    <row r="21" ht="22.5" customHeight="1">
      <c r="A21" s="142"/>
      <c r="B21" s="143"/>
      <c r="C21" s="144" t="s">
        <v>1386</v>
      </c>
      <c r="D21" s="142"/>
      <c r="E21" s="142"/>
      <c r="F21" s="144">
        <v>147.0</v>
      </c>
      <c r="K21" s="101" t="b">
        <v>0</v>
      </c>
    </row>
    <row r="22" ht="22.5" customHeight="1">
      <c r="A22" s="142"/>
      <c r="B22" s="143"/>
      <c r="C22" s="144" t="s">
        <v>1383</v>
      </c>
      <c r="D22" s="142"/>
      <c r="E22" s="142"/>
      <c r="F22" s="144">
        <v>50.0</v>
      </c>
      <c r="K22" s="101" t="b">
        <v>0</v>
      </c>
    </row>
    <row r="23" ht="22.5" customHeight="1">
      <c r="A23" s="142"/>
      <c r="B23" s="143"/>
      <c r="D23" s="142"/>
      <c r="E23" s="142"/>
    </row>
    <row r="24" ht="22.5" customHeight="1">
      <c r="A24" s="142"/>
      <c r="B24" s="143"/>
      <c r="D24" s="142"/>
      <c r="E24" s="142">
        <f>SUM(E4:E20)</f>
        <v>1150</v>
      </c>
      <c r="F24" s="149">
        <f>SUM(F4:F22)</f>
        <v>422</v>
      </c>
      <c r="G24" s="149">
        <f>SUM(E24:F24)</f>
        <v>1572</v>
      </c>
      <c r="J24" s="101">
        <f>SUM(J5:J21)</f>
        <v>1425</v>
      </c>
    </row>
    <row r="25">
      <c r="B25" s="139"/>
    </row>
    <row r="26">
      <c r="B26" s="139"/>
    </row>
    <row r="27">
      <c r="B27" s="139"/>
    </row>
    <row r="28">
      <c r="B28" s="139"/>
    </row>
    <row r="29">
      <c r="B29" s="139"/>
    </row>
    <row r="30">
      <c r="B30" s="139"/>
    </row>
    <row r="31">
      <c r="B31" s="139"/>
    </row>
    <row r="32">
      <c r="B32" s="139"/>
    </row>
    <row r="33">
      <c r="B33" s="139"/>
    </row>
    <row r="34">
      <c r="B34" s="139"/>
    </row>
    <row r="35">
      <c r="B35" s="139"/>
    </row>
    <row r="36">
      <c r="B36" s="139"/>
    </row>
    <row r="37">
      <c r="B37" s="139"/>
    </row>
    <row r="38">
      <c r="B38" s="139"/>
    </row>
    <row r="39">
      <c r="B39" s="139"/>
    </row>
    <row r="40">
      <c r="B40" s="139"/>
    </row>
    <row r="41">
      <c r="B41" s="139"/>
    </row>
    <row r="42">
      <c r="B42" s="139"/>
    </row>
    <row r="43">
      <c r="B43" s="139"/>
    </row>
    <row r="44">
      <c r="B44" s="139"/>
    </row>
    <row r="45">
      <c r="B45" s="139"/>
    </row>
    <row r="46">
      <c r="B46" s="139"/>
    </row>
    <row r="47">
      <c r="B47" s="139"/>
    </row>
    <row r="48">
      <c r="B48" s="139"/>
    </row>
    <row r="49">
      <c r="B49" s="139"/>
    </row>
    <row r="50">
      <c r="B50" s="139"/>
    </row>
    <row r="51">
      <c r="B51" s="139"/>
    </row>
    <row r="52">
      <c r="B52" s="139"/>
    </row>
    <row r="53">
      <c r="B53" s="139"/>
    </row>
    <row r="54">
      <c r="B54" s="139"/>
    </row>
    <row r="55">
      <c r="B55" s="139"/>
    </row>
    <row r="56">
      <c r="B56" s="139"/>
    </row>
    <row r="57">
      <c r="B57" s="139"/>
    </row>
    <row r="58">
      <c r="B58" s="139"/>
    </row>
    <row r="59">
      <c r="B59" s="139"/>
    </row>
    <row r="60">
      <c r="B60" s="139"/>
    </row>
    <row r="61">
      <c r="B61" s="139"/>
    </row>
    <row r="62">
      <c r="B62" s="139"/>
    </row>
    <row r="63">
      <c r="B63" s="139"/>
    </row>
    <row r="64">
      <c r="B64" s="139"/>
    </row>
    <row r="65">
      <c r="B65" s="139"/>
    </row>
    <row r="66">
      <c r="B66" s="139"/>
    </row>
    <row r="67">
      <c r="B67" s="139"/>
    </row>
    <row r="68">
      <c r="B68" s="139"/>
    </row>
    <row r="69">
      <c r="B69" s="139"/>
    </row>
    <row r="70">
      <c r="B70" s="139"/>
    </row>
    <row r="71">
      <c r="B71" s="139"/>
    </row>
    <row r="72">
      <c r="B72" s="139"/>
    </row>
    <row r="73">
      <c r="B73" s="139"/>
    </row>
    <row r="74">
      <c r="B74" s="139"/>
    </row>
    <row r="75">
      <c r="B75" s="139"/>
    </row>
    <row r="76">
      <c r="B76" s="139"/>
    </row>
    <row r="77">
      <c r="B77" s="139"/>
    </row>
    <row r="78">
      <c r="B78" s="139"/>
    </row>
    <row r="79">
      <c r="B79" s="139"/>
    </row>
    <row r="80">
      <c r="B80" s="139"/>
    </row>
    <row r="81">
      <c r="B81" s="139"/>
    </row>
    <row r="82">
      <c r="B82" s="139"/>
    </row>
    <row r="83">
      <c r="B83" s="139"/>
    </row>
    <row r="84">
      <c r="B84" s="139"/>
    </row>
    <row r="85">
      <c r="B85" s="139"/>
    </row>
    <row r="86">
      <c r="B86" s="139"/>
    </row>
    <row r="87">
      <c r="B87" s="139"/>
    </row>
    <row r="88">
      <c r="B88" s="139"/>
    </row>
    <row r="89">
      <c r="B89" s="139"/>
    </row>
    <row r="90">
      <c r="B90" s="139"/>
    </row>
    <row r="91">
      <c r="B91" s="139"/>
    </row>
    <row r="92">
      <c r="B92" s="139"/>
    </row>
    <row r="93">
      <c r="B93" s="139"/>
    </row>
    <row r="94">
      <c r="B94" s="139"/>
    </row>
    <row r="95">
      <c r="B95" s="139"/>
    </row>
    <row r="96">
      <c r="B96" s="139"/>
    </row>
    <row r="97">
      <c r="B97" s="139"/>
    </row>
    <row r="98">
      <c r="B98" s="139"/>
    </row>
    <row r="99">
      <c r="B99" s="139"/>
    </row>
    <row r="100">
      <c r="B100" s="139"/>
    </row>
    <row r="101">
      <c r="B101" s="139"/>
    </row>
    <row r="102">
      <c r="B102" s="139"/>
    </row>
    <row r="103">
      <c r="B103" s="139"/>
    </row>
    <row r="104">
      <c r="B104" s="139"/>
    </row>
    <row r="105">
      <c r="B105" s="139"/>
    </row>
    <row r="106">
      <c r="B106" s="139"/>
    </row>
    <row r="107">
      <c r="B107" s="139"/>
    </row>
    <row r="108">
      <c r="B108" s="139"/>
    </row>
    <row r="109">
      <c r="B109" s="139"/>
    </row>
    <row r="110">
      <c r="B110" s="139"/>
    </row>
    <row r="111">
      <c r="B111" s="139"/>
    </row>
    <row r="112">
      <c r="B112" s="139"/>
    </row>
    <row r="113">
      <c r="B113" s="139"/>
    </row>
    <row r="114">
      <c r="B114" s="139"/>
    </row>
    <row r="115">
      <c r="B115" s="139"/>
    </row>
    <row r="116">
      <c r="B116" s="139"/>
    </row>
    <row r="117">
      <c r="B117" s="139"/>
    </row>
    <row r="118">
      <c r="B118" s="139"/>
    </row>
    <row r="119">
      <c r="B119" s="139"/>
    </row>
    <row r="120">
      <c r="B120" s="139"/>
    </row>
    <row r="121">
      <c r="B121" s="139"/>
    </row>
    <row r="122">
      <c r="B122" s="139"/>
    </row>
    <row r="123">
      <c r="B123" s="139"/>
    </row>
    <row r="124">
      <c r="B124" s="139"/>
    </row>
    <row r="125">
      <c r="B125" s="139"/>
    </row>
    <row r="126">
      <c r="B126" s="139"/>
    </row>
    <row r="127">
      <c r="B127" s="139"/>
    </row>
    <row r="128">
      <c r="B128" s="139"/>
    </row>
    <row r="129">
      <c r="B129" s="139"/>
    </row>
    <row r="130">
      <c r="B130" s="139"/>
    </row>
    <row r="131">
      <c r="B131" s="139"/>
    </row>
    <row r="132">
      <c r="B132" s="139"/>
    </row>
    <row r="133">
      <c r="B133" s="139"/>
    </row>
    <row r="134">
      <c r="B134" s="139"/>
    </row>
    <row r="135">
      <c r="B135" s="139"/>
    </row>
    <row r="136">
      <c r="B136" s="139"/>
    </row>
    <row r="137">
      <c r="B137" s="139"/>
    </row>
    <row r="138">
      <c r="B138" s="139"/>
    </row>
    <row r="139">
      <c r="B139" s="139"/>
    </row>
    <row r="140">
      <c r="B140" s="139"/>
    </row>
    <row r="141">
      <c r="B141" s="139"/>
    </row>
    <row r="142">
      <c r="B142" s="139"/>
    </row>
    <row r="143">
      <c r="B143" s="139"/>
    </row>
    <row r="144">
      <c r="B144" s="139"/>
    </row>
    <row r="145">
      <c r="B145" s="139"/>
    </row>
    <row r="146">
      <c r="B146" s="139"/>
    </row>
    <row r="147">
      <c r="B147" s="139"/>
    </row>
    <row r="148">
      <c r="B148" s="139"/>
    </row>
    <row r="149">
      <c r="B149" s="139"/>
    </row>
    <row r="150">
      <c r="B150" s="139"/>
    </row>
    <row r="151">
      <c r="B151" s="139"/>
    </row>
    <row r="152">
      <c r="B152" s="139"/>
    </row>
    <row r="153">
      <c r="B153" s="139"/>
    </row>
    <row r="154">
      <c r="B154" s="139"/>
    </row>
    <row r="155">
      <c r="B155" s="139"/>
    </row>
    <row r="156">
      <c r="B156" s="139"/>
    </row>
    <row r="157">
      <c r="B157" s="139"/>
    </row>
    <row r="158">
      <c r="B158" s="139"/>
    </row>
    <row r="159">
      <c r="B159" s="139"/>
    </row>
    <row r="160">
      <c r="B160" s="139"/>
    </row>
    <row r="161">
      <c r="B161" s="139"/>
    </row>
    <row r="162">
      <c r="B162" s="139"/>
    </row>
    <row r="163">
      <c r="B163" s="139"/>
    </row>
    <row r="164">
      <c r="B164" s="139"/>
    </row>
    <row r="165">
      <c r="B165" s="139"/>
    </row>
    <row r="166">
      <c r="B166" s="139"/>
    </row>
    <row r="167">
      <c r="B167" s="139"/>
    </row>
    <row r="168">
      <c r="B168" s="139"/>
    </row>
    <row r="169">
      <c r="B169" s="139"/>
    </row>
    <row r="170">
      <c r="B170" s="139"/>
    </row>
    <row r="171">
      <c r="B171" s="139"/>
    </row>
    <row r="172">
      <c r="B172" s="139"/>
    </row>
    <row r="173">
      <c r="B173" s="139"/>
    </row>
    <row r="174">
      <c r="B174" s="139"/>
    </row>
    <row r="175">
      <c r="B175" s="139"/>
    </row>
    <row r="176">
      <c r="B176" s="139"/>
    </row>
    <row r="177">
      <c r="B177" s="139"/>
    </row>
    <row r="178">
      <c r="B178" s="139"/>
    </row>
    <row r="179">
      <c r="B179" s="139"/>
    </row>
    <row r="180">
      <c r="B180" s="139"/>
    </row>
    <row r="181">
      <c r="B181" s="139"/>
    </row>
    <row r="182">
      <c r="B182" s="139"/>
    </row>
    <row r="183">
      <c r="B183" s="139"/>
    </row>
    <row r="184">
      <c r="B184" s="139"/>
    </row>
    <row r="185">
      <c r="B185" s="139"/>
    </row>
    <row r="186">
      <c r="B186" s="139"/>
    </row>
    <row r="187">
      <c r="B187" s="139"/>
    </row>
    <row r="188">
      <c r="B188" s="139"/>
    </row>
    <row r="189">
      <c r="B189" s="139"/>
    </row>
    <row r="190">
      <c r="B190" s="139"/>
    </row>
    <row r="191">
      <c r="B191" s="139"/>
    </row>
    <row r="192">
      <c r="B192" s="139"/>
    </row>
    <row r="193">
      <c r="B193" s="139"/>
    </row>
    <row r="194">
      <c r="B194" s="139"/>
    </row>
    <row r="195">
      <c r="B195" s="139"/>
    </row>
    <row r="196">
      <c r="B196" s="139"/>
    </row>
    <row r="197">
      <c r="B197" s="139"/>
    </row>
    <row r="198">
      <c r="B198" s="139"/>
    </row>
    <row r="199">
      <c r="B199" s="139"/>
    </row>
    <row r="200">
      <c r="B200" s="139"/>
    </row>
    <row r="201">
      <c r="B201" s="139"/>
    </row>
    <row r="202">
      <c r="B202" s="139"/>
    </row>
    <row r="203">
      <c r="B203" s="139"/>
    </row>
    <row r="204">
      <c r="B204" s="139"/>
    </row>
    <row r="205">
      <c r="B205" s="139"/>
    </row>
    <row r="206">
      <c r="B206" s="139"/>
    </row>
    <row r="207">
      <c r="B207" s="139"/>
    </row>
    <row r="208">
      <c r="B208" s="139"/>
    </row>
    <row r="209">
      <c r="B209" s="139"/>
    </row>
    <row r="210">
      <c r="B210" s="139"/>
    </row>
    <row r="211">
      <c r="B211" s="139"/>
    </row>
    <row r="212">
      <c r="B212" s="139"/>
    </row>
    <row r="213">
      <c r="B213" s="139"/>
    </row>
    <row r="214">
      <c r="B214" s="139"/>
    </row>
    <row r="215">
      <c r="B215" s="139"/>
    </row>
    <row r="216">
      <c r="B216" s="139"/>
    </row>
    <row r="217">
      <c r="B217" s="139"/>
    </row>
    <row r="218">
      <c r="B218" s="139"/>
    </row>
    <row r="219">
      <c r="B219" s="139"/>
    </row>
    <row r="220">
      <c r="B220" s="139"/>
    </row>
    <row r="221">
      <c r="B221" s="139"/>
    </row>
    <row r="222">
      <c r="B222" s="139"/>
    </row>
    <row r="223">
      <c r="B223" s="139"/>
    </row>
    <row r="224">
      <c r="B224" s="139"/>
    </row>
    <row r="225">
      <c r="B225" s="139"/>
    </row>
    <row r="226">
      <c r="B226" s="139"/>
    </row>
    <row r="227">
      <c r="B227" s="139"/>
    </row>
    <row r="228">
      <c r="B228" s="139"/>
    </row>
    <row r="229">
      <c r="B229" s="139"/>
    </row>
    <row r="230">
      <c r="B230" s="139"/>
    </row>
    <row r="231">
      <c r="B231" s="139"/>
    </row>
    <row r="232">
      <c r="B232" s="139"/>
    </row>
    <row r="233">
      <c r="B233" s="139"/>
    </row>
    <row r="234">
      <c r="B234" s="139"/>
    </row>
    <row r="235">
      <c r="B235" s="139"/>
    </row>
    <row r="236">
      <c r="B236" s="139"/>
    </row>
    <row r="237">
      <c r="B237" s="139"/>
    </row>
    <row r="238">
      <c r="B238" s="139"/>
    </row>
    <row r="239">
      <c r="B239" s="139"/>
    </row>
    <row r="240">
      <c r="B240" s="139"/>
    </row>
    <row r="241">
      <c r="B241" s="139"/>
    </row>
    <row r="242">
      <c r="B242" s="139"/>
    </row>
    <row r="243">
      <c r="B243" s="139"/>
    </row>
    <row r="244">
      <c r="B244" s="139"/>
    </row>
    <row r="245">
      <c r="B245" s="139"/>
    </row>
    <row r="246">
      <c r="B246" s="139"/>
    </row>
    <row r="247">
      <c r="B247" s="139"/>
    </row>
    <row r="248">
      <c r="B248" s="139"/>
    </row>
    <row r="249">
      <c r="B249" s="139"/>
    </row>
    <row r="250">
      <c r="B250" s="139"/>
    </row>
    <row r="251">
      <c r="B251" s="139"/>
    </row>
    <row r="252">
      <c r="B252" s="139"/>
    </row>
    <row r="253">
      <c r="B253" s="139"/>
    </row>
    <row r="254">
      <c r="B254" s="139"/>
    </row>
    <row r="255">
      <c r="B255" s="139"/>
    </row>
    <row r="256">
      <c r="B256" s="139"/>
    </row>
    <row r="257">
      <c r="B257" s="139"/>
    </row>
    <row r="258">
      <c r="B258" s="139"/>
    </row>
    <row r="259">
      <c r="B259" s="139"/>
    </row>
    <row r="260">
      <c r="B260" s="139"/>
    </row>
    <row r="261">
      <c r="B261" s="139"/>
    </row>
    <row r="262">
      <c r="B262" s="139"/>
    </row>
    <row r="263">
      <c r="B263" s="139"/>
    </row>
    <row r="264">
      <c r="B264" s="139"/>
    </row>
    <row r="265">
      <c r="B265" s="139"/>
    </row>
    <row r="266">
      <c r="B266" s="139"/>
    </row>
    <row r="267">
      <c r="B267" s="139"/>
    </row>
    <row r="268">
      <c r="B268" s="139"/>
    </row>
    <row r="269">
      <c r="B269" s="139"/>
    </row>
    <row r="270">
      <c r="B270" s="139"/>
    </row>
    <row r="271">
      <c r="B271" s="139"/>
    </row>
    <row r="272">
      <c r="B272" s="139"/>
    </row>
    <row r="273">
      <c r="B273" s="139"/>
    </row>
    <row r="274">
      <c r="B274" s="139"/>
    </row>
    <row r="275">
      <c r="B275" s="139"/>
    </row>
    <row r="276">
      <c r="B276" s="139"/>
    </row>
    <row r="277">
      <c r="B277" s="139"/>
    </row>
    <row r="278">
      <c r="B278" s="139"/>
    </row>
    <row r="279">
      <c r="B279" s="139"/>
    </row>
    <row r="280">
      <c r="B280" s="139"/>
    </row>
    <row r="281">
      <c r="B281" s="139"/>
    </row>
    <row r="282">
      <c r="B282" s="139"/>
    </row>
    <row r="283">
      <c r="B283" s="139"/>
    </row>
    <row r="284">
      <c r="B284" s="139"/>
    </row>
    <row r="285">
      <c r="B285" s="139"/>
    </row>
    <row r="286">
      <c r="B286" s="139"/>
    </row>
    <row r="287">
      <c r="B287" s="139"/>
    </row>
    <row r="288">
      <c r="B288" s="139"/>
    </row>
    <row r="289">
      <c r="B289" s="139"/>
    </row>
    <row r="290">
      <c r="B290" s="139"/>
    </row>
    <row r="291">
      <c r="B291" s="139"/>
    </row>
    <row r="292">
      <c r="B292" s="139"/>
    </row>
    <row r="293">
      <c r="B293" s="139"/>
    </row>
    <row r="294">
      <c r="B294" s="139"/>
    </row>
    <row r="295">
      <c r="B295" s="139"/>
    </row>
    <row r="296">
      <c r="B296" s="139"/>
    </row>
    <row r="297">
      <c r="B297" s="139"/>
    </row>
    <row r="298">
      <c r="B298" s="139"/>
    </row>
    <row r="299">
      <c r="B299" s="139"/>
    </row>
    <row r="300">
      <c r="B300" s="139"/>
    </row>
    <row r="301">
      <c r="B301" s="139"/>
    </row>
    <row r="302">
      <c r="B302" s="139"/>
    </row>
    <row r="303">
      <c r="B303" s="139"/>
    </row>
    <row r="304">
      <c r="B304" s="139"/>
    </row>
    <row r="305">
      <c r="B305" s="139"/>
    </row>
    <row r="306">
      <c r="B306" s="139"/>
    </row>
    <row r="307">
      <c r="B307" s="139"/>
    </row>
    <row r="308">
      <c r="B308" s="139"/>
    </row>
    <row r="309">
      <c r="B309" s="139"/>
    </row>
    <row r="310">
      <c r="B310" s="139"/>
    </row>
    <row r="311">
      <c r="B311" s="139"/>
    </row>
    <row r="312">
      <c r="B312" s="139"/>
    </row>
    <row r="313">
      <c r="B313" s="139"/>
    </row>
    <row r="314">
      <c r="B314" s="139"/>
    </row>
    <row r="315">
      <c r="B315" s="139"/>
    </row>
    <row r="316">
      <c r="B316" s="139"/>
    </row>
    <row r="317">
      <c r="B317" s="139"/>
    </row>
    <row r="318">
      <c r="B318" s="139"/>
    </row>
    <row r="319">
      <c r="B319" s="139"/>
    </row>
    <row r="320">
      <c r="B320" s="139"/>
    </row>
    <row r="321">
      <c r="B321" s="139"/>
    </row>
    <row r="322">
      <c r="B322" s="139"/>
    </row>
    <row r="323">
      <c r="B323" s="139"/>
    </row>
    <row r="324">
      <c r="B324" s="139"/>
    </row>
    <row r="325">
      <c r="B325" s="139"/>
    </row>
    <row r="326">
      <c r="B326" s="139"/>
    </row>
    <row r="327">
      <c r="B327" s="139"/>
    </row>
    <row r="328">
      <c r="B328" s="139"/>
    </row>
    <row r="329">
      <c r="B329" s="139"/>
    </row>
    <row r="330">
      <c r="B330" s="139"/>
    </row>
    <row r="331">
      <c r="B331" s="139"/>
    </row>
    <row r="332">
      <c r="B332" s="139"/>
    </row>
    <row r="333">
      <c r="B333" s="139"/>
    </row>
    <row r="334">
      <c r="B334" s="139"/>
    </row>
    <row r="335">
      <c r="B335" s="139"/>
    </row>
    <row r="336">
      <c r="B336" s="139"/>
    </row>
    <row r="337">
      <c r="B337" s="139"/>
    </row>
    <row r="338">
      <c r="B338" s="139"/>
    </row>
    <row r="339">
      <c r="B339" s="139"/>
    </row>
    <row r="340">
      <c r="B340" s="139"/>
    </row>
    <row r="341">
      <c r="B341" s="139"/>
    </row>
    <row r="342">
      <c r="B342" s="139"/>
    </row>
    <row r="343">
      <c r="B343" s="139"/>
    </row>
    <row r="344">
      <c r="B344" s="139"/>
    </row>
    <row r="345">
      <c r="B345" s="139"/>
    </row>
    <row r="346">
      <c r="B346" s="139"/>
    </row>
    <row r="347">
      <c r="B347" s="139"/>
    </row>
    <row r="348">
      <c r="B348" s="139"/>
    </row>
    <row r="349">
      <c r="B349" s="139"/>
    </row>
    <row r="350">
      <c r="B350" s="139"/>
    </row>
    <row r="351">
      <c r="B351" s="139"/>
    </row>
    <row r="352">
      <c r="B352" s="139"/>
    </row>
    <row r="353">
      <c r="B353" s="139"/>
    </row>
    <row r="354">
      <c r="B354" s="139"/>
    </row>
    <row r="355">
      <c r="B355" s="139"/>
    </row>
    <row r="356">
      <c r="B356" s="139"/>
    </row>
    <row r="357">
      <c r="B357" s="139"/>
    </row>
    <row r="358">
      <c r="B358" s="139"/>
    </row>
    <row r="359">
      <c r="B359" s="139"/>
    </row>
    <row r="360">
      <c r="B360" s="139"/>
    </row>
    <row r="361">
      <c r="B361" s="139"/>
    </row>
    <row r="362">
      <c r="B362" s="139"/>
    </row>
    <row r="363">
      <c r="B363" s="139"/>
    </row>
    <row r="364">
      <c r="B364" s="139"/>
    </row>
    <row r="365">
      <c r="B365" s="139"/>
    </row>
    <row r="366">
      <c r="B366" s="139"/>
    </row>
    <row r="367">
      <c r="B367" s="139"/>
    </row>
    <row r="368">
      <c r="B368" s="139"/>
    </row>
    <row r="369">
      <c r="B369" s="139"/>
    </row>
    <row r="370">
      <c r="B370" s="139"/>
    </row>
    <row r="371">
      <c r="B371" s="139"/>
    </row>
    <row r="372">
      <c r="B372" s="139"/>
    </row>
    <row r="373">
      <c r="B373" s="139"/>
    </row>
    <row r="374">
      <c r="B374" s="139"/>
    </row>
    <row r="375">
      <c r="B375" s="139"/>
    </row>
    <row r="376">
      <c r="B376" s="139"/>
    </row>
    <row r="377">
      <c r="B377" s="139"/>
    </row>
    <row r="378">
      <c r="B378" s="139"/>
    </row>
    <row r="379">
      <c r="B379" s="139"/>
    </row>
    <row r="380">
      <c r="B380" s="139"/>
    </row>
    <row r="381">
      <c r="B381" s="139"/>
    </row>
    <row r="382">
      <c r="B382" s="139"/>
    </row>
    <row r="383">
      <c r="B383" s="139"/>
    </row>
    <row r="384">
      <c r="B384" s="139"/>
    </row>
    <row r="385">
      <c r="B385" s="139"/>
    </row>
    <row r="386">
      <c r="B386" s="139"/>
    </row>
    <row r="387">
      <c r="B387" s="139"/>
    </row>
    <row r="388">
      <c r="B388" s="139"/>
    </row>
    <row r="389">
      <c r="B389" s="139"/>
    </row>
    <row r="390">
      <c r="B390" s="139"/>
    </row>
    <row r="391">
      <c r="B391" s="139"/>
    </row>
    <row r="392">
      <c r="B392" s="139"/>
    </row>
    <row r="393">
      <c r="B393" s="139"/>
    </row>
    <row r="394">
      <c r="B394" s="139"/>
    </row>
    <row r="395">
      <c r="B395" s="139"/>
    </row>
    <row r="396">
      <c r="B396" s="139"/>
    </row>
    <row r="397">
      <c r="B397" s="139"/>
    </row>
    <row r="398">
      <c r="B398" s="139"/>
    </row>
    <row r="399">
      <c r="B399" s="139"/>
    </row>
    <row r="400">
      <c r="B400" s="139"/>
    </row>
    <row r="401">
      <c r="B401" s="139"/>
    </row>
    <row r="402">
      <c r="B402" s="139"/>
    </row>
    <row r="403">
      <c r="B403" s="139"/>
    </row>
    <row r="404">
      <c r="B404" s="139"/>
    </row>
    <row r="405">
      <c r="B405" s="139"/>
    </row>
    <row r="406">
      <c r="B406" s="139"/>
    </row>
    <row r="407">
      <c r="B407" s="139"/>
    </row>
    <row r="408">
      <c r="B408" s="139"/>
    </row>
    <row r="409">
      <c r="B409" s="139"/>
    </row>
    <row r="410">
      <c r="B410" s="139"/>
    </row>
    <row r="411">
      <c r="B411" s="139"/>
    </row>
    <row r="412">
      <c r="B412" s="139"/>
    </row>
    <row r="413">
      <c r="B413" s="139"/>
    </row>
    <row r="414">
      <c r="B414" s="139"/>
    </row>
    <row r="415">
      <c r="B415" s="139"/>
    </row>
    <row r="416">
      <c r="B416" s="139"/>
    </row>
    <row r="417">
      <c r="B417" s="139"/>
    </row>
    <row r="418">
      <c r="B418" s="139"/>
    </row>
    <row r="419">
      <c r="B419" s="139"/>
    </row>
    <row r="420">
      <c r="B420" s="139"/>
    </row>
    <row r="421">
      <c r="B421" s="139"/>
    </row>
    <row r="422">
      <c r="B422" s="139"/>
    </row>
    <row r="423">
      <c r="B423" s="139"/>
    </row>
    <row r="424">
      <c r="B424" s="139"/>
    </row>
    <row r="425">
      <c r="B425" s="139"/>
    </row>
    <row r="426">
      <c r="B426" s="139"/>
    </row>
    <row r="427">
      <c r="B427" s="139"/>
    </row>
    <row r="428">
      <c r="B428" s="139"/>
    </row>
    <row r="429">
      <c r="B429" s="139"/>
    </row>
    <row r="430">
      <c r="B430" s="139"/>
    </row>
    <row r="431">
      <c r="B431" s="139"/>
    </row>
    <row r="432">
      <c r="B432" s="139"/>
    </row>
    <row r="433">
      <c r="B433" s="139"/>
    </row>
    <row r="434">
      <c r="B434" s="139"/>
    </row>
    <row r="435">
      <c r="B435" s="139"/>
    </row>
    <row r="436">
      <c r="B436" s="139"/>
    </row>
    <row r="437">
      <c r="B437" s="139"/>
    </row>
    <row r="438">
      <c r="B438" s="139"/>
    </row>
    <row r="439">
      <c r="B439" s="139"/>
    </row>
    <row r="440">
      <c r="B440" s="139"/>
    </row>
    <row r="441">
      <c r="B441" s="139"/>
    </row>
    <row r="442">
      <c r="B442" s="139"/>
    </row>
    <row r="443">
      <c r="B443" s="139"/>
    </row>
    <row r="444">
      <c r="B444" s="139"/>
    </row>
    <row r="445">
      <c r="B445" s="139"/>
    </row>
    <row r="446">
      <c r="B446" s="139"/>
    </row>
    <row r="447">
      <c r="B447" s="139"/>
    </row>
    <row r="448">
      <c r="B448" s="139"/>
    </row>
    <row r="449">
      <c r="B449" s="139"/>
    </row>
    <row r="450">
      <c r="B450" s="139"/>
    </row>
    <row r="451">
      <c r="B451" s="139"/>
    </row>
    <row r="452">
      <c r="B452" s="139"/>
    </row>
    <row r="453">
      <c r="B453" s="139"/>
    </row>
    <row r="454">
      <c r="B454" s="139"/>
    </row>
    <row r="455">
      <c r="B455" s="139"/>
    </row>
    <row r="456">
      <c r="B456" s="139"/>
    </row>
    <row r="457">
      <c r="B457" s="139"/>
    </row>
    <row r="458">
      <c r="B458" s="139"/>
    </row>
    <row r="459">
      <c r="B459" s="139"/>
    </row>
    <row r="460">
      <c r="B460" s="139"/>
    </row>
    <row r="461">
      <c r="B461" s="139"/>
    </row>
    <row r="462">
      <c r="B462" s="139"/>
    </row>
    <row r="463">
      <c r="B463" s="139"/>
    </row>
    <row r="464">
      <c r="B464" s="139"/>
    </row>
    <row r="465">
      <c r="B465" s="139"/>
    </row>
    <row r="466">
      <c r="B466" s="139"/>
    </row>
    <row r="467">
      <c r="B467" s="139"/>
    </row>
    <row r="468">
      <c r="B468" s="139"/>
    </row>
    <row r="469">
      <c r="B469" s="139"/>
    </row>
    <row r="470">
      <c r="B470" s="139"/>
    </row>
    <row r="471">
      <c r="B471" s="139"/>
    </row>
    <row r="472">
      <c r="B472" s="139"/>
    </row>
    <row r="473">
      <c r="B473" s="139"/>
    </row>
    <row r="474">
      <c r="B474" s="139"/>
    </row>
    <row r="475">
      <c r="B475" s="139"/>
    </row>
    <row r="476">
      <c r="B476" s="139"/>
    </row>
    <row r="477">
      <c r="B477" s="139"/>
    </row>
    <row r="478">
      <c r="B478" s="139"/>
    </row>
    <row r="479">
      <c r="B479" s="139"/>
    </row>
    <row r="480">
      <c r="B480" s="139"/>
    </row>
    <row r="481">
      <c r="B481" s="139"/>
    </row>
    <row r="482">
      <c r="B482" s="139"/>
    </row>
    <row r="483">
      <c r="B483" s="139"/>
    </row>
    <row r="484">
      <c r="B484" s="139"/>
    </row>
    <row r="485">
      <c r="B485" s="139"/>
    </row>
    <row r="486">
      <c r="B486" s="139"/>
    </row>
    <row r="487">
      <c r="B487" s="139"/>
    </row>
    <row r="488">
      <c r="B488" s="139"/>
    </row>
    <row r="489">
      <c r="B489" s="139"/>
    </row>
    <row r="490">
      <c r="B490" s="139"/>
    </row>
    <row r="491">
      <c r="B491" s="139"/>
    </row>
    <row r="492">
      <c r="B492" s="139"/>
    </row>
    <row r="493">
      <c r="B493" s="139"/>
    </row>
    <row r="494">
      <c r="B494" s="139"/>
    </row>
    <row r="495">
      <c r="B495" s="139"/>
    </row>
    <row r="496">
      <c r="B496" s="139"/>
    </row>
    <row r="497">
      <c r="B497" s="139"/>
    </row>
    <row r="498">
      <c r="B498" s="139"/>
    </row>
    <row r="499">
      <c r="B499" s="139"/>
    </row>
    <row r="500">
      <c r="B500" s="139"/>
    </row>
    <row r="501">
      <c r="B501" s="139"/>
    </row>
    <row r="502">
      <c r="B502" s="139"/>
    </row>
    <row r="503">
      <c r="B503" s="139"/>
    </row>
    <row r="504">
      <c r="B504" s="139"/>
    </row>
    <row r="505">
      <c r="B505" s="139"/>
    </row>
    <row r="506">
      <c r="B506" s="139"/>
    </row>
    <row r="507">
      <c r="B507" s="139"/>
    </row>
    <row r="508">
      <c r="B508" s="139"/>
    </row>
    <row r="509">
      <c r="B509" s="139"/>
    </row>
    <row r="510">
      <c r="B510" s="139"/>
    </row>
    <row r="511">
      <c r="B511" s="139"/>
    </row>
    <row r="512">
      <c r="B512" s="139"/>
    </row>
    <row r="513">
      <c r="B513" s="139"/>
    </row>
    <row r="514">
      <c r="B514" s="139"/>
    </row>
    <row r="515">
      <c r="B515" s="139"/>
    </row>
    <row r="516">
      <c r="B516" s="139"/>
    </row>
    <row r="517">
      <c r="B517" s="139"/>
    </row>
    <row r="518">
      <c r="B518" s="139"/>
    </row>
    <row r="519">
      <c r="B519" s="139"/>
    </row>
    <row r="520">
      <c r="B520" s="139"/>
    </row>
    <row r="521">
      <c r="B521" s="139"/>
    </row>
    <row r="522">
      <c r="B522" s="139"/>
    </row>
    <row r="523">
      <c r="B523" s="139"/>
    </row>
    <row r="524">
      <c r="B524" s="139"/>
    </row>
    <row r="525">
      <c r="B525" s="139"/>
    </row>
    <row r="526">
      <c r="B526" s="139"/>
    </row>
    <row r="527">
      <c r="B527" s="139"/>
    </row>
    <row r="528">
      <c r="B528" s="139"/>
    </row>
    <row r="529">
      <c r="B529" s="139"/>
    </row>
    <row r="530">
      <c r="B530" s="139"/>
    </row>
    <row r="531">
      <c r="B531" s="139"/>
    </row>
    <row r="532">
      <c r="B532" s="139"/>
    </row>
    <row r="533">
      <c r="B533" s="139"/>
    </row>
    <row r="534">
      <c r="B534" s="139"/>
    </row>
    <row r="535">
      <c r="B535" s="139"/>
    </row>
    <row r="536">
      <c r="B536" s="139"/>
    </row>
    <row r="537">
      <c r="B537" s="139"/>
    </row>
    <row r="538">
      <c r="B538" s="139"/>
    </row>
    <row r="539">
      <c r="B539" s="139"/>
    </row>
    <row r="540">
      <c r="B540" s="139"/>
    </row>
    <row r="541">
      <c r="B541" s="139"/>
    </row>
    <row r="542">
      <c r="B542" s="139"/>
    </row>
    <row r="543">
      <c r="B543" s="139"/>
    </row>
    <row r="544">
      <c r="B544" s="139"/>
    </row>
    <row r="545">
      <c r="B545" s="139"/>
    </row>
    <row r="546">
      <c r="B546" s="139"/>
    </row>
    <row r="547">
      <c r="B547" s="139"/>
    </row>
    <row r="548">
      <c r="B548" s="139"/>
    </row>
    <row r="549">
      <c r="B549" s="139"/>
    </row>
    <row r="550">
      <c r="B550" s="139"/>
    </row>
    <row r="551">
      <c r="B551" s="139"/>
    </row>
    <row r="552">
      <c r="B552" s="139"/>
    </row>
    <row r="553">
      <c r="B553" s="139"/>
    </row>
    <row r="554">
      <c r="B554" s="139"/>
    </row>
    <row r="555">
      <c r="B555" s="139"/>
    </row>
    <row r="556">
      <c r="B556" s="139"/>
    </row>
    <row r="557">
      <c r="B557" s="139"/>
    </row>
    <row r="558">
      <c r="B558" s="139"/>
    </row>
    <row r="559">
      <c r="B559" s="139"/>
    </row>
    <row r="560">
      <c r="B560" s="139"/>
    </row>
    <row r="561">
      <c r="B561" s="139"/>
    </row>
    <row r="562">
      <c r="B562" s="139"/>
    </row>
    <row r="563">
      <c r="B563" s="139"/>
    </row>
    <row r="564">
      <c r="B564" s="139"/>
    </row>
    <row r="565">
      <c r="B565" s="139"/>
    </row>
    <row r="566">
      <c r="B566" s="139"/>
    </row>
    <row r="567">
      <c r="B567" s="139"/>
    </row>
    <row r="568">
      <c r="B568" s="139"/>
    </row>
    <row r="569">
      <c r="B569" s="139"/>
    </row>
    <row r="570">
      <c r="B570" s="139"/>
    </row>
    <row r="571">
      <c r="B571" s="139"/>
    </row>
    <row r="572">
      <c r="B572" s="139"/>
    </row>
    <row r="573">
      <c r="B573" s="139"/>
    </row>
    <row r="574">
      <c r="B574" s="139"/>
    </row>
    <row r="575">
      <c r="B575" s="139"/>
    </row>
    <row r="576">
      <c r="B576" s="139"/>
    </row>
    <row r="577">
      <c r="B577" s="139"/>
    </row>
    <row r="578">
      <c r="B578" s="139"/>
    </row>
    <row r="579">
      <c r="B579" s="139"/>
    </row>
    <row r="580">
      <c r="B580" s="139"/>
    </row>
    <row r="581">
      <c r="B581" s="139"/>
    </row>
    <row r="582">
      <c r="B582" s="139"/>
    </row>
    <row r="583">
      <c r="B583" s="139"/>
    </row>
    <row r="584">
      <c r="B584" s="139"/>
    </row>
    <row r="585">
      <c r="B585" s="139"/>
    </row>
    <row r="586">
      <c r="B586" s="139"/>
    </row>
    <row r="587">
      <c r="B587" s="139"/>
    </row>
    <row r="588">
      <c r="B588" s="139"/>
    </row>
    <row r="589">
      <c r="B589" s="139"/>
    </row>
    <row r="590">
      <c r="B590" s="139"/>
    </row>
    <row r="591">
      <c r="B591" s="139"/>
    </row>
    <row r="592">
      <c r="B592" s="139"/>
    </row>
    <row r="593">
      <c r="B593" s="139"/>
    </row>
    <row r="594">
      <c r="B594" s="139"/>
    </row>
    <row r="595">
      <c r="B595" s="139"/>
    </row>
    <row r="596">
      <c r="B596" s="139"/>
    </row>
    <row r="597">
      <c r="B597" s="139"/>
    </row>
    <row r="598">
      <c r="B598" s="139"/>
    </row>
    <row r="599">
      <c r="B599" s="139"/>
    </row>
    <row r="600">
      <c r="B600" s="139"/>
    </row>
    <row r="601">
      <c r="B601" s="139"/>
    </row>
    <row r="602">
      <c r="B602" s="139"/>
    </row>
    <row r="603">
      <c r="B603" s="139"/>
    </row>
    <row r="604">
      <c r="B604" s="139"/>
    </row>
    <row r="605">
      <c r="B605" s="139"/>
    </row>
    <row r="606">
      <c r="B606" s="139"/>
    </row>
    <row r="607">
      <c r="B607" s="139"/>
    </row>
    <row r="608">
      <c r="B608" s="139"/>
    </row>
    <row r="609">
      <c r="B609" s="139"/>
    </row>
    <row r="610">
      <c r="B610" s="139"/>
    </row>
    <row r="611">
      <c r="B611" s="139"/>
    </row>
    <row r="612">
      <c r="B612" s="139"/>
    </row>
    <row r="613">
      <c r="B613" s="139"/>
    </row>
    <row r="614">
      <c r="B614" s="139"/>
    </row>
    <row r="615">
      <c r="B615" s="139"/>
    </row>
    <row r="616">
      <c r="B616" s="139"/>
    </row>
    <row r="617">
      <c r="B617" s="139"/>
    </row>
    <row r="618">
      <c r="B618" s="139"/>
    </row>
    <row r="619">
      <c r="B619" s="139"/>
    </row>
    <row r="620">
      <c r="B620" s="139"/>
    </row>
    <row r="621">
      <c r="B621" s="139"/>
    </row>
    <row r="622">
      <c r="B622" s="139"/>
    </row>
    <row r="623">
      <c r="B623" s="139"/>
    </row>
    <row r="624">
      <c r="B624" s="139"/>
    </row>
    <row r="625">
      <c r="B625" s="139"/>
    </row>
    <row r="626">
      <c r="B626" s="139"/>
    </row>
    <row r="627">
      <c r="B627" s="139"/>
    </row>
    <row r="628">
      <c r="B628" s="139"/>
    </row>
    <row r="629">
      <c r="B629" s="139"/>
    </row>
    <row r="630">
      <c r="B630" s="139"/>
    </row>
    <row r="631">
      <c r="B631" s="139"/>
    </row>
    <row r="632">
      <c r="B632" s="139"/>
    </row>
    <row r="633">
      <c r="B633" s="139"/>
    </row>
    <row r="634">
      <c r="B634" s="139"/>
    </row>
    <row r="635">
      <c r="B635" s="139"/>
    </row>
    <row r="636">
      <c r="B636" s="139"/>
    </row>
    <row r="637">
      <c r="B637" s="139"/>
    </row>
    <row r="638">
      <c r="B638" s="139"/>
    </row>
    <row r="639">
      <c r="B639" s="139"/>
    </row>
    <row r="640">
      <c r="B640" s="139"/>
    </row>
    <row r="641">
      <c r="B641" s="139"/>
    </row>
    <row r="642">
      <c r="B642" s="139"/>
    </row>
    <row r="643">
      <c r="B643" s="139"/>
    </row>
    <row r="644">
      <c r="B644" s="139"/>
    </row>
    <row r="645">
      <c r="B645" s="139"/>
    </row>
    <row r="646">
      <c r="B646" s="139"/>
    </row>
    <row r="647">
      <c r="B647" s="139"/>
    </row>
    <row r="648">
      <c r="B648" s="139"/>
    </row>
    <row r="649">
      <c r="B649" s="139"/>
    </row>
    <row r="650">
      <c r="B650" s="139"/>
    </row>
    <row r="651">
      <c r="B651" s="139"/>
    </row>
    <row r="652">
      <c r="B652" s="139"/>
    </row>
    <row r="653">
      <c r="B653" s="139"/>
    </row>
    <row r="654">
      <c r="B654" s="139"/>
    </row>
    <row r="655">
      <c r="B655" s="139"/>
    </row>
    <row r="656">
      <c r="B656" s="139"/>
    </row>
    <row r="657">
      <c r="B657" s="139"/>
    </row>
    <row r="658">
      <c r="B658" s="139"/>
    </row>
    <row r="659">
      <c r="B659" s="139"/>
    </row>
    <row r="660">
      <c r="B660" s="139"/>
    </row>
    <row r="661">
      <c r="B661" s="139"/>
    </row>
    <row r="662">
      <c r="B662" s="139"/>
    </row>
    <row r="663">
      <c r="B663" s="139"/>
    </row>
    <row r="664">
      <c r="B664" s="139"/>
    </row>
    <row r="665">
      <c r="B665" s="139"/>
    </row>
    <row r="666">
      <c r="B666" s="139"/>
    </row>
    <row r="667">
      <c r="B667" s="139"/>
    </row>
    <row r="668">
      <c r="B668" s="139"/>
    </row>
    <row r="669">
      <c r="B669" s="139"/>
    </row>
    <row r="670">
      <c r="B670" s="139"/>
    </row>
    <row r="671">
      <c r="B671" s="139"/>
    </row>
    <row r="672">
      <c r="B672" s="139"/>
    </row>
    <row r="673">
      <c r="B673" s="139"/>
    </row>
    <row r="674">
      <c r="B674" s="139"/>
    </row>
    <row r="675">
      <c r="B675" s="139"/>
    </row>
    <row r="676">
      <c r="B676" s="139"/>
    </row>
    <row r="677">
      <c r="B677" s="139"/>
    </row>
    <row r="678">
      <c r="B678" s="139"/>
    </row>
    <row r="679">
      <c r="B679" s="139"/>
    </row>
    <row r="680">
      <c r="B680" s="139"/>
    </row>
    <row r="681">
      <c r="B681" s="139"/>
    </row>
    <row r="682">
      <c r="B682" s="139"/>
    </row>
    <row r="683">
      <c r="B683" s="139"/>
    </row>
    <row r="684">
      <c r="B684" s="139"/>
    </row>
    <row r="685">
      <c r="B685" s="139"/>
    </row>
    <row r="686">
      <c r="B686" s="139"/>
    </row>
    <row r="687">
      <c r="B687" s="139"/>
    </row>
    <row r="688">
      <c r="B688" s="139"/>
    </row>
    <row r="689">
      <c r="B689" s="139"/>
    </row>
    <row r="690">
      <c r="B690" s="139"/>
    </row>
    <row r="691">
      <c r="B691" s="139"/>
    </row>
    <row r="692">
      <c r="B692" s="139"/>
    </row>
    <row r="693">
      <c r="B693" s="139"/>
    </row>
    <row r="694">
      <c r="B694" s="139"/>
    </row>
    <row r="695">
      <c r="B695" s="139"/>
    </row>
    <row r="696">
      <c r="B696" s="139"/>
    </row>
    <row r="697">
      <c r="B697" s="139"/>
    </row>
    <row r="698">
      <c r="B698" s="139"/>
    </row>
    <row r="699">
      <c r="B699" s="139"/>
    </row>
    <row r="700">
      <c r="B700" s="139"/>
    </row>
    <row r="701">
      <c r="B701" s="139"/>
    </row>
    <row r="702">
      <c r="B702" s="139"/>
    </row>
    <row r="703">
      <c r="B703" s="139"/>
    </row>
    <row r="704">
      <c r="B704" s="139"/>
    </row>
    <row r="705">
      <c r="B705" s="139"/>
    </row>
    <row r="706">
      <c r="B706" s="139"/>
    </row>
    <row r="707">
      <c r="B707" s="139"/>
    </row>
    <row r="708">
      <c r="B708" s="139"/>
    </row>
    <row r="709">
      <c r="B709" s="139"/>
    </row>
    <row r="710">
      <c r="B710" s="139"/>
    </row>
    <row r="711">
      <c r="B711" s="139"/>
    </row>
    <row r="712">
      <c r="B712" s="139"/>
    </row>
    <row r="713">
      <c r="B713" s="139"/>
    </row>
    <row r="714">
      <c r="B714" s="139"/>
    </row>
    <row r="715">
      <c r="B715" s="139"/>
    </row>
    <row r="716">
      <c r="B716" s="139"/>
    </row>
    <row r="717">
      <c r="B717" s="139"/>
    </row>
    <row r="718">
      <c r="B718" s="139"/>
    </row>
    <row r="719">
      <c r="B719" s="139"/>
    </row>
    <row r="720">
      <c r="B720" s="139"/>
    </row>
    <row r="721">
      <c r="B721" s="139"/>
    </row>
    <row r="722">
      <c r="B722" s="139"/>
    </row>
    <row r="723">
      <c r="B723" s="139"/>
    </row>
    <row r="724">
      <c r="B724" s="139"/>
    </row>
    <row r="725">
      <c r="B725" s="139"/>
    </row>
    <row r="726">
      <c r="B726" s="139"/>
    </row>
    <row r="727">
      <c r="B727" s="139"/>
    </row>
    <row r="728">
      <c r="B728" s="139"/>
    </row>
    <row r="729">
      <c r="B729" s="139"/>
    </row>
    <row r="730">
      <c r="B730" s="139"/>
    </row>
    <row r="731">
      <c r="B731" s="139"/>
    </row>
    <row r="732">
      <c r="B732" s="139"/>
    </row>
    <row r="733">
      <c r="B733" s="139"/>
    </row>
    <row r="734">
      <c r="B734" s="139"/>
    </row>
    <row r="735">
      <c r="B735" s="139"/>
    </row>
    <row r="736">
      <c r="B736" s="139"/>
    </row>
    <row r="737">
      <c r="B737" s="139"/>
    </row>
    <row r="738">
      <c r="B738" s="139"/>
    </row>
    <row r="739">
      <c r="B739" s="139"/>
    </row>
    <row r="740">
      <c r="B740" s="139"/>
    </row>
    <row r="741">
      <c r="B741" s="139"/>
    </row>
    <row r="742">
      <c r="B742" s="139"/>
    </row>
    <row r="743">
      <c r="B743" s="139"/>
    </row>
    <row r="744">
      <c r="B744" s="139"/>
    </row>
    <row r="745">
      <c r="B745" s="139"/>
    </row>
    <row r="746">
      <c r="B746" s="139"/>
    </row>
    <row r="747">
      <c r="B747" s="139"/>
    </row>
    <row r="748">
      <c r="B748" s="139"/>
    </row>
    <row r="749">
      <c r="B749" s="139"/>
    </row>
    <row r="750">
      <c r="B750" s="139"/>
    </row>
    <row r="751">
      <c r="B751" s="139"/>
    </row>
    <row r="752">
      <c r="B752" s="139"/>
    </row>
    <row r="753">
      <c r="B753" s="139"/>
    </row>
    <row r="754">
      <c r="B754" s="139"/>
    </row>
    <row r="755">
      <c r="B755" s="139"/>
    </row>
    <row r="756">
      <c r="B756" s="139"/>
    </row>
    <row r="757">
      <c r="B757" s="139"/>
    </row>
    <row r="758">
      <c r="B758" s="139"/>
    </row>
    <row r="759">
      <c r="B759" s="139"/>
    </row>
    <row r="760">
      <c r="B760" s="139"/>
    </row>
    <row r="761">
      <c r="B761" s="139"/>
    </row>
    <row r="762">
      <c r="B762" s="139"/>
    </row>
    <row r="763">
      <c r="B763" s="139"/>
    </row>
    <row r="764">
      <c r="B764" s="139"/>
    </row>
    <row r="765">
      <c r="B765" s="139"/>
    </row>
    <row r="766">
      <c r="B766" s="139"/>
    </row>
    <row r="767">
      <c r="B767" s="139"/>
    </row>
    <row r="768">
      <c r="B768" s="139"/>
    </row>
    <row r="769">
      <c r="B769" s="139"/>
    </row>
    <row r="770">
      <c r="B770" s="139"/>
    </row>
    <row r="771">
      <c r="B771" s="139"/>
    </row>
    <row r="772">
      <c r="B772" s="139"/>
    </row>
    <row r="773">
      <c r="B773" s="139"/>
    </row>
    <row r="774">
      <c r="B774" s="139"/>
    </row>
    <row r="775">
      <c r="B775" s="139"/>
    </row>
    <row r="776">
      <c r="B776" s="139"/>
    </row>
    <row r="777">
      <c r="B777" s="139"/>
    </row>
    <row r="778">
      <c r="B778" s="139"/>
    </row>
    <row r="779">
      <c r="B779" s="139"/>
    </row>
    <row r="780">
      <c r="B780" s="139"/>
    </row>
    <row r="781">
      <c r="B781" s="139"/>
    </row>
    <row r="782">
      <c r="B782" s="139"/>
    </row>
    <row r="783">
      <c r="B783" s="139"/>
    </row>
    <row r="784">
      <c r="B784" s="139"/>
    </row>
    <row r="785">
      <c r="B785" s="139"/>
    </row>
    <row r="786">
      <c r="B786" s="139"/>
    </row>
    <row r="787">
      <c r="B787" s="139"/>
    </row>
    <row r="788">
      <c r="B788" s="139"/>
    </row>
    <row r="789">
      <c r="B789" s="139"/>
    </row>
    <row r="790">
      <c r="B790" s="139"/>
    </row>
    <row r="791">
      <c r="B791" s="139"/>
    </row>
    <row r="792">
      <c r="B792" s="139"/>
    </row>
    <row r="793">
      <c r="B793" s="139"/>
    </row>
    <row r="794">
      <c r="B794" s="139"/>
    </row>
    <row r="795">
      <c r="B795" s="139"/>
    </row>
    <row r="796">
      <c r="B796" s="139"/>
    </row>
    <row r="797">
      <c r="B797" s="139"/>
    </row>
    <row r="798">
      <c r="B798" s="139"/>
    </row>
    <row r="799">
      <c r="B799" s="139"/>
    </row>
    <row r="800">
      <c r="B800" s="139"/>
    </row>
    <row r="801">
      <c r="B801" s="139"/>
    </row>
    <row r="802">
      <c r="B802" s="139"/>
    </row>
    <row r="803">
      <c r="B803" s="139"/>
    </row>
    <row r="804">
      <c r="B804" s="139"/>
    </row>
    <row r="805">
      <c r="B805" s="139"/>
    </row>
    <row r="806">
      <c r="B806" s="139"/>
    </row>
    <row r="807">
      <c r="B807" s="139"/>
    </row>
    <row r="808">
      <c r="B808" s="139"/>
    </row>
    <row r="809">
      <c r="B809" s="139"/>
    </row>
    <row r="810">
      <c r="B810" s="139"/>
    </row>
    <row r="811">
      <c r="B811" s="139"/>
    </row>
    <row r="812">
      <c r="B812" s="139"/>
    </row>
    <row r="813">
      <c r="B813" s="139"/>
    </row>
    <row r="814">
      <c r="B814" s="139"/>
    </row>
    <row r="815">
      <c r="B815" s="139"/>
    </row>
    <row r="816">
      <c r="B816" s="139"/>
    </row>
    <row r="817">
      <c r="B817" s="139"/>
    </row>
    <row r="818">
      <c r="B818" s="139"/>
    </row>
    <row r="819">
      <c r="B819" s="139"/>
    </row>
    <row r="820">
      <c r="B820" s="139"/>
    </row>
    <row r="821">
      <c r="B821" s="139"/>
    </row>
    <row r="822">
      <c r="B822" s="139"/>
    </row>
    <row r="823">
      <c r="B823" s="139"/>
    </row>
    <row r="824">
      <c r="B824" s="139"/>
    </row>
    <row r="825">
      <c r="B825" s="139"/>
    </row>
    <row r="826">
      <c r="B826" s="139"/>
    </row>
    <row r="827">
      <c r="B827" s="139"/>
    </row>
    <row r="828">
      <c r="B828" s="139"/>
    </row>
    <row r="829">
      <c r="B829" s="139"/>
    </row>
    <row r="830">
      <c r="B830" s="139"/>
    </row>
    <row r="831">
      <c r="B831" s="139"/>
    </row>
    <row r="832">
      <c r="B832" s="139"/>
    </row>
    <row r="833">
      <c r="B833" s="139"/>
    </row>
    <row r="834">
      <c r="B834" s="139"/>
    </row>
    <row r="835">
      <c r="B835" s="139"/>
    </row>
    <row r="836">
      <c r="B836" s="139"/>
    </row>
    <row r="837">
      <c r="B837" s="139"/>
    </row>
    <row r="838">
      <c r="B838" s="139"/>
    </row>
    <row r="839">
      <c r="B839" s="139"/>
    </row>
    <row r="840">
      <c r="B840" s="139"/>
    </row>
    <row r="841">
      <c r="B841" s="139"/>
    </row>
    <row r="842">
      <c r="B842" s="139"/>
    </row>
    <row r="843">
      <c r="B843" s="139"/>
    </row>
    <row r="844">
      <c r="B844" s="139"/>
    </row>
    <row r="845">
      <c r="B845" s="139"/>
    </row>
    <row r="846">
      <c r="B846" s="139"/>
    </row>
    <row r="847">
      <c r="B847" s="139"/>
    </row>
    <row r="848">
      <c r="B848" s="139"/>
    </row>
    <row r="849">
      <c r="B849" s="139"/>
    </row>
    <row r="850">
      <c r="B850" s="139"/>
    </row>
    <row r="851">
      <c r="B851" s="139"/>
    </row>
    <row r="852">
      <c r="B852" s="139"/>
    </row>
    <row r="853">
      <c r="B853" s="139"/>
    </row>
    <row r="854">
      <c r="B854" s="139"/>
    </row>
    <row r="855">
      <c r="B855" s="139"/>
    </row>
    <row r="856">
      <c r="B856" s="139"/>
    </row>
    <row r="857">
      <c r="B857" s="139"/>
    </row>
    <row r="858">
      <c r="B858" s="139"/>
    </row>
    <row r="859">
      <c r="B859" s="139"/>
    </row>
    <row r="860">
      <c r="B860" s="139"/>
    </row>
    <row r="861">
      <c r="B861" s="139"/>
    </row>
    <row r="862">
      <c r="B862" s="139"/>
    </row>
    <row r="863">
      <c r="B863" s="139"/>
    </row>
    <row r="864">
      <c r="B864" s="139"/>
    </row>
    <row r="865">
      <c r="B865" s="139"/>
    </row>
    <row r="866">
      <c r="B866" s="139"/>
    </row>
    <row r="867">
      <c r="B867" s="139"/>
    </row>
    <row r="868">
      <c r="B868" s="139"/>
    </row>
    <row r="869">
      <c r="B869" s="139"/>
    </row>
    <row r="870">
      <c r="B870" s="139"/>
    </row>
    <row r="871">
      <c r="B871" s="139"/>
    </row>
    <row r="872">
      <c r="B872" s="139"/>
    </row>
    <row r="873">
      <c r="B873" s="139"/>
    </row>
    <row r="874">
      <c r="B874" s="139"/>
    </row>
    <row r="875">
      <c r="B875" s="139"/>
    </row>
    <row r="876">
      <c r="B876" s="139"/>
    </row>
    <row r="877">
      <c r="B877" s="139"/>
    </row>
    <row r="878">
      <c r="B878" s="139"/>
    </row>
    <row r="879">
      <c r="B879" s="139"/>
    </row>
    <row r="880">
      <c r="B880" s="139"/>
    </row>
    <row r="881">
      <c r="B881" s="139"/>
    </row>
    <row r="882">
      <c r="B882" s="139"/>
    </row>
    <row r="883">
      <c r="B883" s="139"/>
    </row>
    <row r="884">
      <c r="B884" s="139"/>
    </row>
    <row r="885">
      <c r="B885" s="139"/>
    </row>
    <row r="886">
      <c r="B886" s="139"/>
    </row>
    <row r="887">
      <c r="B887" s="139"/>
    </row>
    <row r="888">
      <c r="B888" s="139"/>
    </row>
    <row r="889">
      <c r="B889" s="139"/>
    </row>
    <row r="890">
      <c r="B890" s="139"/>
    </row>
    <row r="891">
      <c r="B891" s="139"/>
    </row>
    <row r="892">
      <c r="B892" s="139"/>
    </row>
    <row r="893">
      <c r="B893" s="139"/>
    </row>
    <row r="894">
      <c r="B894" s="139"/>
    </row>
    <row r="895">
      <c r="B895" s="139"/>
    </row>
    <row r="896">
      <c r="B896" s="139"/>
    </row>
    <row r="897">
      <c r="B897" s="139"/>
    </row>
    <row r="898">
      <c r="B898" s="139"/>
    </row>
    <row r="899">
      <c r="B899" s="139"/>
    </row>
    <row r="900">
      <c r="B900" s="139"/>
    </row>
    <row r="901">
      <c r="B901" s="139"/>
    </row>
    <row r="902">
      <c r="B902" s="139"/>
    </row>
    <row r="903">
      <c r="B903" s="139"/>
    </row>
    <row r="904">
      <c r="B904" s="139"/>
    </row>
    <row r="905">
      <c r="B905" s="139"/>
    </row>
    <row r="906">
      <c r="B906" s="139"/>
    </row>
    <row r="907">
      <c r="B907" s="139"/>
    </row>
    <row r="908">
      <c r="B908" s="139"/>
    </row>
    <row r="909">
      <c r="B909" s="139"/>
    </row>
    <row r="910">
      <c r="B910" s="139"/>
    </row>
    <row r="911">
      <c r="B911" s="139"/>
    </row>
    <row r="912">
      <c r="B912" s="139"/>
    </row>
    <row r="913">
      <c r="B913" s="139"/>
    </row>
    <row r="914">
      <c r="B914" s="139"/>
    </row>
    <row r="915">
      <c r="B915" s="139"/>
    </row>
    <row r="916">
      <c r="B916" s="139"/>
    </row>
    <row r="917">
      <c r="B917" s="139"/>
    </row>
    <row r="918">
      <c r="B918" s="139"/>
    </row>
    <row r="919">
      <c r="B919" s="139"/>
    </row>
    <row r="920">
      <c r="B920" s="139"/>
    </row>
    <row r="921">
      <c r="B921" s="139"/>
    </row>
    <row r="922">
      <c r="B922" s="139"/>
    </row>
    <row r="923">
      <c r="B923" s="139"/>
    </row>
    <row r="924">
      <c r="B924" s="139"/>
    </row>
    <row r="925">
      <c r="B925" s="139"/>
    </row>
    <row r="926">
      <c r="B926" s="139"/>
    </row>
    <row r="927">
      <c r="B927" s="139"/>
    </row>
    <row r="928">
      <c r="B928" s="139"/>
    </row>
    <row r="929">
      <c r="B929" s="139"/>
    </row>
    <row r="930">
      <c r="B930" s="139"/>
    </row>
    <row r="931">
      <c r="B931" s="139"/>
    </row>
    <row r="932">
      <c r="B932" s="139"/>
    </row>
    <row r="933">
      <c r="B933" s="139"/>
    </row>
    <row r="934">
      <c r="B934" s="139"/>
    </row>
    <row r="935">
      <c r="B935" s="139"/>
    </row>
    <row r="936">
      <c r="B936" s="139"/>
    </row>
    <row r="937">
      <c r="B937" s="139"/>
    </row>
    <row r="938">
      <c r="B938" s="139"/>
    </row>
    <row r="939">
      <c r="B939" s="139"/>
    </row>
    <row r="940">
      <c r="B940" s="139"/>
    </row>
    <row r="941">
      <c r="B941" s="139"/>
    </row>
    <row r="942">
      <c r="B942" s="139"/>
    </row>
    <row r="943">
      <c r="B943" s="139"/>
    </row>
    <row r="944">
      <c r="B944" s="139"/>
    </row>
    <row r="945">
      <c r="B945" s="139"/>
    </row>
    <row r="946">
      <c r="B946" s="139"/>
    </row>
    <row r="947">
      <c r="B947" s="139"/>
    </row>
    <row r="948">
      <c r="B948" s="139"/>
    </row>
    <row r="949">
      <c r="B949" s="139"/>
    </row>
    <row r="950">
      <c r="B950" s="139"/>
    </row>
    <row r="951">
      <c r="B951" s="139"/>
    </row>
    <row r="952">
      <c r="B952" s="139"/>
    </row>
    <row r="953">
      <c r="B953" s="139"/>
    </row>
    <row r="954">
      <c r="B954" s="139"/>
    </row>
    <row r="955">
      <c r="B955" s="139"/>
    </row>
    <row r="956">
      <c r="B956" s="139"/>
    </row>
    <row r="957">
      <c r="B957" s="139"/>
    </row>
    <row r="958">
      <c r="B958" s="139"/>
    </row>
    <row r="959">
      <c r="B959" s="139"/>
    </row>
    <row r="960">
      <c r="B960" s="139"/>
    </row>
    <row r="961">
      <c r="B961" s="139"/>
    </row>
    <row r="962">
      <c r="B962" s="139"/>
    </row>
    <row r="963">
      <c r="B963" s="139"/>
    </row>
    <row r="964">
      <c r="B964" s="139"/>
    </row>
    <row r="965">
      <c r="B965" s="139"/>
    </row>
    <row r="966">
      <c r="B966" s="139"/>
    </row>
    <row r="967">
      <c r="B967" s="139"/>
    </row>
    <row r="968">
      <c r="B968" s="139"/>
    </row>
    <row r="969">
      <c r="B969" s="139"/>
    </row>
    <row r="970">
      <c r="B970" s="139"/>
    </row>
    <row r="971">
      <c r="B971" s="139"/>
    </row>
    <row r="972">
      <c r="B972" s="139"/>
    </row>
    <row r="973">
      <c r="B973" s="139"/>
    </row>
    <row r="974">
      <c r="B974" s="139"/>
    </row>
    <row r="975">
      <c r="B975" s="139"/>
    </row>
    <row r="976">
      <c r="B976" s="139"/>
    </row>
    <row r="977">
      <c r="B977" s="139"/>
    </row>
    <row r="978">
      <c r="B978" s="139"/>
    </row>
    <row r="979">
      <c r="B979" s="139"/>
    </row>
    <row r="980">
      <c r="B980" s="139"/>
    </row>
    <row r="981">
      <c r="B981" s="139"/>
    </row>
    <row r="982">
      <c r="B982" s="139"/>
    </row>
    <row r="983">
      <c r="B983" s="139"/>
    </row>
    <row r="984">
      <c r="B984" s="139"/>
    </row>
    <row r="985">
      <c r="B985" s="139"/>
    </row>
    <row r="986">
      <c r="B986" s="139"/>
    </row>
    <row r="987">
      <c r="B987" s="139"/>
    </row>
    <row r="988">
      <c r="B988" s="139"/>
    </row>
    <row r="989">
      <c r="B989" s="139"/>
    </row>
    <row r="990">
      <c r="B990" s="139"/>
    </row>
    <row r="991">
      <c r="B991" s="139"/>
    </row>
    <row r="992">
      <c r="B992" s="139"/>
    </row>
    <row r="993">
      <c r="B993" s="139"/>
    </row>
    <row r="994">
      <c r="B994" s="139"/>
    </row>
    <row r="995">
      <c r="B995" s="139"/>
    </row>
    <row r="996">
      <c r="B996" s="139"/>
    </row>
    <row r="997">
      <c r="B997" s="139"/>
    </row>
    <row r="998">
      <c r="B998" s="139"/>
    </row>
    <row r="999">
      <c r="B999" s="139"/>
    </row>
    <row r="1000">
      <c r="B1000" s="139"/>
    </row>
  </sheetData>
  <dataValidations>
    <dataValidation type="custom" allowBlank="1" showDropDown="1" sqref="A4:A24 D4:E24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25"/>
    <col customWidth="1" min="3" max="3" width="6.63"/>
    <col customWidth="1" min="4" max="4" width="7.5"/>
    <col customWidth="1" min="5" max="5" width="7.25"/>
    <col customWidth="1" min="6" max="6" width="7.38"/>
    <col customWidth="1" min="7" max="7" width="7.25"/>
    <col customWidth="1" min="8" max="8" width="17.88"/>
  </cols>
  <sheetData>
    <row r="2">
      <c r="A2" s="138"/>
      <c r="B2" s="120" t="s">
        <v>1387</v>
      </c>
      <c r="C2" s="120" t="s">
        <v>1388</v>
      </c>
      <c r="D2" s="120" t="s">
        <v>1389</v>
      </c>
      <c r="E2" s="120" t="s">
        <v>1390</v>
      </c>
      <c r="F2" s="120" t="s">
        <v>1391</v>
      </c>
      <c r="G2" s="120" t="s">
        <v>1392</v>
      </c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</row>
    <row r="4">
      <c r="A4" s="55" t="s">
        <v>1393</v>
      </c>
      <c r="B4" s="101">
        <f t="shared" ref="B4:B8" si="1">SUM(C4:G4)</f>
        <v>467</v>
      </c>
      <c r="C4" s="101">
        <f>14+26+10+17</f>
        <v>67</v>
      </c>
      <c r="D4" s="55">
        <v>80.0</v>
      </c>
      <c r="E4" s="55">
        <v>80.0</v>
      </c>
      <c r="F4" s="101">
        <f>60+26+13+69</f>
        <v>168</v>
      </c>
      <c r="G4" s="55">
        <v>72.0</v>
      </c>
    </row>
    <row r="5">
      <c r="A5" s="55" t="s">
        <v>1393</v>
      </c>
      <c r="B5" s="101">
        <f t="shared" si="1"/>
        <v>348</v>
      </c>
      <c r="C5" s="101">
        <f>52+12+10</f>
        <v>74</v>
      </c>
      <c r="D5" s="101">
        <f>39+37</f>
        <v>76</v>
      </c>
      <c r="E5" s="55">
        <v>63.0</v>
      </c>
      <c r="F5" s="55">
        <v>80.0</v>
      </c>
      <c r="G5" s="55">
        <v>55.0</v>
      </c>
    </row>
    <row r="6">
      <c r="A6" s="55" t="s">
        <v>1393</v>
      </c>
      <c r="B6" s="101">
        <f t="shared" si="1"/>
        <v>338</v>
      </c>
      <c r="C6" s="55">
        <v>60.0</v>
      </c>
      <c r="D6" s="101">
        <f>17+67</f>
        <v>84</v>
      </c>
      <c r="E6" s="55">
        <v>50.0</v>
      </c>
      <c r="F6" s="101">
        <f>1+14+50</f>
        <v>65</v>
      </c>
      <c r="G6" s="55">
        <v>79.0</v>
      </c>
    </row>
    <row r="7">
      <c r="A7" s="55" t="s">
        <v>1393</v>
      </c>
      <c r="B7" s="101">
        <f t="shared" si="1"/>
        <v>452</v>
      </c>
      <c r="C7" s="101">
        <f>53+30</f>
        <v>83</v>
      </c>
      <c r="E7" s="101">
        <f>38+40</f>
        <v>78</v>
      </c>
      <c r="F7" s="101">
        <f>80+80+40+21</f>
        <v>221</v>
      </c>
      <c r="G7" s="55">
        <v>70.0</v>
      </c>
    </row>
    <row r="8">
      <c r="A8" s="55" t="s">
        <v>1393</v>
      </c>
      <c r="B8" s="101">
        <f t="shared" si="1"/>
        <v>137</v>
      </c>
      <c r="C8" s="101">
        <f>82</f>
        <v>82</v>
      </c>
      <c r="F8" s="101">
        <f>40+15</f>
        <v>55</v>
      </c>
    </row>
    <row r="9">
      <c r="B9" s="138">
        <f>SUM(B3:B8)</f>
        <v>1742</v>
      </c>
    </row>
    <row r="11">
      <c r="A11" s="55" t="s">
        <v>1394</v>
      </c>
      <c r="B11" s="101">
        <f t="shared" ref="B11:B15" si="2">SUM(C11:G11)</f>
        <v>574</v>
      </c>
      <c r="C11" s="101">
        <f>84</f>
        <v>84</v>
      </c>
      <c r="D11" s="101">
        <f>14+26+3+10+8</f>
        <v>61</v>
      </c>
      <c r="E11" s="101">
        <f>9+13+52</f>
        <v>74</v>
      </c>
      <c r="F11" s="55">
        <f>80+13+21+1</f>
        <v>115</v>
      </c>
      <c r="G11" s="101">
        <f>80+80+80</f>
        <v>240</v>
      </c>
    </row>
    <row r="12">
      <c r="A12" s="55" t="s">
        <v>1394</v>
      </c>
      <c r="B12" s="101">
        <f t="shared" si="2"/>
        <v>412</v>
      </c>
      <c r="C12" s="101">
        <f>53+30</f>
        <v>83</v>
      </c>
      <c r="E12" s="101">
        <f>40+42</f>
        <v>82</v>
      </c>
      <c r="F12" s="55">
        <f>80+95</f>
        <v>175</v>
      </c>
      <c r="G12" s="55">
        <v>72.0</v>
      </c>
    </row>
    <row r="13">
      <c r="A13" s="55" t="s">
        <v>1394</v>
      </c>
      <c r="B13" s="101">
        <f t="shared" si="2"/>
        <v>299</v>
      </c>
      <c r="C13" s="101">
        <f>59</f>
        <v>59</v>
      </c>
      <c r="E13" s="55">
        <v>80.0</v>
      </c>
      <c r="F13" s="55">
        <v>80.0</v>
      </c>
      <c r="G13" s="55">
        <v>80.0</v>
      </c>
    </row>
    <row r="14">
      <c r="A14" s="55" t="s">
        <v>1394</v>
      </c>
      <c r="B14" s="101">
        <f t="shared" si="2"/>
        <v>240</v>
      </c>
      <c r="E14" s="101">
        <f>40+47</f>
        <v>87</v>
      </c>
      <c r="F14" s="55">
        <v>73.0</v>
      </c>
      <c r="G14" s="55">
        <v>80.0</v>
      </c>
    </row>
    <row r="15">
      <c r="A15" s="55" t="s">
        <v>1394</v>
      </c>
      <c r="B15" s="101">
        <f t="shared" si="2"/>
        <v>217</v>
      </c>
      <c r="E15" s="55">
        <v>80.0</v>
      </c>
      <c r="F15" s="101">
        <f>24+57</f>
        <v>81</v>
      </c>
      <c r="G15" s="55">
        <v>56.0</v>
      </c>
    </row>
    <row r="16">
      <c r="A16" s="55"/>
      <c r="B16" s="138">
        <f>SUM(B11:B15)</f>
        <v>1742</v>
      </c>
      <c r="C16" s="55"/>
      <c r="D16" s="55"/>
      <c r="E16" s="55"/>
    </row>
    <row r="17">
      <c r="A17" s="55"/>
      <c r="C17" s="55"/>
      <c r="D17" s="55"/>
      <c r="E17" s="55"/>
    </row>
    <row r="18">
      <c r="A18" s="55" t="s">
        <v>1395</v>
      </c>
      <c r="B18" s="101">
        <f t="shared" ref="B18:B21" si="3">SUM(C18:G18)</f>
        <v>293</v>
      </c>
      <c r="C18" s="55">
        <v>57.0</v>
      </c>
      <c r="D18" s="55">
        <v>81.0</v>
      </c>
      <c r="E18" s="55">
        <v>70.0</v>
      </c>
      <c r="F18" s="101">
        <f>69+1</f>
        <v>70</v>
      </c>
      <c r="G18" s="55">
        <v>15.0</v>
      </c>
    </row>
    <row r="19">
      <c r="A19" s="55" t="s">
        <v>1395</v>
      </c>
      <c r="B19" s="101">
        <f t="shared" si="3"/>
        <v>271</v>
      </c>
      <c r="C19" s="55">
        <v>52.0</v>
      </c>
      <c r="D19" s="101">
        <f>7+27+10+22+10+11</f>
        <v>87</v>
      </c>
      <c r="E19" s="55">
        <v>80.0</v>
      </c>
      <c r="F19" s="55">
        <v>52.0</v>
      </c>
    </row>
    <row r="20">
      <c r="A20" s="55" t="s">
        <v>1395</v>
      </c>
      <c r="B20" s="101">
        <f t="shared" si="3"/>
        <v>209</v>
      </c>
      <c r="C20" s="55">
        <v>83.0</v>
      </c>
      <c r="E20" s="101">
        <f>36+37</f>
        <v>73</v>
      </c>
      <c r="F20" s="101">
        <f>35+17+1</f>
        <v>53</v>
      </c>
    </row>
    <row r="21">
      <c r="A21" s="55" t="s">
        <v>1395</v>
      </c>
      <c r="B21" s="101">
        <f t="shared" si="3"/>
        <v>97</v>
      </c>
      <c r="E21" s="101">
        <f>17+10+50</f>
        <v>77</v>
      </c>
      <c r="F21" s="55">
        <v>20.0</v>
      </c>
    </row>
    <row r="22">
      <c r="B22" s="138">
        <f>SUM(B18:B21)</f>
        <v>870</v>
      </c>
    </row>
    <row r="24">
      <c r="A24" s="55" t="s">
        <v>1396</v>
      </c>
      <c r="B24" s="101">
        <f t="shared" ref="B24:B26" si="4">SUM(C24:E24)</f>
        <v>138</v>
      </c>
      <c r="C24" s="55">
        <v>57.0</v>
      </c>
      <c r="E24" s="101">
        <f>11+28+28+14</f>
        <v>81</v>
      </c>
    </row>
    <row r="25">
      <c r="A25" s="55" t="s">
        <v>1396</v>
      </c>
      <c r="B25" s="101">
        <f t="shared" si="4"/>
        <v>58</v>
      </c>
      <c r="C25" s="55">
        <v>58.0</v>
      </c>
    </row>
    <row r="26">
      <c r="A26" s="55" t="s">
        <v>1396</v>
      </c>
      <c r="B26" s="101">
        <f t="shared" si="4"/>
        <v>60</v>
      </c>
      <c r="C26" s="55">
        <v>60.0</v>
      </c>
    </row>
    <row r="27">
      <c r="B27" s="138">
        <f>SUM(B24:B26)</f>
        <v>256</v>
      </c>
    </row>
    <row r="29">
      <c r="A29" s="55" t="s">
        <v>1397</v>
      </c>
      <c r="B29" s="101">
        <f t="shared" ref="B29:B30" si="5">SUM(C29:E29)</f>
        <v>65</v>
      </c>
      <c r="D29" s="101">
        <f>22+43</f>
        <v>65</v>
      </c>
    </row>
    <row r="30">
      <c r="A30" s="55" t="s">
        <v>1397</v>
      </c>
      <c r="B30" s="101">
        <f t="shared" si="5"/>
        <v>65</v>
      </c>
      <c r="D30" s="101">
        <f>43+22</f>
        <v>65</v>
      </c>
    </row>
    <row r="31">
      <c r="B31" s="138">
        <f>SUM(B29:B30)</f>
        <v>130</v>
      </c>
    </row>
    <row r="33">
      <c r="A33" s="55" t="s">
        <v>1398</v>
      </c>
      <c r="B33" s="101">
        <f t="shared" ref="B33:B35" si="6">SUM(C33:E33)</f>
        <v>86</v>
      </c>
      <c r="D33" s="55">
        <v>86.0</v>
      </c>
    </row>
    <row r="34">
      <c r="A34" s="55" t="s">
        <v>1398</v>
      </c>
      <c r="B34" s="101">
        <f t="shared" si="6"/>
        <v>85</v>
      </c>
      <c r="D34" s="55">
        <v>85.0</v>
      </c>
    </row>
    <row r="35">
      <c r="A35" s="55" t="s">
        <v>1398</v>
      </c>
      <c r="B35" s="101">
        <f t="shared" si="6"/>
        <v>85</v>
      </c>
      <c r="D35" s="101">
        <f>43+42</f>
        <v>85</v>
      </c>
    </row>
    <row r="36">
      <c r="B36" s="138">
        <f>SUM(B33:B35)</f>
        <v>256</v>
      </c>
    </row>
    <row r="37">
      <c r="H37" s="150" t="s">
        <v>1399</v>
      </c>
      <c r="I37" s="150">
        <v>4994.0</v>
      </c>
    </row>
    <row r="38">
      <c r="A38" s="134" t="s">
        <v>1089</v>
      </c>
      <c r="B38" s="138">
        <f>B36+B31+B27+B22+B16+B9</f>
        <v>4996</v>
      </c>
      <c r="C38" s="138">
        <f t="shared" ref="C38:G38" si="7">SUM(C4:C36)</f>
        <v>959</v>
      </c>
      <c r="D38" s="138">
        <f t="shared" si="7"/>
        <v>855</v>
      </c>
      <c r="E38" s="138">
        <f t="shared" si="7"/>
        <v>1055</v>
      </c>
      <c r="F38" s="138">
        <f t="shared" si="7"/>
        <v>1308</v>
      </c>
      <c r="G38" s="138">
        <f t="shared" si="7"/>
        <v>819</v>
      </c>
      <c r="H38" s="150" t="s">
        <v>1071</v>
      </c>
      <c r="I38" s="151">
        <f>SUM(C38:G38)</f>
        <v>4996</v>
      </c>
    </row>
    <row r="39">
      <c r="H39" s="150" t="s">
        <v>1091</v>
      </c>
      <c r="I39" s="151">
        <f>I37-I38</f>
        <v>-2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7" max="7" width="29.0"/>
  </cols>
  <sheetData>
    <row r="1">
      <c r="A1" s="152" t="s">
        <v>1400</v>
      </c>
      <c r="B1" s="152" t="s">
        <v>1401</v>
      </c>
      <c r="C1" s="135"/>
      <c r="D1" s="135"/>
      <c r="E1" s="135"/>
      <c r="F1" s="135"/>
      <c r="G1" s="135"/>
    </row>
    <row r="2">
      <c r="A2" s="135"/>
      <c r="B2" s="135"/>
      <c r="C2" s="135"/>
      <c r="D2" s="135"/>
      <c r="E2" s="135"/>
      <c r="F2" s="135"/>
      <c r="G2" s="135"/>
    </row>
    <row r="3">
      <c r="A3" s="152"/>
      <c r="B3" s="152">
        <v>2025.0</v>
      </c>
      <c r="C3" s="135"/>
      <c r="D3" s="135"/>
      <c r="E3" s="135"/>
      <c r="F3" s="135"/>
      <c r="G3" s="135"/>
    </row>
    <row r="4">
      <c r="A4" s="152" t="s">
        <v>1142</v>
      </c>
      <c r="B4" s="135"/>
      <c r="C4" s="152" t="s">
        <v>1400</v>
      </c>
      <c r="D4" s="152" t="s">
        <v>1402</v>
      </c>
      <c r="E4" s="152" t="s">
        <v>1090</v>
      </c>
      <c r="F4" s="152" t="s">
        <v>1403</v>
      </c>
      <c r="G4" s="135"/>
    </row>
    <row r="5">
      <c r="A5" s="153">
        <v>45679.0</v>
      </c>
      <c r="B5" s="152" t="s">
        <v>1018</v>
      </c>
      <c r="C5" s="152" t="s">
        <v>1404</v>
      </c>
      <c r="D5" s="152">
        <v>85.73</v>
      </c>
      <c r="E5" s="135"/>
      <c r="F5" s="135">
        <f>D5-E5</f>
        <v>85.73</v>
      </c>
      <c r="G5" s="152" t="s">
        <v>197</v>
      </c>
    </row>
    <row r="6">
      <c r="A6" s="153">
        <v>45695.0</v>
      </c>
      <c r="B6" s="152" t="s">
        <v>1405</v>
      </c>
      <c r="C6" s="152" t="s">
        <v>1406</v>
      </c>
      <c r="D6" s="152">
        <v>791.78</v>
      </c>
      <c r="E6" s="152">
        <v>712.0</v>
      </c>
      <c r="F6" s="135">
        <f t="shared" ref="F6:F81" si="1">F5+D6-E6</f>
        <v>165.51</v>
      </c>
      <c r="G6" s="152" t="s">
        <v>1407</v>
      </c>
    </row>
    <row r="7">
      <c r="A7" s="153">
        <v>45701.0</v>
      </c>
      <c r="B7" s="152" t="s">
        <v>1408</v>
      </c>
      <c r="C7" s="152" t="s">
        <v>1409</v>
      </c>
      <c r="D7" s="152">
        <v>178.54</v>
      </c>
      <c r="E7" s="152">
        <v>200.0</v>
      </c>
      <c r="F7" s="135">
        <f t="shared" si="1"/>
        <v>144.05</v>
      </c>
      <c r="G7" s="152" t="s">
        <v>1410</v>
      </c>
    </row>
    <row r="8">
      <c r="A8" s="153">
        <v>45701.0</v>
      </c>
      <c r="B8" s="152" t="s">
        <v>1405</v>
      </c>
      <c r="C8" s="152" t="s">
        <v>1411</v>
      </c>
      <c r="D8" s="152">
        <v>670.97</v>
      </c>
      <c r="E8" s="135"/>
      <c r="F8" s="135">
        <f t="shared" si="1"/>
        <v>815.02</v>
      </c>
      <c r="G8" s="152" t="s">
        <v>1412</v>
      </c>
    </row>
    <row r="9">
      <c r="A9" s="153">
        <v>45701.0</v>
      </c>
      <c r="B9" s="152" t="s">
        <v>1018</v>
      </c>
      <c r="C9" s="152" t="s">
        <v>1413</v>
      </c>
      <c r="D9" s="152">
        <v>74.74</v>
      </c>
      <c r="E9" s="152">
        <v>900.0</v>
      </c>
      <c r="F9" s="135">
        <f t="shared" si="1"/>
        <v>-10.24</v>
      </c>
      <c r="G9" s="152" t="s">
        <v>1414</v>
      </c>
    </row>
    <row r="10">
      <c r="A10" s="153">
        <v>45719.0</v>
      </c>
      <c r="B10" s="152" t="s">
        <v>1018</v>
      </c>
      <c r="C10" s="152" t="s">
        <v>1415</v>
      </c>
      <c r="D10" s="152">
        <v>79.14</v>
      </c>
      <c r="E10" s="135"/>
      <c r="F10" s="135">
        <f t="shared" si="1"/>
        <v>68.9</v>
      </c>
      <c r="G10" s="152" t="s">
        <v>1416</v>
      </c>
    </row>
    <row r="11">
      <c r="A11" s="153">
        <v>45726.0</v>
      </c>
      <c r="B11" s="152" t="s">
        <v>1405</v>
      </c>
      <c r="C11" s="152" t="s">
        <v>1417</v>
      </c>
      <c r="D11" s="152">
        <v>1180.0</v>
      </c>
      <c r="E11" s="152">
        <v>1200.0</v>
      </c>
      <c r="F11" s="135">
        <f t="shared" si="1"/>
        <v>48.9</v>
      </c>
      <c r="G11" s="152" t="s">
        <v>1418</v>
      </c>
    </row>
    <row r="12">
      <c r="A12" s="154"/>
      <c r="B12" s="152" t="s">
        <v>1018</v>
      </c>
      <c r="C12" s="152" t="s">
        <v>1419</v>
      </c>
      <c r="D12" s="152"/>
      <c r="E12" s="135"/>
      <c r="F12" s="135">
        <f t="shared" si="1"/>
        <v>48.9</v>
      </c>
      <c r="G12" s="152" t="s">
        <v>1420</v>
      </c>
    </row>
    <row r="13">
      <c r="A13" s="153">
        <v>45754.0</v>
      </c>
      <c r="B13" s="152" t="s">
        <v>1421</v>
      </c>
      <c r="C13" s="152" t="s">
        <v>1422</v>
      </c>
      <c r="D13" s="152">
        <v>25.64</v>
      </c>
      <c r="E13" s="135"/>
      <c r="F13" s="135">
        <f t="shared" si="1"/>
        <v>74.54</v>
      </c>
      <c r="G13" s="135"/>
    </row>
    <row r="14">
      <c r="A14" s="153">
        <v>45755.0</v>
      </c>
      <c r="B14" s="152" t="s">
        <v>1423</v>
      </c>
      <c r="C14" s="152" t="s">
        <v>1424</v>
      </c>
      <c r="D14" s="152">
        <v>194.56</v>
      </c>
      <c r="E14" s="135"/>
      <c r="F14" s="135">
        <f t="shared" si="1"/>
        <v>269.1</v>
      </c>
      <c r="G14" s="152" t="s">
        <v>1425</v>
      </c>
    </row>
    <row r="15">
      <c r="A15" s="153">
        <v>45756.0</v>
      </c>
      <c r="B15" s="152" t="s">
        <v>1426</v>
      </c>
      <c r="C15" s="152" t="s">
        <v>1427</v>
      </c>
      <c r="D15" s="152">
        <v>132.2</v>
      </c>
      <c r="E15" s="135"/>
      <c r="F15" s="135">
        <f t="shared" si="1"/>
        <v>401.3</v>
      </c>
      <c r="G15" s="135"/>
    </row>
    <row r="16">
      <c r="A16" s="153">
        <v>45804.0</v>
      </c>
      <c r="B16" s="152" t="s">
        <v>1428</v>
      </c>
      <c r="C16" s="152" t="s">
        <v>1429</v>
      </c>
      <c r="D16" s="152">
        <v>317.88</v>
      </c>
      <c r="E16" s="152">
        <v>200.0</v>
      </c>
      <c r="F16" s="135">
        <f t="shared" si="1"/>
        <v>519.18</v>
      </c>
      <c r="G16" s="152" t="s">
        <v>1430</v>
      </c>
    </row>
    <row r="17">
      <c r="A17" s="153">
        <v>45777.0</v>
      </c>
      <c r="B17" s="152" t="s">
        <v>1428</v>
      </c>
      <c r="C17" s="152" t="s">
        <v>1431</v>
      </c>
      <c r="D17" s="152">
        <v>165.23</v>
      </c>
      <c r="E17" s="135"/>
      <c r="F17" s="135">
        <f t="shared" si="1"/>
        <v>684.41</v>
      </c>
      <c r="G17" s="152"/>
    </row>
    <row r="18">
      <c r="A18" s="154"/>
      <c r="B18" s="152" t="s">
        <v>1432</v>
      </c>
      <c r="C18" s="152" t="s">
        <v>1433</v>
      </c>
      <c r="D18" s="152">
        <v>78.69</v>
      </c>
      <c r="E18" s="135"/>
      <c r="F18" s="135">
        <f t="shared" si="1"/>
        <v>763.1</v>
      </c>
      <c r="G18" s="152"/>
    </row>
    <row r="19">
      <c r="A19" s="153">
        <v>45758.0</v>
      </c>
      <c r="B19" s="152" t="s">
        <v>1197</v>
      </c>
      <c r="C19" s="135"/>
      <c r="D19" s="135"/>
      <c r="E19" s="152">
        <v>400.0</v>
      </c>
      <c r="F19" s="135">
        <f t="shared" si="1"/>
        <v>363.1</v>
      </c>
      <c r="G19" s="152" t="s">
        <v>1434</v>
      </c>
    </row>
    <row r="20">
      <c r="A20" s="152" t="s">
        <v>1435</v>
      </c>
      <c r="B20" s="152" t="s">
        <v>1436</v>
      </c>
      <c r="C20" s="152" t="s">
        <v>1437</v>
      </c>
      <c r="D20" s="152">
        <v>165.23</v>
      </c>
      <c r="E20" s="135"/>
      <c r="F20" s="135">
        <f t="shared" si="1"/>
        <v>528.33</v>
      </c>
      <c r="G20" s="152"/>
    </row>
    <row r="21">
      <c r="A21" s="152" t="s">
        <v>1438</v>
      </c>
      <c r="B21" s="152" t="s">
        <v>1428</v>
      </c>
      <c r="C21" s="152" t="s">
        <v>1429</v>
      </c>
      <c r="D21" s="152">
        <v>317.88</v>
      </c>
      <c r="E21" s="135"/>
      <c r="F21" s="135">
        <f t="shared" si="1"/>
        <v>846.21</v>
      </c>
      <c r="G21" s="152" t="s">
        <v>1439</v>
      </c>
    </row>
    <row r="22">
      <c r="A22" s="152" t="s">
        <v>1440</v>
      </c>
      <c r="B22" s="152" t="s">
        <v>1441</v>
      </c>
      <c r="C22" s="152" t="s">
        <v>1442</v>
      </c>
      <c r="D22" s="152">
        <v>355.8</v>
      </c>
      <c r="E22" s="135"/>
      <c r="F22" s="135">
        <f t="shared" si="1"/>
        <v>1202.01</v>
      </c>
      <c r="G22" s="135"/>
    </row>
    <row r="23">
      <c r="A23" s="153">
        <v>45812.0</v>
      </c>
      <c r="B23" s="152" t="s">
        <v>1441</v>
      </c>
      <c r="C23" s="152" t="s">
        <v>1443</v>
      </c>
      <c r="D23" s="152">
        <v>657.56</v>
      </c>
      <c r="E23" s="135"/>
      <c r="F23" s="135">
        <f t="shared" si="1"/>
        <v>1859.57</v>
      </c>
      <c r="G23" s="135"/>
    </row>
    <row r="24">
      <c r="A24" s="153">
        <v>45813.0</v>
      </c>
      <c r="B24" s="152" t="s">
        <v>1197</v>
      </c>
      <c r="C24" s="135"/>
      <c r="D24" s="135"/>
      <c r="E24" s="152">
        <v>200.0</v>
      </c>
      <c r="F24" s="135">
        <f t="shared" si="1"/>
        <v>1659.57</v>
      </c>
      <c r="G24" s="152" t="s">
        <v>1444</v>
      </c>
    </row>
    <row r="25">
      <c r="A25" s="155">
        <v>45804.0</v>
      </c>
      <c r="B25" s="152" t="s">
        <v>1197</v>
      </c>
      <c r="C25" s="135"/>
      <c r="D25" s="135"/>
      <c r="E25" s="152">
        <v>200.0</v>
      </c>
      <c r="F25" s="135">
        <f t="shared" si="1"/>
        <v>1459.57</v>
      </c>
      <c r="G25" s="152" t="s">
        <v>1445</v>
      </c>
    </row>
    <row r="26">
      <c r="A26" s="137">
        <v>45997.0</v>
      </c>
      <c r="B26" s="152" t="s">
        <v>1446</v>
      </c>
      <c r="C26" s="135"/>
      <c r="D26" s="135"/>
      <c r="E26" s="152">
        <v>400.0</v>
      </c>
      <c r="F26" s="135">
        <f t="shared" si="1"/>
        <v>1059.57</v>
      </c>
      <c r="G26" s="152" t="s">
        <v>1447</v>
      </c>
    </row>
    <row r="27">
      <c r="A27" s="152" t="s">
        <v>1448</v>
      </c>
      <c r="B27" s="152" t="s">
        <v>1197</v>
      </c>
      <c r="C27" s="135"/>
      <c r="D27" s="135"/>
      <c r="E27" s="152">
        <v>600.0</v>
      </c>
      <c r="F27" s="135">
        <f t="shared" si="1"/>
        <v>459.57</v>
      </c>
      <c r="G27" s="152" t="s">
        <v>1449</v>
      </c>
    </row>
    <row r="28">
      <c r="A28" s="137">
        <v>45753.0</v>
      </c>
      <c r="B28" s="152" t="s">
        <v>1436</v>
      </c>
      <c r="C28" s="152" t="s">
        <v>1450</v>
      </c>
      <c r="D28" s="152">
        <v>219.71</v>
      </c>
      <c r="E28" s="135"/>
      <c r="F28" s="135">
        <f t="shared" si="1"/>
        <v>679.28</v>
      </c>
      <c r="G28" s="135"/>
    </row>
    <row r="29">
      <c r="A29" s="152" t="s">
        <v>1451</v>
      </c>
      <c r="B29" s="152" t="s">
        <v>1428</v>
      </c>
      <c r="C29" s="152" t="s">
        <v>1452</v>
      </c>
      <c r="D29" s="152">
        <v>49.08</v>
      </c>
      <c r="E29" s="135"/>
      <c r="F29" s="135">
        <f t="shared" si="1"/>
        <v>728.36</v>
      </c>
      <c r="G29" s="135"/>
    </row>
    <row r="30">
      <c r="A30" s="152" t="s">
        <v>1451</v>
      </c>
      <c r="B30" s="152" t="s">
        <v>1428</v>
      </c>
      <c r="C30" s="152" t="s">
        <v>1453</v>
      </c>
      <c r="D30" s="152">
        <v>59.97</v>
      </c>
      <c r="E30" s="135"/>
      <c r="F30" s="135">
        <f t="shared" si="1"/>
        <v>788.33</v>
      </c>
      <c r="G30" s="135"/>
    </row>
    <row r="31">
      <c r="A31" s="137">
        <v>45907.0</v>
      </c>
      <c r="B31" s="152" t="s">
        <v>1436</v>
      </c>
      <c r="C31" s="152" t="s">
        <v>1454</v>
      </c>
      <c r="D31" s="152">
        <v>1049.84</v>
      </c>
      <c r="E31" s="135"/>
      <c r="F31" s="135">
        <f t="shared" si="1"/>
        <v>1838.17</v>
      </c>
      <c r="G31" s="152" t="s">
        <v>1455</v>
      </c>
    </row>
    <row r="32">
      <c r="A32" s="152" t="s">
        <v>1456</v>
      </c>
      <c r="B32" s="152" t="s">
        <v>1457</v>
      </c>
      <c r="C32" s="135"/>
      <c r="D32" s="135"/>
      <c r="E32" s="152">
        <v>1400.0</v>
      </c>
      <c r="F32" s="135">
        <f t="shared" si="1"/>
        <v>438.17</v>
      </c>
      <c r="G32" s="152" t="s">
        <v>1458</v>
      </c>
    </row>
    <row r="33">
      <c r="A33" s="152" t="s">
        <v>1459</v>
      </c>
      <c r="B33" s="152" t="s">
        <v>1460</v>
      </c>
      <c r="C33" s="135"/>
      <c r="D33" s="135"/>
      <c r="E33" s="152">
        <v>300.0</v>
      </c>
      <c r="F33" s="135">
        <f t="shared" si="1"/>
        <v>138.17</v>
      </c>
      <c r="G33" s="152">
        <v>3033.0</v>
      </c>
    </row>
    <row r="34">
      <c r="A34" s="152" t="s">
        <v>1459</v>
      </c>
      <c r="B34" s="152" t="s">
        <v>1426</v>
      </c>
      <c r="C34" s="152" t="s">
        <v>1461</v>
      </c>
      <c r="D34" s="152">
        <v>106.07</v>
      </c>
      <c r="E34" s="135"/>
      <c r="F34" s="135">
        <f t="shared" si="1"/>
        <v>244.24</v>
      </c>
      <c r="G34" s="135"/>
    </row>
    <row r="35">
      <c r="A35" s="152" t="s">
        <v>1462</v>
      </c>
      <c r="B35" s="152" t="s">
        <v>1428</v>
      </c>
      <c r="C35" s="152" t="s">
        <v>1463</v>
      </c>
      <c r="D35" s="152">
        <v>113.07</v>
      </c>
      <c r="E35" s="135"/>
      <c r="F35" s="135">
        <f t="shared" si="1"/>
        <v>357.31</v>
      </c>
      <c r="G35" s="152" t="s">
        <v>1464</v>
      </c>
    </row>
    <row r="36">
      <c r="A36" s="152" t="s">
        <v>1465</v>
      </c>
      <c r="B36" s="152" t="s">
        <v>1428</v>
      </c>
      <c r="C36" s="152" t="s">
        <v>1466</v>
      </c>
      <c r="D36" s="152">
        <v>38.05</v>
      </c>
      <c r="E36" s="135"/>
      <c r="F36" s="135">
        <f t="shared" si="1"/>
        <v>395.36</v>
      </c>
      <c r="G36" s="152" t="s">
        <v>1467</v>
      </c>
    </row>
    <row r="37">
      <c r="A37" s="156">
        <v>45877.0</v>
      </c>
      <c r="B37" s="152" t="s">
        <v>1460</v>
      </c>
      <c r="C37" s="152">
        <v>2881.0</v>
      </c>
      <c r="D37" s="135"/>
      <c r="E37" s="152">
        <v>300.0</v>
      </c>
      <c r="F37" s="135">
        <f t="shared" si="1"/>
        <v>95.36</v>
      </c>
      <c r="G37" s="135"/>
    </row>
    <row r="38">
      <c r="A38" s="152" t="s">
        <v>1468</v>
      </c>
      <c r="B38" s="152" t="s">
        <v>1428</v>
      </c>
      <c r="C38" s="152" t="s">
        <v>1469</v>
      </c>
      <c r="D38" s="152">
        <v>41.65</v>
      </c>
      <c r="E38" s="135"/>
      <c r="F38" s="135">
        <f t="shared" si="1"/>
        <v>137.01</v>
      </c>
      <c r="G38" s="152" t="s">
        <v>1470</v>
      </c>
    </row>
    <row r="39">
      <c r="A39" s="137">
        <v>45785.0</v>
      </c>
      <c r="B39" s="152" t="s">
        <v>1441</v>
      </c>
      <c r="C39" s="152" t="s">
        <v>1471</v>
      </c>
      <c r="D39" s="152">
        <v>366.49</v>
      </c>
      <c r="E39" s="135"/>
      <c r="F39" s="135">
        <f t="shared" si="1"/>
        <v>503.5</v>
      </c>
      <c r="G39" s="152" t="s">
        <v>1472</v>
      </c>
    </row>
    <row r="40">
      <c r="A40" s="137">
        <v>45785.0</v>
      </c>
      <c r="B40" s="152" t="s">
        <v>1473</v>
      </c>
      <c r="C40" s="152" t="s">
        <v>1474</v>
      </c>
      <c r="D40" s="152">
        <v>64.95</v>
      </c>
      <c r="E40" s="135"/>
      <c r="F40" s="135">
        <f t="shared" si="1"/>
        <v>568.45</v>
      </c>
      <c r="G40" s="135"/>
    </row>
    <row r="41">
      <c r="A41" s="137">
        <v>45846.0</v>
      </c>
      <c r="B41" s="135"/>
      <c r="C41" s="152" t="s">
        <v>1475</v>
      </c>
      <c r="D41" s="152">
        <v>158.62</v>
      </c>
      <c r="E41" s="135"/>
      <c r="F41" s="135">
        <f t="shared" si="1"/>
        <v>727.07</v>
      </c>
      <c r="G41" s="152" t="s">
        <v>1476</v>
      </c>
    </row>
    <row r="42">
      <c r="A42" s="152" t="s">
        <v>1477</v>
      </c>
      <c r="B42" s="152" t="s">
        <v>1460</v>
      </c>
      <c r="C42" s="152">
        <v>3157.0</v>
      </c>
      <c r="D42" s="135"/>
      <c r="E42" s="152">
        <v>700.0</v>
      </c>
      <c r="F42" s="135">
        <f t="shared" si="1"/>
        <v>27.07</v>
      </c>
      <c r="G42" s="135"/>
    </row>
    <row r="43">
      <c r="A43" s="152" t="s">
        <v>1478</v>
      </c>
      <c r="B43" s="152" t="s">
        <v>1479</v>
      </c>
      <c r="C43" s="152" t="s">
        <v>1480</v>
      </c>
      <c r="D43" s="152">
        <v>28.47</v>
      </c>
      <c r="E43" s="135"/>
      <c r="F43" s="135">
        <f t="shared" si="1"/>
        <v>55.54</v>
      </c>
      <c r="G43" s="135"/>
    </row>
    <row r="44">
      <c r="A44" s="135"/>
      <c r="B44" s="152" t="s">
        <v>1481</v>
      </c>
      <c r="C44" s="135"/>
      <c r="D44" s="135"/>
      <c r="E44" s="135"/>
      <c r="F44" s="135">
        <f t="shared" si="1"/>
        <v>55.54</v>
      </c>
      <c r="G44" s="152" t="s">
        <v>1482</v>
      </c>
    </row>
    <row r="45">
      <c r="A45" s="137">
        <v>45666.0</v>
      </c>
      <c r="B45" s="152" t="s">
        <v>1481</v>
      </c>
      <c r="C45" s="152" t="s">
        <v>1483</v>
      </c>
      <c r="D45" s="152">
        <v>243.5</v>
      </c>
      <c r="E45" s="135"/>
      <c r="F45" s="135">
        <f t="shared" si="1"/>
        <v>299.04</v>
      </c>
      <c r="G45" s="152" t="s">
        <v>1484</v>
      </c>
    </row>
    <row r="46">
      <c r="A46" s="137">
        <v>45756.0</v>
      </c>
      <c r="B46" s="152" t="s">
        <v>1436</v>
      </c>
      <c r="C46" s="152" t="s">
        <v>1485</v>
      </c>
      <c r="D46" s="152">
        <v>111.04</v>
      </c>
      <c r="E46" s="135"/>
      <c r="F46" s="135">
        <f t="shared" si="1"/>
        <v>410.08</v>
      </c>
      <c r="G46" s="152" t="s">
        <v>610</v>
      </c>
    </row>
    <row r="47">
      <c r="A47" s="135"/>
      <c r="B47" s="152" t="s">
        <v>1428</v>
      </c>
      <c r="C47" s="152" t="s">
        <v>1486</v>
      </c>
      <c r="D47" s="152">
        <v>91.58</v>
      </c>
      <c r="E47" s="135"/>
      <c r="F47" s="135">
        <f t="shared" si="1"/>
        <v>501.66</v>
      </c>
      <c r="G47" s="135"/>
    </row>
    <row r="48">
      <c r="A48" s="137">
        <v>45939.0</v>
      </c>
      <c r="B48" s="152" t="s">
        <v>1405</v>
      </c>
      <c r="C48" s="152" t="s">
        <v>1487</v>
      </c>
      <c r="D48" s="152">
        <v>331.86</v>
      </c>
      <c r="E48" s="135"/>
      <c r="F48" s="135">
        <f t="shared" si="1"/>
        <v>833.52</v>
      </c>
      <c r="G48" s="152" t="s">
        <v>1488</v>
      </c>
    </row>
    <row r="49">
      <c r="A49" s="152" t="s">
        <v>1489</v>
      </c>
      <c r="B49" s="152" t="s">
        <v>1436</v>
      </c>
      <c r="C49" s="152" t="s">
        <v>1490</v>
      </c>
      <c r="D49" s="152">
        <v>1021.0</v>
      </c>
      <c r="E49" s="135"/>
      <c r="F49" s="135">
        <f t="shared" si="1"/>
        <v>1854.52</v>
      </c>
      <c r="G49" s="152" t="s">
        <v>1491</v>
      </c>
      <c r="H49" s="55" t="s">
        <v>1492</v>
      </c>
    </row>
    <row r="50">
      <c r="A50" s="152" t="s">
        <v>1493</v>
      </c>
      <c r="B50" s="135"/>
      <c r="C50" s="152">
        <v>2249.0</v>
      </c>
      <c r="D50" s="135"/>
      <c r="E50" s="152">
        <v>500.0</v>
      </c>
      <c r="F50" s="135">
        <f t="shared" si="1"/>
        <v>1354.52</v>
      </c>
      <c r="G50" s="135"/>
    </row>
    <row r="51">
      <c r="A51" s="156">
        <v>45726.0</v>
      </c>
      <c r="B51" s="152" t="s">
        <v>1436</v>
      </c>
      <c r="C51" s="152" t="s">
        <v>1494</v>
      </c>
      <c r="D51" s="152">
        <v>230.19</v>
      </c>
      <c r="E51" s="135"/>
      <c r="F51" s="135">
        <f t="shared" si="1"/>
        <v>1584.71</v>
      </c>
      <c r="G51" s="152" t="s">
        <v>1495</v>
      </c>
      <c r="H51" s="55" t="s">
        <v>1496</v>
      </c>
    </row>
    <row r="52">
      <c r="A52" s="135"/>
      <c r="B52" s="152" t="s">
        <v>1481</v>
      </c>
      <c r="C52" s="152" t="s">
        <v>1497</v>
      </c>
      <c r="D52" s="152">
        <v>68.6</v>
      </c>
      <c r="E52" s="135"/>
      <c r="F52" s="135">
        <f t="shared" si="1"/>
        <v>1653.31</v>
      </c>
      <c r="G52" s="152" t="s">
        <v>1498</v>
      </c>
    </row>
    <row r="53">
      <c r="A53" s="152" t="s">
        <v>1499</v>
      </c>
      <c r="B53" s="152" t="s">
        <v>1481</v>
      </c>
      <c r="C53" s="152" t="s">
        <v>1500</v>
      </c>
      <c r="D53" s="152">
        <v>94.01</v>
      </c>
      <c r="E53" s="135"/>
      <c r="F53" s="135">
        <f t="shared" si="1"/>
        <v>1747.32</v>
      </c>
      <c r="G53" s="152" t="s">
        <v>1501</v>
      </c>
      <c r="H53" s="55" t="s">
        <v>1502</v>
      </c>
    </row>
    <row r="54">
      <c r="A54" s="135"/>
      <c r="B54" s="152" t="s">
        <v>1481</v>
      </c>
      <c r="C54" s="152" t="s">
        <v>1503</v>
      </c>
      <c r="D54" s="152">
        <v>43.44</v>
      </c>
      <c r="E54" s="135"/>
      <c r="F54" s="135">
        <f t="shared" si="1"/>
        <v>1790.76</v>
      </c>
      <c r="G54" s="152" t="s">
        <v>1504</v>
      </c>
    </row>
    <row r="55">
      <c r="A55" s="135"/>
      <c r="B55" s="152" t="s">
        <v>1505</v>
      </c>
      <c r="C55" s="135"/>
      <c r="D55" s="135"/>
      <c r="E55" s="152">
        <v>1800.0</v>
      </c>
      <c r="F55" s="135">
        <f t="shared" si="1"/>
        <v>-9.24</v>
      </c>
      <c r="G55" s="152" t="s">
        <v>1506</v>
      </c>
    </row>
    <row r="56">
      <c r="A56" s="137">
        <v>45940.0</v>
      </c>
      <c r="B56" s="152" t="s">
        <v>1507</v>
      </c>
      <c r="C56" s="152" t="s">
        <v>1508</v>
      </c>
      <c r="D56" s="152">
        <v>2058.0</v>
      </c>
      <c r="E56" s="135"/>
      <c r="F56" s="135">
        <f t="shared" si="1"/>
        <v>2048.76</v>
      </c>
      <c r="G56" s="152" t="s">
        <v>1507</v>
      </c>
    </row>
    <row r="57">
      <c r="A57" s="135"/>
      <c r="B57" s="152" t="s">
        <v>1436</v>
      </c>
      <c r="C57" s="152" t="s">
        <v>1509</v>
      </c>
      <c r="D57" s="152">
        <v>52.97</v>
      </c>
      <c r="E57" s="135"/>
      <c r="F57" s="135">
        <f t="shared" si="1"/>
        <v>2101.73</v>
      </c>
      <c r="G57" s="152" t="s">
        <v>1510</v>
      </c>
    </row>
    <row r="58">
      <c r="A58" s="135"/>
      <c r="B58" s="152" t="s">
        <v>1457</v>
      </c>
      <c r="C58" s="152">
        <v>3401.0</v>
      </c>
      <c r="D58" s="135"/>
      <c r="E58" s="152">
        <v>1700.0</v>
      </c>
      <c r="F58" s="135">
        <f t="shared" si="1"/>
        <v>401.73</v>
      </c>
      <c r="G58" s="152" t="s">
        <v>1511</v>
      </c>
    </row>
    <row r="59">
      <c r="A59" s="135"/>
      <c r="B59" s="135"/>
      <c r="C59" s="152" t="s">
        <v>1512</v>
      </c>
      <c r="D59" s="152">
        <v>21.97</v>
      </c>
      <c r="E59" s="135"/>
      <c r="F59" s="135">
        <f t="shared" si="1"/>
        <v>423.7</v>
      </c>
      <c r="G59" s="152" t="s">
        <v>1513</v>
      </c>
    </row>
    <row r="60">
      <c r="A60" s="135"/>
      <c r="B60" s="152" t="s">
        <v>1428</v>
      </c>
      <c r="C60" s="152" t="s">
        <v>1514</v>
      </c>
      <c r="D60" s="152">
        <v>281.12</v>
      </c>
      <c r="E60" s="135"/>
      <c r="F60" s="135">
        <f t="shared" si="1"/>
        <v>704.82</v>
      </c>
      <c r="G60" s="152" t="s">
        <v>1515</v>
      </c>
    </row>
    <row r="61">
      <c r="A61" s="135"/>
      <c r="B61" s="152" t="s">
        <v>1428</v>
      </c>
      <c r="C61" s="152" t="s">
        <v>1516</v>
      </c>
      <c r="D61" s="152">
        <v>138.06</v>
      </c>
      <c r="E61" s="135"/>
      <c r="F61" s="135">
        <f t="shared" si="1"/>
        <v>842.88</v>
      </c>
      <c r="G61" s="152" t="s">
        <v>1517</v>
      </c>
    </row>
    <row r="62">
      <c r="A62" s="152" t="s">
        <v>1518</v>
      </c>
      <c r="B62" s="152" t="s">
        <v>1519</v>
      </c>
      <c r="C62" s="152" t="s">
        <v>1520</v>
      </c>
      <c r="D62" s="152">
        <v>102.89</v>
      </c>
      <c r="E62" s="135"/>
      <c r="F62" s="135">
        <f t="shared" si="1"/>
        <v>945.77</v>
      </c>
      <c r="G62" s="152" t="s">
        <v>1521</v>
      </c>
    </row>
    <row r="63">
      <c r="A63" s="135"/>
      <c r="B63" s="152" t="s">
        <v>1428</v>
      </c>
      <c r="C63" s="152" t="s">
        <v>1522</v>
      </c>
      <c r="D63" s="152">
        <v>176.92</v>
      </c>
      <c r="E63" s="135"/>
      <c r="F63" s="135">
        <f t="shared" si="1"/>
        <v>1122.69</v>
      </c>
      <c r="G63" s="152" t="s">
        <v>1523</v>
      </c>
    </row>
    <row r="64">
      <c r="A64" s="152" t="s">
        <v>1524</v>
      </c>
      <c r="B64" s="135"/>
      <c r="C64" s="135"/>
      <c r="D64" s="135"/>
      <c r="E64" s="152">
        <v>600.0</v>
      </c>
      <c r="F64" s="135">
        <f t="shared" si="1"/>
        <v>522.69</v>
      </c>
      <c r="G64" s="152" t="s">
        <v>1197</v>
      </c>
    </row>
    <row r="65">
      <c r="A65" s="135"/>
      <c r="B65" s="135"/>
      <c r="C65" s="152" t="s">
        <v>1525</v>
      </c>
      <c r="D65" s="152">
        <v>334.56</v>
      </c>
      <c r="E65" s="135"/>
      <c r="F65" s="135">
        <f t="shared" si="1"/>
        <v>857.25</v>
      </c>
      <c r="G65" s="152" t="s">
        <v>1526</v>
      </c>
    </row>
    <row r="66">
      <c r="A66" s="137">
        <v>45941.0</v>
      </c>
      <c r="B66" s="135"/>
      <c r="C66" s="152" t="s">
        <v>1527</v>
      </c>
      <c r="D66" s="152">
        <v>122.74</v>
      </c>
      <c r="E66" s="135"/>
      <c r="F66" s="135">
        <f t="shared" si="1"/>
        <v>979.99</v>
      </c>
      <c r="G66" s="152" t="s">
        <v>1528</v>
      </c>
    </row>
    <row r="67">
      <c r="A67" s="137">
        <v>45972.0</v>
      </c>
      <c r="B67" s="152" t="s">
        <v>1460</v>
      </c>
      <c r="C67" s="135"/>
      <c r="D67" s="135"/>
      <c r="E67" s="152">
        <v>300.0</v>
      </c>
      <c r="F67" s="135">
        <f t="shared" si="1"/>
        <v>679.99</v>
      </c>
      <c r="G67" s="152" t="s">
        <v>1505</v>
      </c>
    </row>
    <row r="68">
      <c r="A68" s="152" t="s">
        <v>1529</v>
      </c>
      <c r="B68" s="152" t="s">
        <v>1460</v>
      </c>
      <c r="C68" s="135"/>
      <c r="D68" s="135"/>
      <c r="E68" s="152">
        <v>700.0</v>
      </c>
      <c r="F68" s="135">
        <f t="shared" si="1"/>
        <v>-20.01</v>
      </c>
      <c r="G68" s="152" t="s">
        <v>1530</v>
      </c>
    </row>
    <row r="69">
      <c r="A69" s="152" t="s">
        <v>1531</v>
      </c>
      <c r="B69" s="135"/>
      <c r="C69" s="152" t="s">
        <v>1532</v>
      </c>
      <c r="D69" s="152">
        <v>91.0</v>
      </c>
      <c r="E69" s="135"/>
      <c r="F69" s="135">
        <f t="shared" si="1"/>
        <v>70.99</v>
      </c>
      <c r="G69" s="152" t="s">
        <v>1533</v>
      </c>
    </row>
    <row r="70">
      <c r="A70" s="152" t="s">
        <v>1531</v>
      </c>
      <c r="B70" s="135"/>
      <c r="C70" s="152" t="s">
        <v>1534</v>
      </c>
      <c r="D70" s="152">
        <v>1911.0</v>
      </c>
      <c r="E70" s="135"/>
      <c r="F70" s="135">
        <f t="shared" si="1"/>
        <v>1981.99</v>
      </c>
      <c r="G70" s="152" t="s">
        <v>1535</v>
      </c>
    </row>
    <row r="71">
      <c r="A71" s="152" t="s">
        <v>1536</v>
      </c>
      <c r="B71" s="135"/>
      <c r="C71" s="152" t="s">
        <v>1537</v>
      </c>
      <c r="D71" s="152">
        <v>43.1</v>
      </c>
      <c r="E71" s="135"/>
      <c r="F71" s="135">
        <f t="shared" si="1"/>
        <v>2025.09</v>
      </c>
      <c r="G71" s="152" t="s">
        <v>1538</v>
      </c>
    </row>
    <row r="72">
      <c r="A72" s="135"/>
      <c r="B72" s="135"/>
      <c r="C72" s="135"/>
      <c r="D72" s="135"/>
      <c r="E72" s="135"/>
      <c r="F72" s="135">
        <f t="shared" si="1"/>
        <v>2025.09</v>
      </c>
      <c r="G72" s="152" t="s">
        <v>1539</v>
      </c>
    </row>
    <row r="73">
      <c r="A73" s="135"/>
      <c r="B73" s="135"/>
      <c r="C73" s="135"/>
      <c r="D73" s="135"/>
      <c r="E73" s="135"/>
      <c r="F73" s="135">
        <f t="shared" si="1"/>
        <v>2025.09</v>
      </c>
      <c r="G73" s="152" t="s">
        <v>1540</v>
      </c>
    </row>
    <row r="74">
      <c r="A74" s="135"/>
      <c r="B74" s="135"/>
      <c r="C74" s="135"/>
      <c r="D74" s="135"/>
      <c r="E74" s="135"/>
      <c r="F74" s="135">
        <f t="shared" si="1"/>
        <v>2025.09</v>
      </c>
      <c r="G74" s="135"/>
    </row>
    <row r="75">
      <c r="A75" s="135"/>
      <c r="B75" s="135"/>
      <c r="C75" s="135"/>
      <c r="D75" s="135"/>
      <c r="E75" s="135"/>
      <c r="F75" s="135">
        <f t="shared" si="1"/>
        <v>2025.09</v>
      </c>
      <c r="G75" s="135"/>
    </row>
    <row r="76">
      <c r="A76" s="135"/>
      <c r="B76" s="135"/>
      <c r="C76" s="135"/>
      <c r="D76" s="135"/>
      <c r="E76" s="135"/>
      <c r="F76" s="135">
        <f t="shared" si="1"/>
        <v>2025.09</v>
      </c>
      <c r="G76" s="135"/>
    </row>
    <row r="77">
      <c r="A77" s="135"/>
      <c r="B77" s="135"/>
      <c r="C77" s="135"/>
      <c r="D77" s="135"/>
      <c r="E77" s="135"/>
      <c r="F77" s="135">
        <f t="shared" si="1"/>
        <v>2025.09</v>
      </c>
      <c r="G77" s="135"/>
    </row>
    <row r="78">
      <c r="A78" s="135"/>
      <c r="B78" s="135"/>
      <c r="C78" s="135"/>
      <c r="D78" s="135"/>
      <c r="E78" s="135"/>
      <c r="F78" s="135">
        <f t="shared" si="1"/>
        <v>2025.09</v>
      </c>
      <c r="G78" s="135"/>
    </row>
    <row r="79">
      <c r="A79" s="135"/>
      <c r="B79" s="135"/>
      <c r="C79" s="135"/>
      <c r="D79" s="135"/>
      <c r="E79" s="135"/>
      <c r="F79" s="135">
        <f t="shared" si="1"/>
        <v>2025.09</v>
      </c>
      <c r="G79" s="135"/>
    </row>
    <row r="80">
      <c r="A80" s="135"/>
      <c r="B80" s="135"/>
      <c r="C80" s="135"/>
      <c r="D80" s="135"/>
      <c r="E80" s="135"/>
      <c r="F80" s="135">
        <f t="shared" si="1"/>
        <v>2025.09</v>
      </c>
      <c r="G80" s="135"/>
    </row>
    <row r="81">
      <c r="A81" s="135"/>
      <c r="B81" s="135"/>
      <c r="C81" s="135"/>
      <c r="D81" s="135"/>
      <c r="E81" s="135"/>
      <c r="F81" s="135">
        <f t="shared" si="1"/>
        <v>2025.09</v>
      </c>
      <c r="G81" s="135"/>
    </row>
    <row r="82">
      <c r="A82" s="135"/>
      <c r="B82" s="135"/>
      <c r="C82" s="135"/>
      <c r="D82" s="135"/>
      <c r="E82" s="135"/>
      <c r="F82" s="135"/>
      <c r="G82" s="135"/>
    </row>
    <row r="83">
      <c r="A83" s="135"/>
      <c r="B83" s="135"/>
      <c r="C83" s="135"/>
      <c r="D83" s="135"/>
      <c r="E83" s="135"/>
      <c r="F83" s="135"/>
      <c r="G83" s="135"/>
    </row>
    <row r="84">
      <c r="A84" s="135"/>
      <c r="B84" s="135"/>
      <c r="C84" s="135"/>
      <c r="D84" s="135"/>
      <c r="E84" s="135"/>
      <c r="F84" s="135"/>
      <c r="G84" s="135"/>
    </row>
    <row r="85">
      <c r="A85" s="135"/>
      <c r="B85" s="135"/>
      <c r="C85" s="135"/>
      <c r="D85" s="135"/>
      <c r="E85" s="135"/>
      <c r="F85" s="135"/>
      <c r="G85" s="135"/>
    </row>
    <row r="86">
      <c r="A86" s="135"/>
      <c r="B86" s="135"/>
      <c r="C86" s="135"/>
      <c r="D86" s="135"/>
      <c r="E86" s="135"/>
      <c r="F86" s="135"/>
      <c r="G86" s="135"/>
    </row>
    <row r="87">
      <c r="A87" s="135"/>
      <c r="B87" s="135"/>
      <c r="C87" s="135"/>
      <c r="D87" s="135"/>
      <c r="E87" s="135"/>
      <c r="F87" s="135"/>
      <c r="G87" s="135"/>
    </row>
    <row r="88">
      <c r="A88" s="135"/>
      <c r="B88" s="135"/>
      <c r="C88" s="135"/>
      <c r="D88" s="135"/>
      <c r="E88" s="135"/>
      <c r="F88" s="135"/>
      <c r="G88" s="135"/>
    </row>
    <row r="89">
      <c r="A89" s="135"/>
      <c r="B89" s="135"/>
      <c r="C89" s="135"/>
      <c r="D89" s="135"/>
      <c r="E89" s="135"/>
      <c r="F89" s="135"/>
      <c r="G89" s="135"/>
    </row>
    <row r="90">
      <c r="A90" s="135"/>
      <c r="B90" s="135"/>
      <c r="C90" s="135"/>
      <c r="D90" s="135"/>
      <c r="E90" s="135"/>
      <c r="F90" s="135"/>
      <c r="G90" s="135"/>
    </row>
    <row r="91">
      <c r="A91" s="135"/>
      <c r="B91" s="135"/>
      <c r="C91" s="135"/>
      <c r="D91" s="135"/>
      <c r="E91" s="135"/>
      <c r="F91" s="135"/>
      <c r="G91" s="135"/>
    </row>
    <row r="92">
      <c r="A92" s="135"/>
      <c r="B92" s="135"/>
      <c r="C92" s="135"/>
      <c r="D92" s="135"/>
      <c r="E92" s="135"/>
      <c r="F92" s="135"/>
      <c r="G92" s="135"/>
    </row>
    <row r="93">
      <c r="A93" s="135"/>
      <c r="B93" s="135"/>
      <c r="C93" s="135"/>
      <c r="D93" s="135"/>
      <c r="E93" s="135"/>
      <c r="F93" s="135"/>
      <c r="G93" s="135"/>
    </row>
    <row r="94">
      <c r="A94" s="135"/>
      <c r="B94" s="135"/>
      <c r="C94" s="135"/>
      <c r="D94" s="135"/>
      <c r="E94" s="135"/>
      <c r="F94" s="135"/>
      <c r="G94" s="135"/>
    </row>
    <row r="95">
      <c r="A95" s="135"/>
      <c r="B95" s="135"/>
      <c r="C95" s="135"/>
      <c r="D95" s="135"/>
      <c r="E95" s="135"/>
      <c r="F95" s="135"/>
      <c r="G95" s="135"/>
    </row>
    <row r="96">
      <c r="A96" s="135"/>
      <c r="B96" s="135"/>
      <c r="C96" s="135"/>
      <c r="D96" s="135"/>
      <c r="E96" s="135"/>
      <c r="F96" s="135"/>
      <c r="G96" s="135"/>
    </row>
    <row r="97">
      <c r="A97" s="135"/>
      <c r="B97" s="135"/>
      <c r="C97" s="135"/>
      <c r="D97" s="135"/>
      <c r="E97" s="135"/>
      <c r="F97" s="135"/>
      <c r="G97" s="135"/>
    </row>
    <row r="98">
      <c r="A98" s="135"/>
      <c r="B98" s="135"/>
      <c r="C98" s="135"/>
      <c r="D98" s="135"/>
      <c r="E98" s="135"/>
      <c r="F98" s="135"/>
      <c r="G98" s="135"/>
    </row>
    <row r="99">
      <c r="A99" s="135"/>
      <c r="B99" s="135"/>
      <c r="C99" s="135"/>
      <c r="D99" s="135"/>
      <c r="E99" s="135"/>
      <c r="F99" s="135"/>
      <c r="G99" s="135"/>
    </row>
    <row r="100">
      <c r="A100" s="135"/>
      <c r="B100" s="135"/>
      <c r="C100" s="135"/>
      <c r="D100" s="135"/>
      <c r="E100" s="135"/>
      <c r="F100" s="135"/>
      <c r="G100" s="135"/>
    </row>
    <row r="101">
      <c r="A101" s="135"/>
      <c r="B101" s="135"/>
      <c r="C101" s="135"/>
      <c r="D101" s="135"/>
      <c r="E101" s="135"/>
      <c r="F101" s="135"/>
      <c r="G101" s="135"/>
    </row>
    <row r="102">
      <c r="A102" s="135"/>
      <c r="B102" s="135"/>
      <c r="C102" s="135"/>
      <c r="D102" s="135"/>
      <c r="E102" s="135"/>
      <c r="F102" s="135"/>
      <c r="G102" s="135"/>
    </row>
    <row r="103">
      <c r="A103" s="135"/>
      <c r="B103" s="135"/>
      <c r="C103" s="135"/>
      <c r="D103" s="135"/>
      <c r="E103" s="135"/>
      <c r="F103" s="135"/>
      <c r="G103" s="135"/>
    </row>
    <row r="104">
      <c r="A104" s="135"/>
      <c r="B104" s="135"/>
      <c r="C104" s="135"/>
      <c r="D104" s="135"/>
      <c r="E104" s="135"/>
      <c r="F104" s="135"/>
      <c r="G104" s="135"/>
    </row>
    <row r="105">
      <c r="A105" s="135"/>
      <c r="B105" s="135"/>
      <c r="C105" s="135"/>
      <c r="D105" s="135"/>
      <c r="E105" s="135"/>
      <c r="F105" s="135"/>
      <c r="G105" s="135"/>
    </row>
    <row r="106">
      <c r="A106" s="135"/>
      <c r="B106" s="135"/>
      <c r="C106" s="135"/>
      <c r="D106" s="135"/>
      <c r="E106" s="135"/>
      <c r="F106" s="135"/>
      <c r="G106" s="135"/>
    </row>
    <row r="107">
      <c r="A107" s="135"/>
      <c r="B107" s="135"/>
      <c r="C107" s="135"/>
      <c r="D107" s="135"/>
      <c r="E107" s="135"/>
      <c r="F107" s="135"/>
      <c r="G107" s="135"/>
    </row>
    <row r="108">
      <c r="A108" s="135"/>
      <c r="B108" s="135"/>
      <c r="C108" s="135"/>
      <c r="D108" s="135"/>
      <c r="E108" s="135"/>
      <c r="F108" s="135"/>
      <c r="G108" s="135"/>
    </row>
    <row r="109">
      <c r="A109" s="135"/>
      <c r="B109" s="135"/>
      <c r="C109" s="135"/>
      <c r="D109" s="135"/>
      <c r="E109" s="135"/>
      <c r="F109" s="135"/>
      <c r="G109" s="135"/>
    </row>
    <row r="110">
      <c r="A110" s="135"/>
      <c r="B110" s="135"/>
      <c r="C110" s="135"/>
      <c r="D110" s="135"/>
      <c r="E110" s="135"/>
      <c r="F110" s="135"/>
      <c r="G110" s="135"/>
    </row>
    <row r="111">
      <c r="A111" s="135"/>
      <c r="B111" s="135"/>
      <c r="C111" s="135"/>
      <c r="D111" s="135"/>
      <c r="E111" s="135"/>
      <c r="F111" s="135"/>
      <c r="G111" s="135"/>
    </row>
    <row r="112">
      <c r="A112" s="135"/>
      <c r="B112" s="135"/>
      <c r="C112" s="135"/>
      <c r="D112" s="135"/>
      <c r="E112" s="135"/>
      <c r="F112" s="135"/>
      <c r="G112" s="135"/>
    </row>
    <row r="113">
      <c r="A113" s="135"/>
      <c r="B113" s="135"/>
      <c r="C113" s="135"/>
      <c r="D113" s="135"/>
      <c r="E113" s="135"/>
      <c r="F113" s="135"/>
      <c r="G113" s="135"/>
    </row>
    <row r="114">
      <c r="A114" s="135"/>
      <c r="B114" s="135"/>
      <c r="C114" s="135"/>
      <c r="D114" s="135"/>
      <c r="E114" s="135"/>
      <c r="F114" s="135"/>
      <c r="G114" s="135"/>
    </row>
    <row r="115">
      <c r="A115" s="135"/>
      <c r="B115" s="135"/>
      <c r="C115" s="135"/>
      <c r="D115" s="135"/>
      <c r="E115" s="135"/>
      <c r="F115" s="135"/>
      <c r="G115" s="135"/>
    </row>
    <row r="116">
      <c r="A116" s="135"/>
      <c r="B116" s="135"/>
      <c r="C116" s="135"/>
      <c r="D116" s="135"/>
      <c r="E116" s="135"/>
      <c r="F116" s="135"/>
      <c r="G116" s="135"/>
    </row>
    <row r="117">
      <c r="A117" s="135"/>
      <c r="B117" s="135"/>
      <c r="C117" s="135"/>
      <c r="D117" s="135"/>
      <c r="E117" s="135"/>
      <c r="F117" s="135"/>
      <c r="G117" s="135"/>
    </row>
    <row r="118">
      <c r="A118" s="135"/>
      <c r="B118" s="135"/>
      <c r="C118" s="135"/>
      <c r="D118" s="135"/>
      <c r="E118" s="135"/>
      <c r="F118" s="135"/>
      <c r="G118" s="135"/>
    </row>
    <row r="119">
      <c r="A119" s="135"/>
      <c r="B119" s="135"/>
      <c r="C119" s="135"/>
      <c r="D119" s="135"/>
      <c r="E119" s="135"/>
      <c r="F119" s="135"/>
      <c r="G119" s="135"/>
    </row>
    <row r="120">
      <c r="A120" s="135"/>
      <c r="B120" s="135"/>
      <c r="C120" s="135"/>
      <c r="D120" s="135"/>
      <c r="E120" s="135"/>
      <c r="F120" s="135"/>
      <c r="G120" s="135"/>
    </row>
    <row r="121">
      <c r="A121" s="135"/>
      <c r="B121" s="135"/>
      <c r="C121" s="135"/>
      <c r="D121" s="135"/>
      <c r="E121" s="135"/>
      <c r="F121" s="135"/>
      <c r="G121" s="135"/>
    </row>
    <row r="122">
      <c r="A122" s="135"/>
      <c r="B122" s="135"/>
      <c r="C122" s="135"/>
      <c r="D122" s="135"/>
      <c r="E122" s="135"/>
      <c r="F122" s="135"/>
      <c r="G122" s="135"/>
    </row>
    <row r="123">
      <c r="A123" s="135"/>
      <c r="B123" s="135"/>
      <c r="C123" s="135"/>
      <c r="D123" s="135"/>
      <c r="E123" s="135"/>
      <c r="F123" s="135"/>
      <c r="G123" s="135"/>
    </row>
    <row r="124">
      <c r="A124" s="135"/>
      <c r="B124" s="135"/>
      <c r="C124" s="135"/>
      <c r="D124" s="135"/>
      <c r="E124" s="135"/>
      <c r="F124" s="135"/>
      <c r="G124" s="135"/>
    </row>
    <row r="125">
      <c r="A125" s="135"/>
      <c r="B125" s="135"/>
      <c r="C125" s="135"/>
      <c r="D125" s="135"/>
      <c r="E125" s="135"/>
      <c r="F125" s="135"/>
      <c r="G125" s="135"/>
    </row>
    <row r="126">
      <c r="A126" s="135"/>
      <c r="B126" s="135"/>
      <c r="C126" s="135"/>
      <c r="D126" s="135"/>
      <c r="E126" s="135"/>
      <c r="F126" s="135"/>
      <c r="G126" s="135"/>
    </row>
    <row r="127">
      <c r="A127" s="135"/>
      <c r="B127" s="135"/>
      <c r="C127" s="135"/>
      <c r="D127" s="135"/>
      <c r="E127" s="135"/>
      <c r="F127" s="135"/>
      <c r="G127" s="135"/>
    </row>
    <row r="128">
      <c r="A128" s="135"/>
      <c r="B128" s="135"/>
      <c r="C128" s="135"/>
      <c r="D128" s="135"/>
      <c r="E128" s="135"/>
      <c r="F128" s="135"/>
      <c r="G128" s="135"/>
    </row>
    <row r="129">
      <c r="A129" s="135"/>
      <c r="B129" s="135"/>
      <c r="C129" s="135"/>
      <c r="D129" s="135"/>
      <c r="E129" s="135"/>
      <c r="F129" s="135"/>
      <c r="G129" s="135"/>
    </row>
    <row r="130">
      <c r="A130" s="135"/>
      <c r="B130" s="135"/>
      <c r="C130" s="135"/>
      <c r="D130" s="135"/>
      <c r="E130" s="135"/>
      <c r="F130" s="135"/>
      <c r="G130" s="135"/>
    </row>
    <row r="131">
      <c r="A131" s="135"/>
      <c r="B131" s="135"/>
      <c r="C131" s="135"/>
      <c r="D131" s="135"/>
      <c r="E131" s="135"/>
      <c r="F131" s="135"/>
      <c r="G131" s="135"/>
    </row>
    <row r="132">
      <c r="A132" s="135"/>
      <c r="B132" s="135"/>
      <c r="C132" s="135"/>
      <c r="D132" s="135"/>
      <c r="E132" s="135"/>
      <c r="F132" s="135"/>
      <c r="G132" s="135"/>
    </row>
    <row r="133">
      <c r="A133" s="135"/>
      <c r="B133" s="135"/>
      <c r="C133" s="135"/>
      <c r="D133" s="135"/>
      <c r="E133" s="135"/>
      <c r="F133" s="135"/>
      <c r="G133" s="135"/>
    </row>
    <row r="134">
      <c r="A134" s="135"/>
      <c r="B134" s="135"/>
      <c r="C134" s="135"/>
      <c r="D134" s="135"/>
      <c r="E134" s="135"/>
      <c r="F134" s="135"/>
      <c r="G134" s="135"/>
    </row>
    <row r="135">
      <c r="A135" s="135"/>
      <c r="B135" s="135"/>
      <c r="C135" s="135"/>
      <c r="D135" s="135"/>
      <c r="E135" s="135"/>
      <c r="F135" s="135"/>
      <c r="G135" s="135"/>
    </row>
    <row r="136">
      <c r="A136" s="135"/>
      <c r="B136" s="135"/>
      <c r="C136" s="135"/>
      <c r="D136" s="135"/>
      <c r="E136" s="135"/>
      <c r="F136" s="135"/>
      <c r="G136" s="135"/>
    </row>
    <row r="137">
      <c r="A137" s="135"/>
      <c r="B137" s="135"/>
      <c r="C137" s="135"/>
      <c r="D137" s="135"/>
      <c r="E137" s="135"/>
      <c r="F137" s="135"/>
      <c r="G137" s="135"/>
    </row>
    <row r="138">
      <c r="A138" s="135"/>
      <c r="B138" s="135"/>
      <c r="C138" s="135"/>
      <c r="D138" s="135"/>
      <c r="E138" s="135"/>
      <c r="F138" s="135"/>
      <c r="G138" s="135"/>
    </row>
    <row r="139">
      <c r="A139" s="135"/>
      <c r="B139" s="135"/>
      <c r="C139" s="135"/>
      <c r="D139" s="135"/>
      <c r="E139" s="135"/>
      <c r="F139" s="135"/>
      <c r="G139" s="135"/>
    </row>
    <row r="140">
      <c r="A140" s="135"/>
      <c r="B140" s="135"/>
      <c r="C140" s="135"/>
      <c r="D140" s="135"/>
      <c r="E140" s="135"/>
      <c r="F140" s="135"/>
      <c r="G140" s="135"/>
    </row>
    <row r="141">
      <c r="A141" s="135"/>
      <c r="B141" s="135"/>
      <c r="C141" s="135"/>
      <c r="D141" s="135"/>
      <c r="E141" s="135"/>
      <c r="F141" s="135"/>
      <c r="G141" s="135"/>
    </row>
    <row r="142">
      <c r="A142" s="135"/>
      <c r="B142" s="135"/>
      <c r="C142" s="135"/>
      <c r="D142" s="135"/>
      <c r="E142" s="135"/>
      <c r="F142" s="135"/>
      <c r="G142" s="135"/>
    </row>
    <row r="143">
      <c r="A143" s="135"/>
      <c r="B143" s="135"/>
      <c r="C143" s="135"/>
      <c r="D143" s="135"/>
      <c r="E143" s="135"/>
      <c r="F143" s="135"/>
      <c r="G143" s="135"/>
    </row>
    <row r="144">
      <c r="A144" s="135"/>
      <c r="B144" s="135"/>
      <c r="C144" s="135"/>
      <c r="D144" s="135"/>
      <c r="E144" s="135"/>
      <c r="F144" s="135"/>
      <c r="G144" s="135"/>
    </row>
    <row r="145">
      <c r="A145" s="135"/>
      <c r="B145" s="135"/>
      <c r="C145" s="135"/>
      <c r="D145" s="135"/>
      <c r="E145" s="135"/>
      <c r="F145" s="135"/>
      <c r="G145" s="135"/>
    </row>
    <row r="146">
      <c r="A146" s="135"/>
      <c r="B146" s="135"/>
      <c r="C146" s="135"/>
      <c r="D146" s="135"/>
      <c r="E146" s="135"/>
      <c r="F146" s="135"/>
      <c r="G146" s="135"/>
    </row>
    <row r="147">
      <c r="A147" s="135"/>
      <c r="B147" s="135"/>
      <c r="C147" s="135"/>
      <c r="D147" s="135"/>
      <c r="E147" s="135"/>
      <c r="F147" s="135"/>
      <c r="G147" s="135"/>
    </row>
    <row r="148">
      <c r="A148" s="135"/>
      <c r="B148" s="135"/>
      <c r="C148" s="135"/>
      <c r="D148" s="135"/>
      <c r="E148" s="135"/>
      <c r="F148" s="135"/>
      <c r="G148" s="135"/>
    </row>
    <row r="149">
      <c r="A149" s="135"/>
      <c r="B149" s="135"/>
      <c r="C149" s="135"/>
      <c r="D149" s="135"/>
      <c r="E149" s="135"/>
      <c r="F149" s="135"/>
      <c r="G149" s="135"/>
    </row>
    <row r="150">
      <c r="A150" s="135"/>
      <c r="B150" s="135"/>
      <c r="C150" s="135"/>
      <c r="D150" s="135"/>
      <c r="E150" s="135"/>
      <c r="F150" s="135"/>
      <c r="G150" s="135"/>
    </row>
    <row r="151">
      <c r="A151" s="135"/>
      <c r="B151" s="135"/>
      <c r="C151" s="135"/>
      <c r="D151" s="135"/>
      <c r="E151" s="135"/>
      <c r="F151" s="135"/>
      <c r="G151" s="135"/>
    </row>
    <row r="152">
      <c r="A152" s="135"/>
      <c r="B152" s="135"/>
      <c r="C152" s="135"/>
      <c r="D152" s="135"/>
      <c r="E152" s="135"/>
      <c r="F152" s="135"/>
      <c r="G152" s="135"/>
    </row>
    <row r="153">
      <c r="A153" s="135"/>
      <c r="B153" s="135"/>
      <c r="C153" s="135"/>
      <c r="D153" s="135"/>
      <c r="E153" s="135"/>
      <c r="F153" s="135"/>
      <c r="G153" s="135"/>
    </row>
    <row r="154">
      <c r="A154" s="135"/>
      <c r="B154" s="135"/>
      <c r="C154" s="135"/>
      <c r="D154" s="135"/>
      <c r="E154" s="135"/>
      <c r="F154" s="135"/>
      <c r="G154" s="135"/>
    </row>
    <row r="155">
      <c r="A155" s="135"/>
      <c r="B155" s="135"/>
      <c r="C155" s="135"/>
      <c r="D155" s="135"/>
      <c r="E155" s="135"/>
      <c r="F155" s="135"/>
      <c r="G155" s="135"/>
    </row>
    <row r="156">
      <c r="A156" s="135"/>
      <c r="B156" s="135"/>
      <c r="C156" s="135"/>
      <c r="D156" s="135"/>
      <c r="E156" s="135"/>
      <c r="F156" s="135"/>
      <c r="G156" s="135"/>
    </row>
    <row r="157">
      <c r="A157" s="135"/>
      <c r="B157" s="135"/>
      <c r="C157" s="135"/>
      <c r="D157" s="135"/>
      <c r="E157" s="135"/>
      <c r="F157" s="135"/>
      <c r="G157" s="135"/>
    </row>
    <row r="158">
      <c r="A158" s="135"/>
      <c r="B158" s="135"/>
      <c r="C158" s="135"/>
      <c r="D158" s="135"/>
      <c r="E158" s="135"/>
      <c r="F158" s="135"/>
      <c r="G158" s="135"/>
    </row>
    <row r="159">
      <c r="A159" s="135"/>
      <c r="B159" s="135"/>
      <c r="C159" s="135"/>
      <c r="D159" s="135"/>
      <c r="E159" s="135"/>
      <c r="F159" s="135"/>
      <c r="G159" s="135"/>
    </row>
    <row r="160">
      <c r="A160" s="135"/>
      <c r="B160" s="135"/>
      <c r="C160" s="135"/>
      <c r="D160" s="135"/>
      <c r="E160" s="135"/>
      <c r="F160" s="135"/>
      <c r="G160" s="135"/>
    </row>
    <row r="161">
      <c r="A161" s="135"/>
      <c r="B161" s="135"/>
      <c r="C161" s="135"/>
      <c r="D161" s="135"/>
      <c r="E161" s="135"/>
      <c r="F161" s="135"/>
      <c r="G161" s="135"/>
    </row>
    <row r="162">
      <c r="A162" s="135"/>
      <c r="B162" s="135"/>
      <c r="C162" s="135"/>
      <c r="D162" s="135"/>
      <c r="E162" s="135"/>
      <c r="F162" s="135"/>
      <c r="G162" s="135"/>
    </row>
    <row r="163">
      <c r="A163" s="135"/>
      <c r="B163" s="135"/>
      <c r="C163" s="135"/>
      <c r="D163" s="135"/>
      <c r="E163" s="135"/>
      <c r="F163" s="135"/>
      <c r="G163" s="135"/>
    </row>
    <row r="164">
      <c r="A164" s="135"/>
      <c r="B164" s="135"/>
      <c r="C164" s="135"/>
      <c r="D164" s="135"/>
      <c r="E164" s="135"/>
      <c r="F164" s="135"/>
      <c r="G164" s="135"/>
    </row>
    <row r="165">
      <c r="A165" s="135"/>
      <c r="B165" s="135"/>
      <c r="C165" s="135"/>
      <c r="D165" s="135"/>
      <c r="E165" s="135"/>
      <c r="F165" s="135"/>
      <c r="G165" s="135"/>
    </row>
    <row r="166">
      <c r="A166" s="135"/>
      <c r="B166" s="135"/>
      <c r="C166" s="135"/>
      <c r="D166" s="135"/>
      <c r="E166" s="135"/>
      <c r="F166" s="135"/>
      <c r="G166" s="135"/>
    </row>
    <row r="167">
      <c r="A167" s="135"/>
      <c r="B167" s="135"/>
      <c r="C167" s="135"/>
      <c r="D167" s="135"/>
      <c r="E167" s="135"/>
      <c r="F167" s="135"/>
      <c r="G167" s="135"/>
    </row>
    <row r="168">
      <c r="A168" s="135"/>
      <c r="B168" s="135"/>
      <c r="C168" s="135"/>
      <c r="D168" s="135"/>
      <c r="E168" s="135"/>
      <c r="F168" s="135"/>
      <c r="G168" s="135"/>
    </row>
    <row r="169">
      <c r="A169" s="135"/>
      <c r="B169" s="135"/>
      <c r="C169" s="135"/>
      <c r="D169" s="135"/>
      <c r="E169" s="135"/>
      <c r="F169" s="135"/>
      <c r="G169" s="135"/>
    </row>
    <row r="170">
      <c r="A170" s="135"/>
      <c r="B170" s="135"/>
      <c r="C170" s="135"/>
      <c r="D170" s="135"/>
      <c r="E170" s="135"/>
      <c r="F170" s="135"/>
      <c r="G170" s="135"/>
    </row>
    <row r="171">
      <c r="A171" s="135"/>
      <c r="B171" s="135"/>
      <c r="C171" s="135"/>
      <c r="D171" s="135"/>
      <c r="E171" s="135"/>
      <c r="F171" s="135"/>
      <c r="G171" s="135"/>
    </row>
    <row r="172">
      <c r="A172" s="135"/>
      <c r="B172" s="135"/>
      <c r="C172" s="135"/>
      <c r="D172" s="135"/>
      <c r="E172" s="135"/>
      <c r="F172" s="135"/>
      <c r="G172" s="135"/>
    </row>
    <row r="173">
      <c r="A173" s="135"/>
      <c r="B173" s="135"/>
      <c r="C173" s="135"/>
      <c r="D173" s="135"/>
      <c r="E173" s="135"/>
      <c r="F173" s="135"/>
      <c r="G173" s="135"/>
    </row>
    <row r="174">
      <c r="A174" s="135"/>
      <c r="B174" s="135"/>
      <c r="C174" s="135"/>
      <c r="D174" s="135"/>
      <c r="E174" s="135"/>
      <c r="F174" s="135"/>
      <c r="G174" s="135"/>
    </row>
    <row r="175">
      <c r="A175" s="135"/>
      <c r="B175" s="135"/>
      <c r="C175" s="135"/>
      <c r="D175" s="135"/>
      <c r="E175" s="135"/>
      <c r="F175" s="135"/>
      <c r="G175" s="135"/>
    </row>
    <row r="176">
      <c r="A176" s="135"/>
      <c r="B176" s="135"/>
      <c r="C176" s="135"/>
      <c r="D176" s="135"/>
      <c r="E176" s="135"/>
      <c r="F176" s="135"/>
      <c r="G176" s="135"/>
    </row>
    <row r="177">
      <c r="A177" s="135"/>
      <c r="B177" s="135"/>
      <c r="C177" s="135"/>
      <c r="D177" s="135"/>
      <c r="E177" s="135"/>
      <c r="F177" s="135"/>
      <c r="G177" s="135"/>
    </row>
    <row r="178">
      <c r="A178" s="135"/>
      <c r="B178" s="135"/>
      <c r="C178" s="135"/>
      <c r="D178" s="135"/>
      <c r="E178" s="135"/>
      <c r="F178" s="135"/>
      <c r="G178" s="135"/>
    </row>
    <row r="179">
      <c r="A179" s="135"/>
      <c r="B179" s="135"/>
      <c r="C179" s="135"/>
      <c r="D179" s="135"/>
      <c r="E179" s="135"/>
      <c r="F179" s="135"/>
      <c r="G179" s="135"/>
    </row>
    <row r="180">
      <c r="A180" s="135"/>
      <c r="B180" s="135"/>
      <c r="C180" s="135"/>
      <c r="D180" s="135"/>
      <c r="E180" s="135"/>
      <c r="F180" s="135"/>
      <c r="G180" s="135"/>
    </row>
    <row r="181">
      <c r="A181" s="135"/>
      <c r="B181" s="135"/>
      <c r="C181" s="135"/>
      <c r="D181" s="135"/>
      <c r="E181" s="135"/>
      <c r="F181" s="135"/>
      <c r="G181" s="135"/>
    </row>
    <row r="182">
      <c r="A182" s="135"/>
      <c r="B182" s="135"/>
      <c r="C182" s="135"/>
      <c r="D182" s="135"/>
      <c r="E182" s="135"/>
      <c r="F182" s="135"/>
      <c r="G182" s="135"/>
    </row>
    <row r="183">
      <c r="A183" s="135"/>
      <c r="B183" s="135"/>
      <c r="C183" s="135"/>
      <c r="D183" s="135"/>
      <c r="E183" s="135"/>
      <c r="F183" s="135"/>
      <c r="G183" s="135"/>
    </row>
    <row r="184">
      <c r="A184" s="135"/>
      <c r="B184" s="135"/>
      <c r="C184" s="135"/>
      <c r="D184" s="135"/>
      <c r="E184" s="135"/>
      <c r="F184" s="135"/>
      <c r="G184" s="135"/>
    </row>
    <row r="185">
      <c r="A185" s="135"/>
      <c r="B185" s="135"/>
      <c r="C185" s="135"/>
      <c r="D185" s="135"/>
      <c r="E185" s="135"/>
      <c r="F185" s="135"/>
      <c r="G185" s="135"/>
    </row>
    <row r="186">
      <c r="A186" s="135"/>
      <c r="B186" s="135"/>
      <c r="C186" s="135"/>
      <c r="D186" s="135"/>
      <c r="E186" s="135"/>
      <c r="F186" s="135"/>
      <c r="G186" s="135"/>
    </row>
    <row r="187">
      <c r="A187" s="135"/>
      <c r="B187" s="135"/>
      <c r="C187" s="135"/>
      <c r="D187" s="135"/>
      <c r="E187" s="135"/>
      <c r="F187" s="135"/>
      <c r="G187" s="135"/>
    </row>
    <row r="188">
      <c r="A188" s="135"/>
      <c r="B188" s="135"/>
      <c r="C188" s="135"/>
      <c r="D188" s="135"/>
      <c r="E188" s="135"/>
      <c r="F188" s="135"/>
      <c r="G188" s="135"/>
    </row>
    <row r="189">
      <c r="A189" s="135"/>
      <c r="B189" s="135"/>
      <c r="C189" s="135"/>
      <c r="D189" s="135"/>
      <c r="E189" s="135"/>
      <c r="F189" s="135"/>
      <c r="G189" s="135"/>
    </row>
    <row r="190">
      <c r="A190" s="135"/>
      <c r="B190" s="135"/>
      <c r="C190" s="135"/>
      <c r="D190" s="135"/>
      <c r="E190" s="135"/>
      <c r="F190" s="135"/>
      <c r="G190" s="135"/>
    </row>
    <row r="191">
      <c r="A191" s="135"/>
      <c r="B191" s="135"/>
      <c r="C191" s="135"/>
      <c r="D191" s="135"/>
      <c r="E191" s="135"/>
      <c r="F191" s="135"/>
      <c r="G191" s="135"/>
    </row>
    <row r="192">
      <c r="A192" s="135"/>
      <c r="B192" s="135"/>
      <c r="C192" s="135"/>
      <c r="D192" s="135"/>
      <c r="E192" s="135"/>
      <c r="F192" s="135"/>
      <c r="G192" s="135"/>
    </row>
    <row r="193">
      <c r="A193" s="135"/>
      <c r="B193" s="135"/>
      <c r="C193" s="135"/>
      <c r="D193" s="135"/>
      <c r="E193" s="135"/>
      <c r="F193" s="135"/>
      <c r="G193" s="135"/>
    </row>
    <row r="194">
      <c r="A194" s="135"/>
      <c r="B194" s="135"/>
      <c r="C194" s="135"/>
      <c r="D194" s="135"/>
      <c r="E194" s="135"/>
      <c r="F194" s="135"/>
      <c r="G194" s="135"/>
    </row>
    <row r="195">
      <c r="A195" s="135"/>
      <c r="B195" s="135"/>
      <c r="C195" s="135"/>
      <c r="D195" s="135"/>
      <c r="E195" s="135"/>
      <c r="F195" s="135"/>
      <c r="G195" s="135"/>
    </row>
    <row r="196">
      <c r="A196" s="135"/>
      <c r="B196" s="135"/>
      <c r="C196" s="135"/>
      <c r="D196" s="135"/>
      <c r="E196" s="135"/>
      <c r="F196" s="135"/>
      <c r="G196" s="135"/>
    </row>
    <row r="197">
      <c r="A197" s="135"/>
      <c r="B197" s="135"/>
      <c r="C197" s="135"/>
      <c r="D197" s="135"/>
      <c r="E197" s="135"/>
      <c r="F197" s="135"/>
      <c r="G197" s="135"/>
    </row>
    <row r="198">
      <c r="A198" s="135"/>
      <c r="B198" s="135"/>
      <c r="C198" s="135"/>
      <c r="D198" s="135"/>
      <c r="E198" s="135"/>
      <c r="F198" s="135"/>
      <c r="G198" s="135"/>
    </row>
    <row r="199">
      <c r="A199" s="135"/>
      <c r="B199" s="135"/>
      <c r="C199" s="135"/>
      <c r="D199" s="135"/>
      <c r="E199" s="135"/>
      <c r="F199" s="135"/>
      <c r="G199" s="135"/>
    </row>
    <row r="200">
      <c r="A200" s="135"/>
      <c r="B200" s="135"/>
      <c r="C200" s="135"/>
      <c r="D200" s="135"/>
      <c r="E200" s="135"/>
      <c r="F200" s="135"/>
      <c r="G200" s="135"/>
    </row>
    <row r="201">
      <c r="A201" s="135"/>
      <c r="B201" s="135"/>
      <c r="C201" s="135"/>
      <c r="D201" s="135"/>
      <c r="E201" s="135"/>
      <c r="F201" s="135"/>
      <c r="G201" s="135"/>
    </row>
    <row r="202">
      <c r="A202" s="135"/>
      <c r="B202" s="135"/>
      <c r="C202" s="135"/>
      <c r="D202" s="135"/>
      <c r="E202" s="135"/>
      <c r="F202" s="135"/>
      <c r="G202" s="135"/>
    </row>
    <row r="203">
      <c r="A203" s="135"/>
      <c r="B203" s="135"/>
      <c r="C203" s="135"/>
      <c r="D203" s="135"/>
      <c r="E203" s="135"/>
      <c r="F203" s="135"/>
      <c r="G203" s="135"/>
    </row>
    <row r="204">
      <c r="A204" s="135"/>
      <c r="B204" s="135"/>
      <c r="C204" s="135"/>
      <c r="D204" s="135"/>
      <c r="E204" s="135"/>
      <c r="F204" s="135"/>
      <c r="G204" s="135"/>
    </row>
    <row r="205">
      <c r="A205" s="135"/>
      <c r="B205" s="135"/>
      <c r="C205" s="135"/>
      <c r="D205" s="135"/>
      <c r="E205" s="135"/>
      <c r="F205" s="135"/>
      <c r="G205" s="135"/>
    </row>
    <row r="206">
      <c r="A206" s="135"/>
      <c r="B206" s="135"/>
      <c r="C206" s="135"/>
      <c r="D206" s="135"/>
      <c r="E206" s="135"/>
      <c r="F206" s="135"/>
      <c r="G206" s="135"/>
    </row>
    <row r="207">
      <c r="A207" s="135"/>
      <c r="B207" s="135"/>
      <c r="C207" s="135"/>
      <c r="D207" s="135"/>
      <c r="E207" s="135"/>
      <c r="F207" s="135"/>
      <c r="G207" s="135"/>
    </row>
    <row r="208">
      <c r="A208" s="135"/>
      <c r="B208" s="135"/>
      <c r="C208" s="135"/>
      <c r="D208" s="135"/>
      <c r="E208" s="135"/>
      <c r="F208" s="135"/>
      <c r="G208" s="135"/>
    </row>
    <row r="209">
      <c r="A209" s="135"/>
      <c r="B209" s="135"/>
      <c r="C209" s="135"/>
      <c r="D209" s="135"/>
      <c r="E209" s="135"/>
      <c r="F209" s="135"/>
      <c r="G209" s="135"/>
    </row>
    <row r="210">
      <c r="A210" s="135"/>
      <c r="B210" s="135"/>
      <c r="C210" s="135"/>
      <c r="D210" s="135"/>
      <c r="E210" s="135"/>
      <c r="F210" s="135"/>
      <c r="G210" s="135"/>
    </row>
    <row r="211">
      <c r="A211" s="135"/>
      <c r="B211" s="135"/>
      <c r="C211" s="135"/>
      <c r="D211" s="135"/>
      <c r="E211" s="135"/>
      <c r="F211" s="135"/>
      <c r="G211" s="135"/>
    </row>
    <row r="212">
      <c r="A212" s="135"/>
      <c r="B212" s="135"/>
      <c r="C212" s="135"/>
      <c r="D212" s="135"/>
      <c r="E212" s="135"/>
      <c r="F212" s="135"/>
      <c r="G212" s="135"/>
    </row>
    <row r="213">
      <c r="A213" s="135"/>
      <c r="B213" s="135"/>
      <c r="C213" s="135"/>
      <c r="D213" s="135"/>
      <c r="E213" s="135"/>
      <c r="F213" s="135"/>
      <c r="G213" s="135"/>
    </row>
    <row r="214">
      <c r="A214" s="135"/>
      <c r="B214" s="135"/>
      <c r="C214" s="135"/>
      <c r="D214" s="135"/>
      <c r="E214" s="135"/>
      <c r="F214" s="135"/>
      <c r="G214" s="135"/>
    </row>
    <row r="215">
      <c r="A215" s="135"/>
      <c r="B215" s="135"/>
      <c r="C215" s="135"/>
      <c r="D215" s="135"/>
      <c r="E215" s="135"/>
      <c r="F215" s="135"/>
      <c r="G215" s="135"/>
    </row>
    <row r="216">
      <c r="A216" s="135"/>
      <c r="B216" s="135"/>
      <c r="C216" s="135"/>
      <c r="D216" s="135"/>
      <c r="E216" s="135"/>
      <c r="F216" s="135"/>
      <c r="G216" s="135"/>
    </row>
    <row r="217">
      <c r="A217" s="135"/>
      <c r="B217" s="135"/>
      <c r="C217" s="135"/>
      <c r="D217" s="135"/>
      <c r="E217" s="135"/>
      <c r="F217" s="135"/>
      <c r="G217" s="135"/>
    </row>
    <row r="218">
      <c r="A218" s="135"/>
      <c r="B218" s="135"/>
      <c r="C218" s="135"/>
      <c r="D218" s="135"/>
      <c r="E218" s="135"/>
      <c r="F218" s="135"/>
      <c r="G218" s="135"/>
    </row>
    <row r="219">
      <c r="A219" s="135"/>
      <c r="B219" s="135"/>
      <c r="C219" s="135"/>
      <c r="D219" s="135"/>
      <c r="E219" s="135"/>
      <c r="F219" s="135"/>
      <c r="G219" s="135"/>
    </row>
    <row r="220">
      <c r="A220" s="135"/>
      <c r="B220" s="135"/>
      <c r="C220" s="135"/>
      <c r="D220" s="135"/>
      <c r="E220" s="135"/>
      <c r="F220" s="135"/>
      <c r="G220" s="135"/>
    </row>
    <row r="221">
      <c r="A221" s="135"/>
      <c r="B221" s="135"/>
      <c r="C221" s="135"/>
      <c r="D221" s="135"/>
      <c r="E221" s="135"/>
      <c r="F221" s="135"/>
      <c r="G221" s="135"/>
    </row>
    <row r="222">
      <c r="A222" s="135"/>
      <c r="B222" s="135"/>
      <c r="C222" s="135"/>
      <c r="D222" s="135"/>
      <c r="E222" s="135"/>
      <c r="F222" s="135"/>
      <c r="G222" s="135"/>
    </row>
    <row r="223">
      <c r="A223" s="135"/>
      <c r="B223" s="135"/>
      <c r="C223" s="135"/>
      <c r="D223" s="135"/>
      <c r="E223" s="135"/>
      <c r="F223" s="135"/>
      <c r="G223" s="135"/>
    </row>
    <row r="224">
      <c r="A224" s="135"/>
      <c r="B224" s="135"/>
      <c r="C224" s="135"/>
      <c r="D224" s="135"/>
      <c r="E224" s="135"/>
      <c r="F224" s="135"/>
      <c r="G224" s="135"/>
    </row>
    <row r="225">
      <c r="A225" s="135"/>
      <c r="B225" s="135"/>
      <c r="C225" s="135"/>
      <c r="D225" s="135"/>
      <c r="E225" s="135"/>
      <c r="F225" s="135"/>
      <c r="G225" s="135"/>
    </row>
    <row r="226">
      <c r="A226" s="135"/>
      <c r="B226" s="135"/>
      <c r="C226" s="135"/>
      <c r="D226" s="135"/>
      <c r="E226" s="135"/>
      <c r="F226" s="135"/>
      <c r="G226" s="135"/>
    </row>
    <row r="227">
      <c r="A227" s="135"/>
      <c r="B227" s="135"/>
      <c r="C227" s="135"/>
      <c r="D227" s="135"/>
      <c r="E227" s="135"/>
      <c r="F227" s="135"/>
      <c r="G227" s="135"/>
    </row>
    <row r="228">
      <c r="A228" s="135"/>
      <c r="B228" s="135"/>
      <c r="C228" s="135"/>
      <c r="D228" s="135"/>
      <c r="E228" s="135"/>
      <c r="F228" s="135"/>
      <c r="G228" s="135"/>
    </row>
    <row r="229">
      <c r="A229" s="135"/>
      <c r="B229" s="135"/>
      <c r="C229" s="135"/>
      <c r="D229" s="135"/>
      <c r="E229" s="135"/>
      <c r="F229" s="135"/>
      <c r="G229" s="135"/>
    </row>
    <row r="230">
      <c r="A230" s="135"/>
      <c r="B230" s="135"/>
      <c r="C230" s="135"/>
      <c r="D230" s="135"/>
      <c r="E230" s="135"/>
      <c r="F230" s="135"/>
      <c r="G230" s="135"/>
    </row>
    <row r="231">
      <c r="A231" s="135"/>
      <c r="B231" s="135"/>
      <c r="C231" s="135"/>
      <c r="D231" s="135"/>
      <c r="E231" s="135"/>
      <c r="F231" s="135"/>
      <c r="G231" s="135"/>
    </row>
    <row r="232">
      <c r="A232" s="135"/>
      <c r="B232" s="135"/>
      <c r="C232" s="135"/>
      <c r="D232" s="135"/>
      <c r="E232" s="135"/>
      <c r="F232" s="135"/>
      <c r="G232" s="135"/>
    </row>
    <row r="233">
      <c r="A233" s="135"/>
      <c r="B233" s="135"/>
      <c r="C233" s="135"/>
      <c r="D233" s="135"/>
      <c r="E233" s="135"/>
      <c r="F233" s="135"/>
      <c r="G233" s="135"/>
    </row>
    <row r="234">
      <c r="A234" s="135"/>
      <c r="B234" s="135"/>
      <c r="C234" s="135"/>
      <c r="D234" s="135"/>
      <c r="E234" s="135"/>
      <c r="F234" s="135"/>
      <c r="G234" s="135"/>
    </row>
    <row r="235">
      <c r="A235" s="135"/>
      <c r="B235" s="135"/>
      <c r="C235" s="135"/>
      <c r="D235" s="135"/>
      <c r="E235" s="135"/>
      <c r="F235" s="135"/>
      <c r="G235" s="135"/>
    </row>
    <row r="236">
      <c r="A236" s="135"/>
      <c r="B236" s="135"/>
      <c r="C236" s="135"/>
      <c r="D236" s="135"/>
      <c r="E236" s="135"/>
      <c r="F236" s="135"/>
      <c r="G236" s="135"/>
    </row>
    <row r="237">
      <c r="A237" s="135"/>
      <c r="B237" s="135"/>
      <c r="C237" s="135"/>
      <c r="D237" s="135"/>
      <c r="E237" s="135"/>
      <c r="F237" s="135"/>
      <c r="G237" s="135"/>
    </row>
    <row r="238">
      <c r="A238" s="135"/>
      <c r="B238" s="135"/>
      <c r="C238" s="135"/>
      <c r="D238" s="135"/>
      <c r="E238" s="135"/>
      <c r="F238" s="135"/>
      <c r="G238" s="135"/>
    </row>
    <row r="239">
      <c r="A239" s="135"/>
      <c r="B239" s="135"/>
      <c r="C239" s="135"/>
      <c r="D239" s="135"/>
      <c r="E239" s="135"/>
      <c r="F239" s="135"/>
      <c r="G239" s="135"/>
    </row>
    <row r="240">
      <c r="A240" s="135"/>
      <c r="B240" s="135"/>
      <c r="C240" s="135"/>
      <c r="D240" s="135"/>
      <c r="E240" s="135"/>
      <c r="F240" s="135"/>
      <c r="G240" s="135"/>
    </row>
    <row r="241">
      <c r="A241" s="135"/>
      <c r="B241" s="135"/>
      <c r="C241" s="135"/>
      <c r="D241" s="135"/>
      <c r="E241" s="135"/>
      <c r="F241" s="135"/>
      <c r="G241" s="135"/>
    </row>
    <row r="242">
      <c r="A242" s="135"/>
      <c r="B242" s="135"/>
      <c r="C242" s="135"/>
      <c r="D242" s="135"/>
      <c r="E242" s="135"/>
      <c r="F242" s="135"/>
      <c r="G242" s="135"/>
    </row>
    <row r="243">
      <c r="A243" s="135"/>
      <c r="B243" s="135"/>
      <c r="C243" s="135"/>
      <c r="D243" s="135"/>
      <c r="E243" s="135"/>
      <c r="F243" s="135"/>
      <c r="G243" s="135"/>
    </row>
    <row r="244">
      <c r="A244" s="135"/>
      <c r="B244" s="135"/>
      <c r="C244" s="135"/>
      <c r="D244" s="135"/>
      <c r="E244" s="135"/>
      <c r="F244" s="135"/>
      <c r="G244" s="135"/>
    </row>
    <row r="245">
      <c r="A245" s="135"/>
      <c r="B245" s="135"/>
      <c r="C245" s="135"/>
      <c r="D245" s="135"/>
      <c r="E245" s="135"/>
      <c r="F245" s="135"/>
      <c r="G245" s="135"/>
    </row>
    <row r="246">
      <c r="A246" s="135"/>
      <c r="B246" s="135"/>
      <c r="C246" s="135"/>
      <c r="D246" s="135"/>
      <c r="E246" s="135"/>
      <c r="F246" s="135"/>
      <c r="G246" s="135"/>
    </row>
    <row r="247">
      <c r="A247" s="135"/>
      <c r="B247" s="135"/>
      <c r="C247" s="135"/>
      <c r="D247" s="135"/>
      <c r="E247" s="135"/>
      <c r="F247" s="135"/>
      <c r="G247" s="135"/>
    </row>
    <row r="248">
      <c r="A248" s="135"/>
      <c r="B248" s="135"/>
      <c r="C248" s="135"/>
      <c r="D248" s="135"/>
      <c r="E248" s="135"/>
      <c r="F248" s="135"/>
      <c r="G248" s="135"/>
    </row>
    <row r="249">
      <c r="A249" s="135"/>
      <c r="B249" s="135"/>
      <c r="C249" s="135"/>
      <c r="D249" s="135"/>
      <c r="E249" s="135"/>
      <c r="F249" s="135"/>
      <c r="G249" s="135"/>
    </row>
    <row r="250">
      <c r="A250" s="135"/>
      <c r="B250" s="135"/>
      <c r="C250" s="135"/>
      <c r="D250" s="135"/>
      <c r="E250" s="135"/>
      <c r="F250" s="135"/>
      <c r="G250" s="135"/>
    </row>
    <row r="251">
      <c r="A251" s="135"/>
      <c r="B251" s="135"/>
      <c r="C251" s="135"/>
      <c r="D251" s="135"/>
      <c r="E251" s="135"/>
      <c r="F251" s="135"/>
      <c r="G251" s="135"/>
    </row>
    <row r="252">
      <c r="A252" s="135"/>
      <c r="B252" s="135"/>
      <c r="C252" s="135"/>
      <c r="D252" s="135"/>
      <c r="E252" s="135"/>
      <c r="F252" s="135"/>
      <c r="G252" s="135"/>
    </row>
    <row r="253">
      <c r="A253" s="135"/>
      <c r="B253" s="135"/>
      <c r="C253" s="135"/>
      <c r="D253" s="135"/>
      <c r="E253" s="135"/>
      <c r="F253" s="135"/>
      <c r="G253" s="135"/>
    </row>
    <row r="254">
      <c r="A254" s="135"/>
      <c r="B254" s="135"/>
      <c r="C254" s="135"/>
      <c r="D254" s="135"/>
      <c r="E254" s="135"/>
      <c r="F254" s="135"/>
      <c r="G254" s="135"/>
    </row>
    <row r="255">
      <c r="A255" s="135"/>
      <c r="B255" s="135"/>
      <c r="C255" s="135"/>
      <c r="D255" s="135"/>
      <c r="E255" s="135"/>
      <c r="F255" s="135"/>
      <c r="G255" s="135"/>
    </row>
    <row r="256">
      <c r="A256" s="135"/>
      <c r="B256" s="135"/>
      <c r="C256" s="135"/>
      <c r="D256" s="135"/>
      <c r="E256" s="135"/>
      <c r="F256" s="135"/>
      <c r="G256" s="135"/>
    </row>
    <row r="257">
      <c r="A257" s="135"/>
      <c r="B257" s="135"/>
      <c r="C257" s="135"/>
      <c r="D257" s="135"/>
      <c r="E257" s="135"/>
      <c r="F257" s="135"/>
      <c r="G257" s="135"/>
    </row>
    <row r="258">
      <c r="A258" s="135"/>
      <c r="B258" s="135"/>
      <c r="C258" s="135"/>
      <c r="D258" s="135"/>
      <c r="E258" s="135"/>
      <c r="F258" s="135"/>
      <c r="G258" s="135"/>
    </row>
    <row r="259">
      <c r="A259" s="135"/>
      <c r="B259" s="135"/>
      <c r="C259" s="135"/>
      <c r="D259" s="135"/>
      <c r="E259" s="135"/>
      <c r="F259" s="135"/>
      <c r="G259" s="135"/>
    </row>
    <row r="260">
      <c r="A260" s="135"/>
      <c r="B260" s="135"/>
      <c r="C260" s="135"/>
      <c r="D260" s="135"/>
      <c r="E260" s="135"/>
      <c r="F260" s="135"/>
      <c r="G260" s="135"/>
    </row>
    <row r="261">
      <c r="A261" s="135"/>
      <c r="B261" s="135"/>
      <c r="C261" s="135"/>
      <c r="D261" s="135"/>
      <c r="E261" s="135"/>
      <c r="F261" s="135"/>
      <c r="G261" s="135"/>
    </row>
    <row r="262">
      <c r="A262" s="135"/>
      <c r="B262" s="135"/>
      <c r="C262" s="135"/>
      <c r="D262" s="135"/>
      <c r="E262" s="135"/>
      <c r="F262" s="135"/>
      <c r="G262" s="135"/>
    </row>
    <row r="263">
      <c r="A263" s="135"/>
      <c r="B263" s="135"/>
      <c r="C263" s="135"/>
      <c r="D263" s="135"/>
      <c r="E263" s="135"/>
      <c r="F263" s="135"/>
      <c r="G263" s="135"/>
    </row>
    <row r="264">
      <c r="A264" s="135"/>
      <c r="B264" s="135"/>
      <c r="C264" s="135"/>
      <c r="D264" s="135"/>
      <c r="E264" s="135"/>
      <c r="F264" s="135"/>
      <c r="G264" s="135"/>
    </row>
    <row r="265">
      <c r="A265" s="135"/>
      <c r="B265" s="135"/>
      <c r="C265" s="135"/>
      <c r="D265" s="135"/>
      <c r="E265" s="135"/>
      <c r="F265" s="135"/>
      <c r="G265" s="135"/>
    </row>
    <row r="266">
      <c r="A266" s="135"/>
      <c r="B266" s="135"/>
      <c r="C266" s="135"/>
      <c r="D266" s="135"/>
      <c r="E266" s="135"/>
      <c r="F266" s="135"/>
      <c r="G266" s="135"/>
    </row>
    <row r="267">
      <c r="A267" s="135"/>
      <c r="B267" s="135"/>
      <c r="C267" s="135"/>
      <c r="D267" s="135"/>
      <c r="E267" s="135"/>
      <c r="F267" s="135"/>
      <c r="G267" s="135"/>
    </row>
    <row r="268">
      <c r="A268" s="135"/>
      <c r="B268" s="135"/>
      <c r="C268" s="135"/>
      <c r="D268" s="135"/>
      <c r="E268" s="135"/>
      <c r="F268" s="135"/>
      <c r="G268" s="135"/>
    </row>
    <row r="269">
      <c r="A269" s="135"/>
      <c r="B269" s="135"/>
      <c r="C269" s="135"/>
      <c r="D269" s="135"/>
      <c r="E269" s="135"/>
      <c r="F269" s="135"/>
      <c r="G269" s="135"/>
    </row>
    <row r="270">
      <c r="A270" s="135"/>
      <c r="B270" s="135"/>
      <c r="C270" s="135"/>
      <c r="D270" s="135"/>
      <c r="E270" s="135"/>
      <c r="F270" s="135"/>
      <c r="G270" s="135"/>
    </row>
    <row r="271">
      <c r="A271" s="135"/>
      <c r="B271" s="135"/>
      <c r="C271" s="135"/>
      <c r="D271" s="135"/>
      <c r="E271" s="135"/>
      <c r="F271" s="135"/>
      <c r="G271" s="135"/>
    </row>
    <row r="272">
      <c r="A272" s="135"/>
      <c r="B272" s="135"/>
      <c r="C272" s="135"/>
      <c r="D272" s="135"/>
      <c r="E272" s="135"/>
      <c r="F272" s="135"/>
      <c r="G272" s="135"/>
    </row>
    <row r="273">
      <c r="A273" s="135"/>
      <c r="B273" s="135"/>
      <c r="C273" s="135"/>
      <c r="D273" s="135"/>
      <c r="E273" s="135"/>
      <c r="F273" s="135"/>
      <c r="G273" s="135"/>
    </row>
    <row r="274">
      <c r="A274" s="135"/>
      <c r="B274" s="135"/>
      <c r="C274" s="135"/>
      <c r="D274" s="135"/>
      <c r="E274" s="135"/>
      <c r="F274" s="135"/>
      <c r="G274" s="135"/>
    </row>
    <row r="275">
      <c r="A275" s="135"/>
      <c r="B275" s="135"/>
      <c r="C275" s="135"/>
      <c r="D275" s="135"/>
      <c r="E275" s="135"/>
      <c r="F275" s="135"/>
      <c r="G275" s="135"/>
    </row>
    <row r="276">
      <c r="A276" s="135"/>
      <c r="B276" s="135"/>
      <c r="C276" s="135"/>
      <c r="D276" s="135"/>
      <c r="E276" s="135"/>
      <c r="F276" s="135"/>
      <c r="G276" s="135"/>
    </row>
    <row r="277">
      <c r="A277" s="135"/>
      <c r="B277" s="135"/>
      <c r="C277" s="135"/>
      <c r="D277" s="135"/>
      <c r="E277" s="135"/>
      <c r="F277" s="135"/>
      <c r="G277" s="135"/>
    </row>
    <row r="278">
      <c r="A278" s="135"/>
      <c r="B278" s="135"/>
      <c r="C278" s="135"/>
      <c r="D278" s="135"/>
      <c r="E278" s="135"/>
      <c r="F278" s="135"/>
      <c r="G278" s="135"/>
    </row>
    <row r="279">
      <c r="A279" s="135"/>
      <c r="B279" s="135"/>
      <c r="C279" s="135"/>
      <c r="D279" s="135"/>
      <c r="E279" s="135"/>
      <c r="F279" s="135"/>
      <c r="G279" s="135"/>
    </row>
    <row r="280">
      <c r="A280" s="135"/>
      <c r="B280" s="135"/>
      <c r="C280" s="135"/>
      <c r="D280" s="135"/>
      <c r="E280" s="135"/>
      <c r="F280" s="135"/>
      <c r="G280" s="135"/>
    </row>
    <row r="281">
      <c r="A281" s="135"/>
      <c r="B281" s="135"/>
      <c r="C281" s="135"/>
      <c r="D281" s="135"/>
      <c r="E281" s="135"/>
      <c r="F281" s="135"/>
      <c r="G281" s="135"/>
    </row>
    <row r="282">
      <c r="A282" s="135"/>
      <c r="B282" s="135"/>
      <c r="C282" s="135"/>
      <c r="D282" s="135"/>
      <c r="E282" s="135"/>
      <c r="F282" s="135"/>
      <c r="G282" s="135"/>
    </row>
    <row r="283">
      <c r="A283" s="135"/>
      <c r="B283" s="135"/>
      <c r="C283" s="135"/>
      <c r="D283" s="135"/>
      <c r="E283" s="135"/>
      <c r="F283" s="135"/>
      <c r="G283" s="135"/>
    </row>
    <row r="284">
      <c r="A284" s="135"/>
      <c r="B284" s="135"/>
      <c r="C284" s="135"/>
      <c r="D284" s="135"/>
      <c r="E284" s="135"/>
      <c r="F284" s="135"/>
      <c r="G284" s="135"/>
    </row>
    <row r="285">
      <c r="A285" s="135"/>
      <c r="B285" s="135"/>
      <c r="C285" s="135"/>
      <c r="D285" s="135"/>
      <c r="E285" s="135"/>
      <c r="F285" s="135"/>
      <c r="G285" s="135"/>
    </row>
    <row r="286">
      <c r="A286" s="135"/>
      <c r="B286" s="135"/>
      <c r="C286" s="135"/>
      <c r="D286" s="135"/>
      <c r="E286" s="135"/>
      <c r="F286" s="135"/>
      <c r="G286" s="135"/>
    </row>
    <row r="287">
      <c r="A287" s="135"/>
      <c r="B287" s="135"/>
      <c r="C287" s="135"/>
      <c r="D287" s="135"/>
      <c r="E287" s="135"/>
      <c r="F287" s="135"/>
      <c r="G287" s="135"/>
    </row>
    <row r="288">
      <c r="A288" s="135"/>
      <c r="B288" s="135"/>
      <c r="C288" s="135"/>
      <c r="D288" s="135"/>
      <c r="E288" s="135"/>
      <c r="F288" s="135"/>
      <c r="G288" s="135"/>
    </row>
    <row r="289">
      <c r="A289" s="135"/>
      <c r="B289" s="135"/>
      <c r="C289" s="135"/>
      <c r="D289" s="135"/>
      <c r="E289" s="135"/>
      <c r="F289" s="135"/>
      <c r="G289" s="135"/>
    </row>
    <row r="290">
      <c r="A290" s="135"/>
      <c r="B290" s="135"/>
      <c r="C290" s="135"/>
      <c r="D290" s="135"/>
      <c r="E290" s="135"/>
      <c r="F290" s="135"/>
      <c r="G290" s="135"/>
    </row>
    <row r="291">
      <c r="A291" s="135"/>
      <c r="B291" s="135"/>
      <c r="C291" s="135"/>
      <c r="D291" s="135"/>
      <c r="E291" s="135"/>
      <c r="F291" s="135"/>
      <c r="G291" s="135"/>
    </row>
    <row r="292">
      <c r="A292" s="135"/>
      <c r="B292" s="135"/>
      <c r="C292" s="135"/>
      <c r="D292" s="135"/>
      <c r="E292" s="135"/>
      <c r="F292" s="135"/>
      <c r="G292" s="135"/>
    </row>
    <row r="293">
      <c r="A293" s="135"/>
      <c r="B293" s="135"/>
      <c r="C293" s="135"/>
      <c r="D293" s="135"/>
      <c r="E293" s="135"/>
      <c r="F293" s="135"/>
      <c r="G293" s="135"/>
    </row>
    <row r="294">
      <c r="A294" s="135"/>
      <c r="B294" s="135"/>
      <c r="C294" s="135"/>
      <c r="D294" s="135"/>
      <c r="E294" s="135"/>
      <c r="F294" s="135"/>
      <c r="G294" s="135"/>
    </row>
    <row r="295">
      <c r="A295" s="135"/>
      <c r="B295" s="135"/>
      <c r="C295" s="135"/>
      <c r="D295" s="135"/>
      <c r="E295" s="135"/>
      <c r="F295" s="135"/>
      <c r="G295" s="135"/>
    </row>
    <row r="296">
      <c r="A296" s="135"/>
      <c r="B296" s="135"/>
      <c r="C296" s="135"/>
      <c r="D296" s="135"/>
      <c r="E296" s="135"/>
      <c r="F296" s="135"/>
      <c r="G296" s="135"/>
    </row>
    <row r="297">
      <c r="A297" s="135"/>
      <c r="B297" s="135"/>
      <c r="C297" s="135"/>
      <c r="D297" s="135"/>
      <c r="E297" s="135"/>
      <c r="F297" s="135"/>
      <c r="G297" s="135"/>
    </row>
    <row r="298">
      <c r="A298" s="135"/>
      <c r="B298" s="135"/>
      <c r="C298" s="135"/>
      <c r="D298" s="135"/>
      <c r="E298" s="135"/>
      <c r="F298" s="135"/>
      <c r="G298" s="135"/>
    </row>
    <row r="299">
      <c r="A299" s="135"/>
      <c r="B299" s="135"/>
      <c r="C299" s="135"/>
      <c r="D299" s="135"/>
      <c r="E299" s="135"/>
      <c r="F299" s="135"/>
      <c r="G299" s="135"/>
    </row>
    <row r="300">
      <c r="A300" s="135"/>
      <c r="B300" s="135"/>
      <c r="C300" s="135"/>
      <c r="D300" s="135"/>
      <c r="E300" s="135"/>
      <c r="F300" s="135"/>
      <c r="G300" s="135"/>
    </row>
    <row r="301">
      <c r="A301" s="135"/>
      <c r="B301" s="135"/>
      <c r="C301" s="135"/>
      <c r="D301" s="135"/>
      <c r="E301" s="135"/>
      <c r="F301" s="135"/>
      <c r="G301" s="135"/>
    </row>
    <row r="302">
      <c r="A302" s="135"/>
      <c r="B302" s="135"/>
      <c r="C302" s="135"/>
      <c r="D302" s="135"/>
      <c r="E302" s="135"/>
      <c r="F302" s="135"/>
      <c r="G302" s="135"/>
    </row>
    <row r="303">
      <c r="A303" s="135"/>
      <c r="B303" s="135"/>
      <c r="C303" s="135"/>
      <c r="D303" s="135"/>
      <c r="E303" s="135"/>
      <c r="F303" s="135"/>
      <c r="G303" s="135"/>
    </row>
    <row r="304">
      <c r="A304" s="135"/>
      <c r="B304" s="135"/>
      <c r="C304" s="135"/>
      <c r="D304" s="135"/>
      <c r="E304" s="135"/>
      <c r="F304" s="135"/>
      <c r="G304" s="135"/>
    </row>
    <row r="305">
      <c r="A305" s="135"/>
      <c r="B305" s="135"/>
      <c r="C305" s="135"/>
      <c r="D305" s="135"/>
      <c r="E305" s="135"/>
      <c r="F305" s="135"/>
      <c r="G305" s="135"/>
    </row>
    <row r="306">
      <c r="A306" s="135"/>
      <c r="B306" s="135"/>
      <c r="C306" s="135"/>
      <c r="D306" s="135"/>
      <c r="E306" s="135"/>
      <c r="F306" s="135"/>
      <c r="G306" s="135"/>
    </row>
    <row r="307">
      <c r="A307" s="135"/>
      <c r="B307" s="135"/>
      <c r="C307" s="135"/>
      <c r="D307" s="135"/>
      <c r="E307" s="135"/>
      <c r="F307" s="135"/>
      <c r="G307" s="135"/>
    </row>
    <row r="308">
      <c r="A308" s="135"/>
      <c r="B308" s="135"/>
      <c r="C308" s="135"/>
      <c r="D308" s="135"/>
      <c r="E308" s="135"/>
      <c r="F308" s="135"/>
      <c r="G308" s="135"/>
    </row>
    <row r="309">
      <c r="A309" s="135"/>
      <c r="B309" s="135"/>
      <c r="C309" s="135"/>
      <c r="D309" s="135"/>
      <c r="E309" s="135"/>
      <c r="F309" s="135"/>
      <c r="G309" s="135"/>
    </row>
    <row r="310">
      <c r="A310" s="135"/>
      <c r="B310" s="135"/>
      <c r="C310" s="135"/>
      <c r="D310" s="135"/>
      <c r="E310" s="135"/>
      <c r="F310" s="135"/>
      <c r="G310" s="135"/>
    </row>
    <row r="311">
      <c r="A311" s="135"/>
      <c r="B311" s="135"/>
      <c r="C311" s="135"/>
      <c r="D311" s="135"/>
      <c r="E311" s="135"/>
      <c r="F311" s="135"/>
      <c r="G311" s="135"/>
    </row>
    <row r="312">
      <c r="A312" s="135"/>
      <c r="B312" s="135"/>
      <c r="C312" s="135"/>
      <c r="D312" s="135"/>
      <c r="E312" s="135"/>
      <c r="F312" s="135"/>
      <c r="G312" s="135"/>
    </row>
    <row r="313">
      <c r="A313" s="135"/>
      <c r="B313" s="135"/>
      <c r="C313" s="135"/>
      <c r="D313" s="135"/>
      <c r="E313" s="135"/>
      <c r="F313" s="135"/>
      <c r="G313" s="135"/>
    </row>
    <row r="314">
      <c r="A314" s="135"/>
      <c r="B314" s="135"/>
      <c r="C314" s="135"/>
      <c r="D314" s="135"/>
      <c r="E314" s="135"/>
      <c r="F314" s="135"/>
      <c r="G314" s="135"/>
    </row>
    <row r="315">
      <c r="A315" s="135"/>
      <c r="B315" s="135"/>
      <c r="C315" s="135"/>
      <c r="D315" s="135"/>
      <c r="E315" s="135"/>
      <c r="F315" s="135"/>
      <c r="G315" s="135"/>
    </row>
    <row r="316">
      <c r="A316" s="135"/>
      <c r="B316" s="135"/>
      <c r="C316" s="135"/>
      <c r="D316" s="135"/>
      <c r="E316" s="135"/>
      <c r="F316" s="135"/>
      <c r="G316" s="135"/>
    </row>
    <row r="317">
      <c r="A317" s="135"/>
      <c r="B317" s="135"/>
      <c r="C317" s="135"/>
      <c r="D317" s="135"/>
      <c r="E317" s="135"/>
      <c r="F317" s="135"/>
      <c r="G317" s="135"/>
    </row>
    <row r="318">
      <c r="A318" s="135"/>
      <c r="B318" s="135"/>
      <c r="C318" s="135"/>
      <c r="D318" s="135"/>
      <c r="E318" s="135"/>
      <c r="F318" s="135"/>
      <c r="G318" s="135"/>
    </row>
    <row r="319">
      <c r="A319" s="135"/>
      <c r="B319" s="135"/>
      <c r="C319" s="135"/>
      <c r="D319" s="135"/>
      <c r="E319" s="135"/>
      <c r="F319" s="135"/>
      <c r="G319" s="135"/>
    </row>
    <row r="320">
      <c r="A320" s="135"/>
      <c r="B320" s="135"/>
      <c r="C320" s="135"/>
      <c r="D320" s="135"/>
      <c r="E320" s="135"/>
      <c r="F320" s="135"/>
      <c r="G320" s="135"/>
    </row>
    <row r="321">
      <c r="A321" s="135"/>
      <c r="B321" s="135"/>
      <c r="C321" s="135"/>
      <c r="D321" s="135"/>
      <c r="E321" s="135"/>
      <c r="F321" s="135"/>
      <c r="G321" s="135"/>
    </row>
    <row r="322">
      <c r="A322" s="135"/>
      <c r="B322" s="135"/>
      <c r="C322" s="135"/>
      <c r="D322" s="135"/>
      <c r="E322" s="135"/>
      <c r="F322" s="135"/>
      <c r="G322" s="135"/>
    </row>
    <row r="323">
      <c r="A323" s="135"/>
      <c r="B323" s="135"/>
      <c r="C323" s="135"/>
      <c r="D323" s="135"/>
      <c r="E323" s="135"/>
      <c r="F323" s="135"/>
      <c r="G323" s="135"/>
    </row>
    <row r="324">
      <c r="A324" s="135"/>
      <c r="B324" s="135"/>
      <c r="C324" s="135"/>
      <c r="D324" s="135"/>
      <c r="E324" s="135"/>
      <c r="F324" s="135"/>
      <c r="G324" s="135"/>
    </row>
    <row r="325">
      <c r="A325" s="135"/>
      <c r="B325" s="135"/>
      <c r="C325" s="135"/>
      <c r="D325" s="135"/>
      <c r="E325" s="135"/>
      <c r="F325" s="135"/>
      <c r="G325" s="135"/>
    </row>
    <row r="326">
      <c r="A326" s="135"/>
      <c r="B326" s="135"/>
      <c r="C326" s="135"/>
      <c r="D326" s="135"/>
      <c r="E326" s="135"/>
      <c r="F326" s="135"/>
      <c r="G326" s="135"/>
    </row>
    <row r="327">
      <c r="A327" s="135"/>
      <c r="B327" s="135"/>
      <c r="C327" s="135"/>
      <c r="D327" s="135"/>
      <c r="E327" s="135"/>
      <c r="F327" s="135"/>
      <c r="G327" s="135"/>
    </row>
    <row r="328">
      <c r="A328" s="135"/>
      <c r="B328" s="135"/>
      <c r="C328" s="135"/>
      <c r="D328" s="135"/>
      <c r="E328" s="135"/>
      <c r="F328" s="135"/>
      <c r="G328" s="135"/>
    </row>
    <row r="329">
      <c r="A329" s="135"/>
      <c r="B329" s="135"/>
      <c r="C329" s="135"/>
      <c r="D329" s="135"/>
      <c r="E329" s="135"/>
      <c r="F329" s="135"/>
      <c r="G329" s="135"/>
    </row>
    <row r="330">
      <c r="A330" s="135"/>
      <c r="B330" s="135"/>
      <c r="C330" s="135"/>
      <c r="D330" s="135"/>
      <c r="E330" s="135"/>
      <c r="F330" s="135"/>
      <c r="G330" s="135"/>
    </row>
    <row r="331">
      <c r="A331" s="135"/>
      <c r="B331" s="135"/>
      <c r="C331" s="135"/>
      <c r="D331" s="135"/>
      <c r="E331" s="135"/>
      <c r="F331" s="135"/>
      <c r="G331" s="135"/>
    </row>
    <row r="332">
      <c r="A332" s="135"/>
      <c r="B332" s="135"/>
      <c r="C332" s="135"/>
      <c r="D332" s="135"/>
      <c r="E332" s="135"/>
      <c r="F332" s="135"/>
      <c r="G332" s="135"/>
    </row>
    <row r="333">
      <c r="A333" s="135"/>
      <c r="B333" s="135"/>
      <c r="C333" s="135"/>
      <c r="D333" s="135"/>
      <c r="E333" s="135"/>
      <c r="F333" s="135"/>
      <c r="G333" s="135"/>
    </row>
    <row r="334">
      <c r="A334" s="135"/>
      <c r="B334" s="135"/>
      <c r="C334" s="135"/>
      <c r="D334" s="135"/>
      <c r="E334" s="135"/>
      <c r="F334" s="135"/>
      <c r="G334" s="135"/>
    </row>
    <row r="335">
      <c r="A335" s="135"/>
      <c r="B335" s="135"/>
      <c r="C335" s="135"/>
      <c r="D335" s="135"/>
      <c r="E335" s="135"/>
      <c r="F335" s="135"/>
      <c r="G335" s="135"/>
    </row>
    <row r="336">
      <c r="A336" s="135"/>
      <c r="B336" s="135"/>
      <c r="C336" s="135"/>
      <c r="D336" s="135"/>
      <c r="E336" s="135"/>
      <c r="F336" s="135"/>
      <c r="G336" s="135"/>
    </row>
    <row r="337">
      <c r="A337" s="135"/>
      <c r="B337" s="135"/>
      <c r="C337" s="135"/>
      <c r="D337" s="135"/>
      <c r="E337" s="135"/>
      <c r="F337" s="135"/>
      <c r="G337" s="135"/>
    </row>
    <row r="338">
      <c r="A338" s="135"/>
      <c r="B338" s="135"/>
      <c r="C338" s="135"/>
      <c r="D338" s="135"/>
      <c r="E338" s="135"/>
      <c r="F338" s="135"/>
      <c r="G338" s="135"/>
    </row>
    <row r="339">
      <c r="A339" s="135"/>
      <c r="B339" s="135"/>
      <c r="C339" s="135"/>
      <c r="D339" s="135"/>
      <c r="E339" s="135"/>
      <c r="F339" s="135"/>
      <c r="G339" s="135"/>
    </row>
    <row r="340">
      <c r="A340" s="135"/>
      <c r="B340" s="135"/>
      <c r="C340" s="135"/>
      <c r="D340" s="135"/>
      <c r="E340" s="135"/>
      <c r="F340" s="135"/>
      <c r="G340" s="135"/>
    </row>
    <row r="341">
      <c r="A341" s="135"/>
      <c r="B341" s="135"/>
      <c r="C341" s="135"/>
      <c r="D341" s="135"/>
      <c r="E341" s="135"/>
      <c r="F341" s="135"/>
      <c r="G341" s="135"/>
    </row>
    <row r="342">
      <c r="A342" s="135"/>
      <c r="B342" s="135"/>
      <c r="C342" s="135"/>
      <c r="D342" s="135"/>
      <c r="E342" s="135"/>
      <c r="F342" s="135"/>
      <c r="G342" s="135"/>
    </row>
    <row r="343">
      <c r="A343" s="135"/>
      <c r="B343" s="135"/>
      <c r="C343" s="135"/>
      <c r="D343" s="135"/>
      <c r="E343" s="135"/>
      <c r="F343" s="135"/>
      <c r="G343" s="135"/>
    </row>
    <row r="344">
      <c r="A344" s="135"/>
      <c r="B344" s="135"/>
      <c r="C344" s="135"/>
      <c r="D344" s="135"/>
      <c r="E344" s="135"/>
      <c r="F344" s="135"/>
      <c r="G344" s="135"/>
    </row>
    <row r="345">
      <c r="A345" s="135"/>
      <c r="B345" s="135"/>
      <c r="C345" s="135"/>
      <c r="D345" s="135"/>
      <c r="E345" s="135"/>
      <c r="F345" s="135"/>
      <c r="G345" s="135"/>
    </row>
    <row r="346">
      <c r="A346" s="135"/>
      <c r="B346" s="135"/>
      <c r="C346" s="135"/>
      <c r="D346" s="135"/>
      <c r="E346" s="135"/>
      <c r="F346" s="135"/>
      <c r="G346" s="135"/>
    </row>
    <row r="347">
      <c r="A347" s="135"/>
      <c r="B347" s="135"/>
      <c r="C347" s="135"/>
      <c r="D347" s="135"/>
      <c r="E347" s="135"/>
      <c r="F347" s="135"/>
      <c r="G347" s="135"/>
    </row>
    <row r="348">
      <c r="A348" s="135"/>
      <c r="B348" s="135"/>
      <c r="C348" s="135"/>
      <c r="D348" s="135"/>
      <c r="E348" s="135"/>
      <c r="F348" s="135"/>
      <c r="G348" s="135"/>
    </row>
    <row r="349">
      <c r="A349" s="135"/>
      <c r="B349" s="135"/>
      <c r="C349" s="135"/>
      <c r="D349" s="135"/>
      <c r="E349" s="135"/>
      <c r="F349" s="135"/>
      <c r="G349" s="135"/>
    </row>
    <row r="350">
      <c r="A350" s="135"/>
      <c r="B350" s="135"/>
      <c r="C350" s="135"/>
      <c r="D350" s="135"/>
      <c r="E350" s="135"/>
      <c r="F350" s="135"/>
      <c r="G350" s="135"/>
    </row>
    <row r="351">
      <c r="A351" s="135"/>
      <c r="B351" s="135"/>
      <c r="C351" s="135"/>
      <c r="D351" s="135"/>
      <c r="E351" s="135"/>
      <c r="F351" s="135"/>
      <c r="G351" s="135"/>
    </row>
    <row r="352">
      <c r="A352" s="135"/>
      <c r="B352" s="135"/>
      <c r="C352" s="135"/>
      <c r="D352" s="135"/>
      <c r="E352" s="135"/>
      <c r="F352" s="135"/>
      <c r="G352" s="135"/>
    </row>
    <row r="353">
      <c r="A353" s="135"/>
      <c r="B353" s="135"/>
      <c r="C353" s="135"/>
      <c r="D353" s="135"/>
      <c r="E353" s="135"/>
      <c r="F353" s="135"/>
      <c r="G353" s="135"/>
    </row>
    <row r="354">
      <c r="A354" s="135"/>
      <c r="B354" s="135"/>
      <c r="C354" s="135"/>
      <c r="D354" s="135"/>
      <c r="E354" s="135"/>
      <c r="F354" s="135"/>
      <c r="G354" s="135"/>
    </row>
    <row r="355">
      <c r="A355" s="135"/>
      <c r="B355" s="135"/>
      <c r="C355" s="135"/>
      <c r="D355" s="135"/>
      <c r="E355" s="135"/>
      <c r="F355" s="135"/>
      <c r="G355" s="135"/>
    </row>
    <row r="356">
      <c r="A356" s="135"/>
      <c r="B356" s="135"/>
      <c r="C356" s="135"/>
      <c r="D356" s="135"/>
      <c r="E356" s="135"/>
      <c r="F356" s="135"/>
      <c r="G356" s="135"/>
    </row>
    <row r="357">
      <c r="A357" s="135"/>
      <c r="B357" s="135"/>
      <c r="C357" s="135"/>
      <c r="D357" s="135"/>
      <c r="E357" s="135"/>
      <c r="F357" s="135"/>
      <c r="G357" s="135"/>
    </row>
    <row r="358">
      <c r="A358" s="135"/>
      <c r="B358" s="135"/>
      <c r="C358" s="135"/>
      <c r="D358" s="135"/>
      <c r="E358" s="135"/>
      <c r="F358" s="135"/>
      <c r="G358" s="135"/>
    </row>
    <row r="359">
      <c r="A359" s="135"/>
      <c r="B359" s="135"/>
      <c r="C359" s="135"/>
      <c r="D359" s="135"/>
      <c r="E359" s="135"/>
      <c r="F359" s="135"/>
      <c r="G359" s="135"/>
    </row>
    <row r="360">
      <c r="A360" s="135"/>
      <c r="B360" s="135"/>
      <c r="C360" s="135"/>
      <c r="D360" s="135"/>
      <c r="E360" s="135"/>
      <c r="F360" s="135"/>
      <c r="G360" s="135"/>
    </row>
    <row r="361">
      <c r="A361" s="135"/>
      <c r="B361" s="135"/>
      <c r="C361" s="135"/>
      <c r="D361" s="135"/>
      <c r="E361" s="135"/>
      <c r="F361" s="135"/>
      <c r="G361" s="135"/>
    </row>
    <row r="362">
      <c r="A362" s="135"/>
      <c r="B362" s="135"/>
      <c r="C362" s="135"/>
      <c r="D362" s="135"/>
      <c r="E362" s="135"/>
      <c r="F362" s="135"/>
      <c r="G362" s="135"/>
    </row>
    <row r="363">
      <c r="A363" s="135"/>
      <c r="B363" s="135"/>
      <c r="C363" s="135"/>
      <c r="D363" s="135"/>
      <c r="E363" s="135"/>
      <c r="F363" s="135"/>
      <c r="G363" s="135"/>
    </row>
    <row r="364">
      <c r="A364" s="135"/>
      <c r="B364" s="135"/>
      <c r="C364" s="135"/>
      <c r="D364" s="135"/>
      <c r="E364" s="135"/>
      <c r="F364" s="135"/>
      <c r="G364" s="135"/>
    </row>
    <row r="365">
      <c r="A365" s="135"/>
      <c r="B365" s="135"/>
      <c r="C365" s="135"/>
      <c r="D365" s="135"/>
      <c r="E365" s="135"/>
      <c r="F365" s="135"/>
      <c r="G365" s="135"/>
    </row>
    <row r="366">
      <c r="A366" s="135"/>
      <c r="B366" s="135"/>
      <c r="C366" s="135"/>
      <c r="D366" s="135"/>
      <c r="E366" s="135"/>
      <c r="F366" s="135"/>
      <c r="G366" s="135"/>
    </row>
    <row r="367">
      <c r="A367" s="135"/>
      <c r="B367" s="135"/>
      <c r="C367" s="135"/>
      <c r="D367" s="135"/>
      <c r="E367" s="135"/>
      <c r="F367" s="135"/>
      <c r="G367" s="135"/>
    </row>
    <row r="368">
      <c r="A368" s="135"/>
      <c r="B368" s="135"/>
      <c r="C368" s="135"/>
      <c r="D368" s="135"/>
      <c r="E368" s="135"/>
      <c r="F368" s="135"/>
      <c r="G368" s="135"/>
    </row>
    <row r="369">
      <c r="A369" s="135"/>
      <c r="B369" s="135"/>
      <c r="C369" s="135"/>
      <c r="D369" s="135"/>
      <c r="E369" s="135"/>
      <c r="F369" s="135"/>
      <c r="G369" s="135"/>
    </row>
    <row r="370">
      <c r="A370" s="135"/>
      <c r="B370" s="135"/>
      <c r="C370" s="135"/>
      <c r="D370" s="135"/>
      <c r="E370" s="135"/>
      <c r="F370" s="135"/>
      <c r="G370" s="135"/>
    </row>
    <row r="371">
      <c r="A371" s="135"/>
      <c r="B371" s="135"/>
      <c r="C371" s="135"/>
      <c r="D371" s="135"/>
      <c r="E371" s="135"/>
      <c r="F371" s="135"/>
      <c r="G371" s="135"/>
    </row>
    <row r="372">
      <c r="A372" s="135"/>
      <c r="B372" s="135"/>
      <c r="C372" s="135"/>
      <c r="D372" s="135"/>
      <c r="E372" s="135"/>
      <c r="F372" s="135"/>
      <c r="G372" s="135"/>
    </row>
    <row r="373">
      <c r="A373" s="135"/>
      <c r="B373" s="135"/>
      <c r="C373" s="135"/>
      <c r="D373" s="135"/>
      <c r="E373" s="135"/>
      <c r="F373" s="135"/>
      <c r="G373" s="135"/>
    </row>
    <row r="374">
      <c r="A374" s="135"/>
      <c r="B374" s="135"/>
      <c r="C374" s="135"/>
      <c r="D374" s="135"/>
      <c r="E374" s="135"/>
      <c r="F374" s="135"/>
      <c r="G374" s="135"/>
    </row>
    <row r="375">
      <c r="A375" s="135"/>
      <c r="B375" s="135"/>
      <c r="C375" s="135"/>
      <c r="D375" s="135"/>
      <c r="E375" s="135"/>
      <c r="F375" s="135"/>
      <c r="G375" s="135"/>
    </row>
    <row r="376">
      <c r="A376" s="135"/>
      <c r="B376" s="135"/>
      <c r="C376" s="135"/>
      <c r="D376" s="135"/>
      <c r="E376" s="135"/>
      <c r="F376" s="135"/>
      <c r="G376" s="135"/>
    </row>
    <row r="377">
      <c r="A377" s="135"/>
      <c r="B377" s="135"/>
      <c r="C377" s="135"/>
      <c r="D377" s="135"/>
      <c r="E377" s="135"/>
      <c r="F377" s="135"/>
      <c r="G377" s="135"/>
    </row>
    <row r="378">
      <c r="A378" s="135"/>
      <c r="B378" s="135"/>
      <c r="C378" s="135"/>
      <c r="D378" s="135"/>
      <c r="E378" s="135"/>
      <c r="F378" s="135"/>
      <c r="G378" s="135"/>
    </row>
    <row r="379">
      <c r="A379" s="135"/>
      <c r="B379" s="135"/>
      <c r="C379" s="135"/>
      <c r="D379" s="135"/>
      <c r="E379" s="135"/>
      <c r="F379" s="135"/>
      <c r="G379" s="135"/>
    </row>
    <row r="380">
      <c r="A380" s="135"/>
      <c r="B380" s="135"/>
      <c r="C380" s="135"/>
      <c r="D380" s="135"/>
      <c r="E380" s="135"/>
      <c r="F380" s="135"/>
      <c r="G380" s="135"/>
    </row>
    <row r="381">
      <c r="A381" s="135"/>
      <c r="B381" s="135"/>
      <c r="C381" s="135"/>
      <c r="D381" s="135"/>
      <c r="E381" s="135"/>
      <c r="F381" s="135"/>
      <c r="G381" s="135"/>
    </row>
    <row r="382">
      <c r="A382" s="135"/>
      <c r="B382" s="135"/>
      <c r="C382" s="135"/>
      <c r="D382" s="135"/>
      <c r="E382" s="135"/>
      <c r="F382" s="135"/>
      <c r="G382" s="135"/>
    </row>
    <row r="383">
      <c r="A383" s="135"/>
      <c r="B383" s="135"/>
      <c r="C383" s="135"/>
      <c r="D383" s="135"/>
      <c r="E383" s="135"/>
      <c r="F383" s="135"/>
      <c r="G383" s="135"/>
    </row>
    <row r="384">
      <c r="A384" s="135"/>
      <c r="B384" s="135"/>
      <c r="C384" s="135"/>
      <c r="D384" s="135"/>
      <c r="E384" s="135"/>
      <c r="F384" s="135"/>
      <c r="G384" s="135"/>
    </row>
    <row r="385">
      <c r="A385" s="135"/>
      <c r="B385" s="135"/>
      <c r="C385" s="135"/>
      <c r="D385" s="135"/>
      <c r="E385" s="135"/>
      <c r="F385" s="135"/>
      <c r="G385" s="135"/>
    </row>
    <row r="386">
      <c r="A386" s="135"/>
      <c r="B386" s="135"/>
      <c r="C386" s="135"/>
      <c r="D386" s="135"/>
      <c r="E386" s="135"/>
      <c r="F386" s="135"/>
      <c r="G386" s="135"/>
    </row>
    <row r="387">
      <c r="A387" s="135"/>
      <c r="B387" s="135"/>
      <c r="C387" s="135"/>
      <c r="D387" s="135"/>
      <c r="E387" s="135"/>
      <c r="F387" s="135"/>
      <c r="G387" s="135"/>
    </row>
    <row r="388">
      <c r="A388" s="135"/>
      <c r="B388" s="135"/>
      <c r="C388" s="135"/>
      <c r="D388" s="135"/>
      <c r="E388" s="135"/>
      <c r="F388" s="135"/>
      <c r="G388" s="135"/>
    </row>
    <row r="389">
      <c r="A389" s="135"/>
      <c r="B389" s="135"/>
      <c r="C389" s="135"/>
      <c r="D389" s="135"/>
      <c r="E389" s="135"/>
      <c r="F389" s="135"/>
      <c r="G389" s="135"/>
    </row>
    <row r="390">
      <c r="A390" s="135"/>
      <c r="B390" s="135"/>
      <c r="C390" s="135"/>
      <c r="D390" s="135"/>
      <c r="E390" s="135"/>
      <c r="F390" s="135"/>
      <c r="G390" s="135"/>
    </row>
    <row r="391">
      <c r="A391" s="135"/>
      <c r="B391" s="135"/>
      <c r="C391" s="135"/>
      <c r="D391" s="135"/>
      <c r="E391" s="135"/>
      <c r="F391" s="135"/>
      <c r="G391" s="135"/>
    </row>
    <row r="392">
      <c r="A392" s="135"/>
      <c r="B392" s="135"/>
      <c r="C392" s="135"/>
      <c r="D392" s="135"/>
      <c r="E392" s="135"/>
      <c r="F392" s="135"/>
      <c r="G392" s="135"/>
    </row>
    <row r="393">
      <c r="A393" s="135"/>
      <c r="B393" s="135"/>
      <c r="C393" s="135"/>
      <c r="D393" s="135"/>
      <c r="E393" s="135"/>
      <c r="F393" s="135"/>
      <c r="G393" s="135"/>
    </row>
    <row r="394">
      <c r="A394" s="135"/>
      <c r="B394" s="135"/>
      <c r="C394" s="135"/>
      <c r="D394" s="135"/>
      <c r="E394" s="135"/>
      <c r="F394" s="135"/>
      <c r="G394" s="135"/>
    </row>
    <row r="395">
      <c r="A395" s="135"/>
      <c r="B395" s="135"/>
      <c r="C395" s="135"/>
      <c r="D395" s="135"/>
      <c r="E395" s="135"/>
      <c r="F395" s="135"/>
      <c r="G395" s="135"/>
    </row>
    <row r="396">
      <c r="A396" s="135"/>
      <c r="B396" s="135"/>
      <c r="C396" s="135"/>
      <c r="D396" s="135"/>
      <c r="E396" s="135"/>
      <c r="F396" s="135"/>
      <c r="G396" s="135"/>
    </row>
    <row r="397">
      <c r="A397" s="135"/>
      <c r="B397" s="135"/>
      <c r="C397" s="135"/>
      <c r="D397" s="135"/>
      <c r="E397" s="135"/>
      <c r="F397" s="135"/>
      <c r="G397" s="135"/>
    </row>
    <row r="398">
      <c r="A398" s="135"/>
      <c r="B398" s="135"/>
      <c r="C398" s="135"/>
      <c r="D398" s="135"/>
      <c r="E398" s="135"/>
      <c r="F398" s="135"/>
      <c r="G398" s="135"/>
    </row>
    <row r="399">
      <c r="A399" s="135"/>
      <c r="B399" s="135"/>
      <c r="C399" s="135"/>
      <c r="D399" s="135"/>
      <c r="E399" s="135"/>
      <c r="F399" s="135"/>
      <c r="G399" s="135"/>
    </row>
    <row r="400">
      <c r="A400" s="135"/>
      <c r="B400" s="135"/>
      <c r="C400" s="135"/>
      <c r="D400" s="135"/>
      <c r="E400" s="135"/>
      <c r="F400" s="135"/>
      <c r="G400" s="135"/>
    </row>
    <row r="401">
      <c r="A401" s="135"/>
      <c r="B401" s="135"/>
      <c r="C401" s="135"/>
      <c r="D401" s="135"/>
      <c r="E401" s="135"/>
      <c r="F401" s="135"/>
      <c r="G401" s="135"/>
    </row>
    <row r="402">
      <c r="A402" s="135"/>
      <c r="B402" s="135"/>
      <c r="C402" s="135"/>
      <c r="D402" s="135"/>
      <c r="E402" s="135"/>
      <c r="F402" s="135"/>
      <c r="G402" s="135"/>
    </row>
    <row r="403">
      <c r="A403" s="135"/>
      <c r="B403" s="135"/>
      <c r="C403" s="135"/>
      <c r="D403" s="135"/>
      <c r="E403" s="135"/>
      <c r="F403" s="135"/>
      <c r="G403" s="135"/>
    </row>
    <row r="404">
      <c r="A404" s="135"/>
      <c r="B404" s="135"/>
      <c r="C404" s="135"/>
      <c r="D404" s="135"/>
      <c r="E404" s="135"/>
      <c r="F404" s="135"/>
      <c r="G404" s="135"/>
    </row>
    <row r="405">
      <c r="A405" s="135"/>
      <c r="B405" s="135"/>
      <c r="C405" s="135"/>
      <c r="D405" s="135"/>
      <c r="E405" s="135"/>
      <c r="F405" s="135"/>
      <c r="G405" s="135"/>
    </row>
    <row r="406">
      <c r="A406" s="135"/>
      <c r="B406" s="135"/>
      <c r="C406" s="135"/>
      <c r="D406" s="135"/>
      <c r="E406" s="135"/>
      <c r="F406" s="135"/>
      <c r="G406" s="135"/>
    </row>
    <row r="407">
      <c r="A407" s="135"/>
      <c r="B407" s="135"/>
      <c r="C407" s="135"/>
      <c r="D407" s="135"/>
      <c r="E407" s="135"/>
      <c r="F407" s="135"/>
      <c r="G407" s="135"/>
    </row>
    <row r="408">
      <c r="A408" s="135"/>
      <c r="B408" s="135"/>
      <c r="C408" s="135"/>
      <c r="D408" s="135"/>
      <c r="E408" s="135"/>
      <c r="F408" s="135"/>
      <c r="G408" s="135"/>
    </row>
    <row r="409">
      <c r="A409" s="135"/>
      <c r="B409" s="135"/>
      <c r="C409" s="135"/>
      <c r="D409" s="135"/>
      <c r="E409" s="135"/>
      <c r="F409" s="135"/>
      <c r="G409" s="135"/>
    </row>
    <row r="410">
      <c r="A410" s="135"/>
      <c r="B410" s="135"/>
      <c r="C410" s="135"/>
      <c r="D410" s="135"/>
      <c r="E410" s="135"/>
      <c r="F410" s="135"/>
      <c r="G410" s="135"/>
    </row>
    <row r="411">
      <c r="A411" s="135"/>
      <c r="B411" s="135"/>
      <c r="C411" s="135"/>
      <c r="D411" s="135"/>
      <c r="E411" s="135"/>
      <c r="F411" s="135"/>
      <c r="G411" s="135"/>
    </row>
    <row r="412">
      <c r="A412" s="135"/>
      <c r="B412" s="135"/>
      <c r="C412" s="135"/>
      <c r="D412" s="135"/>
      <c r="E412" s="135"/>
      <c r="F412" s="135"/>
      <c r="G412" s="135"/>
    </row>
    <row r="413">
      <c r="A413" s="135"/>
      <c r="B413" s="135"/>
      <c r="C413" s="135"/>
      <c r="D413" s="135"/>
      <c r="E413" s="135"/>
      <c r="F413" s="135"/>
      <c r="G413" s="135"/>
    </row>
    <row r="414">
      <c r="A414" s="135"/>
      <c r="B414" s="135"/>
      <c r="C414" s="135"/>
      <c r="D414" s="135"/>
      <c r="E414" s="135"/>
      <c r="F414" s="135"/>
      <c r="G414" s="135"/>
    </row>
    <row r="415">
      <c r="A415" s="135"/>
      <c r="B415" s="135"/>
      <c r="C415" s="135"/>
      <c r="D415" s="135"/>
      <c r="E415" s="135"/>
      <c r="F415" s="135"/>
      <c r="G415" s="135"/>
    </row>
    <row r="416">
      <c r="A416" s="135"/>
      <c r="B416" s="135"/>
      <c r="C416" s="135"/>
      <c r="D416" s="135"/>
      <c r="E416" s="135"/>
      <c r="F416" s="135"/>
      <c r="G416" s="135"/>
    </row>
    <row r="417">
      <c r="A417" s="135"/>
      <c r="B417" s="135"/>
      <c r="C417" s="135"/>
      <c r="D417" s="135"/>
      <c r="E417" s="135"/>
      <c r="F417" s="135"/>
      <c r="G417" s="135"/>
    </row>
    <row r="418">
      <c r="A418" s="135"/>
      <c r="B418" s="135"/>
      <c r="C418" s="135"/>
      <c r="D418" s="135"/>
      <c r="E418" s="135"/>
      <c r="F418" s="135"/>
      <c r="G418" s="135"/>
    </row>
    <row r="419">
      <c r="A419" s="135"/>
      <c r="B419" s="135"/>
      <c r="C419" s="135"/>
      <c r="D419" s="135"/>
      <c r="E419" s="135"/>
      <c r="F419" s="135"/>
      <c r="G419" s="135"/>
    </row>
    <row r="420">
      <c r="A420" s="135"/>
      <c r="B420" s="135"/>
      <c r="C420" s="135"/>
      <c r="D420" s="135"/>
      <c r="E420" s="135"/>
      <c r="F420" s="135"/>
      <c r="G420" s="135"/>
    </row>
    <row r="421">
      <c r="A421" s="135"/>
      <c r="B421" s="135"/>
      <c r="C421" s="135"/>
      <c r="D421" s="135"/>
      <c r="E421" s="135"/>
      <c r="F421" s="135"/>
      <c r="G421" s="135"/>
    </row>
    <row r="422">
      <c r="A422" s="135"/>
      <c r="B422" s="135"/>
      <c r="C422" s="135"/>
      <c r="D422" s="135"/>
      <c r="E422" s="135"/>
      <c r="F422" s="135"/>
      <c r="G422" s="135"/>
    </row>
    <row r="423">
      <c r="A423" s="135"/>
      <c r="B423" s="135"/>
      <c r="C423" s="135"/>
      <c r="D423" s="135"/>
      <c r="E423" s="135"/>
      <c r="F423" s="135"/>
      <c r="G423" s="135"/>
    </row>
    <row r="424">
      <c r="A424" s="135"/>
      <c r="B424" s="135"/>
      <c r="C424" s="135"/>
      <c r="D424" s="135"/>
      <c r="E424" s="135"/>
      <c r="F424" s="135"/>
      <c r="G424" s="135"/>
    </row>
    <row r="425">
      <c r="A425" s="135"/>
      <c r="B425" s="135"/>
      <c r="C425" s="135"/>
      <c r="D425" s="135"/>
      <c r="E425" s="135"/>
      <c r="F425" s="135"/>
      <c r="G425" s="135"/>
    </row>
    <row r="426">
      <c r="A426" s="135"/>
      <c r="B426" s="135"/>
      <c r="C426" s="135"/>
      <c r="D426" s="135"/>
      <c r="E426" s="135"/>
      <c r="F426" s="135"/>
      <c r="G426" s="135"/>
    </row>
    <row r="427">
      <c r="A427" s="135"/>
      <c r="B427" s="135"/>
      <c r="C427" s="135"/>
      <c r="D427" s="135"/>
      <c r="E427" s="135"/>
      <c r="F427" s="135"/>
      <c r="G427" s="135"/>
    </row>
    <row r="428">
      <c r="A428" s="135"/>
      <c r="B428" s="135"/>
      <c r="C428" s="135"/>
      <c r="D428" s="135"/>
      <c r="E428" s="135"/>
      <c r="F428" s="135"/>
      <c r="G428" s="135"/>
    </row>
    <row r="429">
      <c r="A429" s="135"/>
      <c r="B429" s="135"/>
      <c r="C429" s="135"/>
      <c r="D429" s="135"/>
      <c r="E429" s="135"/>
      <c r="F429" s="135"/>
      <c r="G429" s="135"/>
    </row>
    <row r="430">
      <c r="A430" s="135"/>
      <c r="B430" s="135"/>
      <c r="C430" s="135"/>
      <c r="D430" s="135"/>
      <c r="E430" s="135"/>
      <c r="F430" s="135"/>
      <c r="G430" s="135"/>
    </row>
    <row r="431">
      <c r="A431" s="135"/>
      <c r="B431" s="135"/>
      <c r="C431" s="135"/>
      <c r="D431" s="135"/>
      <c r="E431" s="135"/>
      <c r="F431" s="135"/>
      <c r="G431" s="135"/>
    </row>
    <row r="432">
      <c r="A432" s="135"/>
      <c r="B432" s="135"/>
      <c r="C432" s="135"/>
      <c r="D432" s="135"/>
      <c r="E432" s="135"/>
      <c r="F432" s="135"/>
      <c r="G432" s="135"/>
    </row>
    <row r="433">
      <c r="A433" s="135"/>
      <c r="B433" s="135"/>
      <c r="C433" s="135"/>
      <c r="D433" s="135"/>
      <c r="E433" s="135"/>
      <c r="F433" s="135"/>
      <c r="G433" s="135"/>
    </row>
    <row r="434">
      <c r="A434" s="135"/>
      <c r="B434" s="135"/>
      <c r="C434" s="135"/>
      <c r="D434" s="135"/>
      <c r="E434" s="135"/>
      <c r="F434" s="135"/>
      <c r="G434" s="135"/>
    </row>
    <row r="435">
      <c r="A435" s="135"/>
      <c r="B435" s="135"/>
      <c r="C435" s="135"/>
      <c r="D435" s="135"/>
      <c r="E435" s="135"/>
      <c r="F435" s="135"/>
      <c r="G435" s="135"/>
    </row>
    <row r="436">
      <c r="A436" s="135"/>
      <c r="B436" s="135"/>
      <c r="C436" s="135"/>
      <c r="D436" s="135"/>
      <c r="E436" s="135"/>
      <c r="F436" s="135"/>
      <c r="G436" s="135"/>
    </row>
    <row r="437">
      <c r="A437" s="135"/>
      <c r="B437" s="135"/>
      <c r="C437" s="135"/>
      <c r="D437" s="135"/>
      <c r="E437" s="135"/>
      <c r="F437" s="135"/>
      <c r="G437" s="135"/>
    </row>
    <row r="438">
      <c r="A438" s="135"/>
      <c r="B438" s="135"/>
      <c r="C438" s="135"/>
      <c r="D438" s="135"/>
      <c r="E438" s="135"/>
      <c r="F438" s="135"/>
      <c r="G438" s="135"/>
    </row>
    <row r="439">
      <c r="A439" s="135"/>
      <c r="B439" s="135"/>
      <c r="C439" s="135"/>
      <c r="D439" s="135"/>
      <c r="E439" s="135"/>
      <c r="F439" s="135"/>
      <c r="G439" s="135"/>
    </row>
    <row r="440">
      <c r="A440" s="135"/>
      <c r="B440" s="135"/>
      <c r="C440" s="135"/>
      <c r="D440" s="135"/>
      <c r="E440" s="135"/>
      <c r="F440" s="135"/>
      <c r="G440" s="135"/>
    </row>
    <row r="441">
      <c r="A441" s="135"/>
      <c r="B441" s="135"/>
      <c r="C441" s="135"/>
      <c r="D441" s="135"/>
      <c r="E441" s="135"/>
      <c r="F441" s="135"/>
      <c r="G441" s="135"/>
    </row>
    <row r="442">
      <c r="A442" s="135"/>
      <c r="B442" s="135"/>
      <c r="C442" s="135"/>
      <c r="D442" s="135"/>
      <c r="E442" s="135"/>
      <c r="F442" s="135"/>
      <c r="G442" s="135"/>
    </row>
    <row r="443">
      <c r="A443" s="135"/>
      <c r="B443" s="135"/>
      <c r="C443" s="135"/>
      <c r="D443" s="135"/>
      <c r="E443" s="135"/>
      <c r="F443" s="135"/>
      <c r="G443" s="135"/>
    </row>
    <row r="444">
      <c r="A444" s="135"/>
      <c r="B444" s="135"/>
      <c r="C444" s="135"/>
      <c r="D444" s="135"/>
      <c r="E444" s="135"/>
      <c r="F444" s="135"/>
      <c r="G444" s="135"/>
    </row>
    <row r="445">
      <c r="A445" s="135"/>
      <c r="B445" s="135"/>
      <c r="C445" s="135"/>
      <c r="D445" s="135"/>
      <c r="E445" s="135"/>
      <c r="F445" s="135"/>
      <c r="G445" s="135"/>
    </row>
    <row r="446">
      <c r="A446" s="135"/>
      <c r="B446" s="135"/>
      <c r="C446" s="135"/>
      <c r="D446" s="135"/>
      <c r="E446" s="135"/>
      <c r="F446" s="135"/>
      <c r="G446" s="135"/>
    </row>
    <row r="447">
      <c r="A447" s="135"/>
      <c r="B447" s="135"/>
      <c r="C447" s="135"/>
      <c r="D447" s="135"/>
      <c r="E447" s="135"/>
      <c r="F447" s="135"/>
      <c r="G447" s="135"/>
    </row>
    <row r="448">
      <c r="A448" s="135"/>
      <c r="B448" s="135"/>
      <c r="C448" s="135"/>
      <c r="D448" s="135"/>
      <c r="E448" s="135"/>
      <c r="F448" s="135"/>
      <c r="G448" s="135"/>
    </row>
    <row r="449">
      <c r="A449" s="135"/>
      <c r="B449" s="135"/>
      <c r="C449" s="135"/>
      <c r="D449" s="135"/>
      <c r="E449" s="135"/>
      <c r="F449" s="135"/>
      <c r="G449" s="135"/>
    </row>
    <row r="450">
      <c r="A450" s="135"/>
      <c r="B450" s="135"/>
      <c r="C450" s="135"/>
      <c r="D450" s="135"/>
      <c r="E450" s="135"/>
      <c r="F450" s="135"/>
      <c r="G450" s="135"/>
    </row>
    <row r="451">
      <c r="A451" s="135"/>
      <c r="B451" s="135"/>
      <c r="C451" s="135"/>
      <c r="D451" s="135"/>
      <c r="E451" s="135"/>
      <c r="F451" s="135"/>
      <c r="G451" s="135"/>
    </row>
    <row r="452">
      <c r="A452" s="135"/>
      <c r="B452" s="135"/>
      <c r="C452" s="135"/>
      <c r="D452" s="135"/>
      <c r="E452" s="135"/>
      <c r="F452" s="135"/>
      <c r="G452" s="135"/>
    </row>
    <row r="453">
      <c r="A453" s="135"/>
      <c r="B453" s="135"/>
      <c r="C453" s="135"/>
      <c r="D453" s="135"/>
      <c r="E453" s="135"/>
      <c r="F453" s="135"/>
      <c r="G453" s="135"/>
    </row>
    <row r="454">
      <c r="A454" s="135"/>
      <c r="B454" s="135"/>
      <c r="C454" s="135"/>
      <c r="D454" s="135"/>
      <c r="E454" s="135"/>
      <c r="F454" s="135"/>
      <c r="G454" s="135"/>
    </row>
    <row r="455">
      <c r="A455" s="135"/>
      <c r="B455" s="135"/>
      <c r="C455" s="135"/>
      <c r="D455" s="135"/>
      <c r="E455" s="135"/>
      <c r="F455" s="135"/>
      <c r="G455" s="135"/>
    </row>
    <row r="456">
      <c r="A456" s="135"/>
      <c r="B456" s="135"/>
      <c r="C456" s="135"/>
      <c r="D456" s="135"/>
      <c r="E456" s="135"/>
      <c r="F456" s="135"/>
      <c r="G456" s="135"/>
    </row>
    <row r="457">
      <c r="A457" s="135"/>
      <c r="B457" s="135"/>
      <c r="C457" s="135"/>
      <c r="D457" s="135"/>
      <c r="E457" s="135"/>
      <c r="F457" s="135"/>
      <c r="G457" s="135"/>
    </row>
    <row r="458">
      <c r="A458" s="135"/>
      <c r="B458" s="135"/>
      <c r="C458" s="135"/>
      <c r="D458" s="135"/>
      <c r="E458" s="135"/>
      <c r="F458" s="135"/>
      <c r="G458" s="135"/>
    </row>
    <row r="459">
      <c r="A459" s="135"/>
      <c r="B459" s="135"/>
      <c r="C459" s="135"/>
      <c r="D459" s="135"/>
      <c r="E459" s="135"/>
      <c r="F459" s="135"/>
      <c r="G459" s="135"/>
    </row>
    <row r="460">
      <c r="A460" s="135"/>
      <c r="B460" s="135"/>
      <c r="C460" s="135"/>
      <c r="D460" s="135"/>
      <c r="E460" s="135"/>
      <c r="F460" s="135"/>
      <c r="G460" s="135"/>
    </row>
    <row r="461">
      <c r="A461" s="135"/>
      <c r="B461" s="135"/>
      <c r="C461" s="135"/>
      <c r="D461" s="135"/>
      <c r="E461" s="135"/>
      <c r="F461" s="135"/>
      <c r="G461" s="135"/>
    </row>
    <row r="462">
      <c r="A462" s="135"/>
      <c r="B462" s="135"/>
      <c r="C462" s="135"/>
      <c r="D462" s="135"/>
      <c r="E462" s="135"/>
      <c r="F462" s="135"/>
      <c r="G462" s="135"/>
    </row>
    <row r="463">
      <c r="A463" s="135"/>
      <c r="B463" s="135"/>
      <c r="C463" s="135"/>
      <c r="D463" s="135"/>
      <c r="E463" s="135"/>
      <c r="F463" s="135"/>
      <c r="G463" s="135"/>
    </row>
    <row r="464">
      <c r="A464" s="135"/>
      <c r="B464" s="135"/>
      <c r="C464" s="135"/>
      <c r="D464" s="135"/>
      <c r="E464" s="135"/>
      <c r="F464" s="135"/>
      <c r="G464" s="135"/>
    </row>
    <row r="465">
      <c r="A465" s="135"/>
      <c r="B465" s="135"/>
      <c r="C465" s="135"/>
      <c r="D465" s="135"/>
      <c r="E465" s="135"/>
      <c r="F465" s="135"/>
      <c r="G465" s="135"/>
    </row>
    <row r="466">
      <c r="A466" s="135"/>
      <c r="B466" s="135"/>
      <c r="C466" s="135"/>
      <c r="D466" s="135"/>
      <c r="E466" s="135"/>
      <c r="F466" s="135"/>
      <c r="G466" s="135"/>
    </row>
    <row r="467">
      <c r="A467" s="135"/>
      <c r="B467" s="135"/>
      <c r="C467" s="135"/>
      <c r="D467" s="135"/>
      <c r="E467" s="135"/>
      <c r="F467" s="135"/>
      <c r="G467" s="135"/>
    </row>
    <row r="468">
      <c r="A468" s="135"/>
      <c r="B468" s="135"/>
      <c r="C468" s="135"/>
      <c r="D468" s="135"/>
      <c r="E468" s="135"/>
      <c r="F468" s="135"/>
      <c r="G468" s="135"/>
    </row>
    <row r="469">
      <c r="A469" s="135"/>
      <c r="B469" s="135"/>
      <c r="C469" s="135"/>
      <c r="D469" s="135"/>
      <c r="E469" s="135"/>
      <c r="F469" s="135"/>
      <c r="G469" s="135"/>
    </row>
    <row r="470">
      <c r="A470" s="135"/>
      <c r="B470" s="135"/>
      <c r="C470" s="135"/>
      <c r="D470" s="135"/>
      <c r="E470" s="135"/>
      <c r="F470" s="135"/>
      <c r="G470" s="135"/>
    </row>
    <row r="471">
      <c r="A471" s="135"/>
      <c r="B471" s="135"/>
      <c r="C471" s="135"/>
      <c r="D471" s="135"/>
      <c r="E471" s="135"/>
      <c r="F471" s="135"/>
      <c r="G471" s="135"/>
    </row>
    <row r="472">
      <c r="A472" s="135"/>
      <c r="B472" s="135"/>
      <c r="C472" s="135"/>
      <c r="D472" s="135"/>
      <c r="E472" s="135"/>
      <c r="F472" s="135"/>
      <c r="G472" s="135"/>
    </row>
    <row r="473">
      <c r="A473" s="135"/>
      <c r="B473" s="135"/>
      <c r="C473" s="135"/>
      <c r="D473" s="135"/>
      <c r="E473" s="135"/>
      <c r="F473" s="135"/>
      <c r="G473" s="135"/>
    </row>
    <row r="474">
      <c r="A474" s="135"/>
      <c r="B474" s="135"/>
      <c r="C474" s="135"/>
      <c r="D474" s="135"/>
      <c r="E474" s="135"/>
      <c r="F474" s="135"/>
      <c r="G474" s="135"/>
    </row>
    <row r="475">
      <c r="A475" s="135"/>
      <c r="B475" s="135"/>
      <c r="C475" s="135"/>
      <c r="D475" s="135"/>
      <c r="E475" s="135"/>
      <c r="F475" s="135"/>
      <c r="G475" s="135"/>
    </row>
    <row r="476">
      <c r="A476" s="135"/>
      <c r="B476" s="135"/>
      <c r="C476" s="135"/>
      <c r="D476" s="135"/>
      <c r="E476" s="135"/>
      <c r="F476" s="135"/>
      <c r="G476" s="135"/>
    </row>
    <row r="477">
      <c r="A477" s="135"/>
      <c r="B477" s="135"/>
      <c r="C477" s="135"/>
      <c r="D477" s="135"/>
      <c r="E477" s="135"/>
      <c r="F477" s="135"/>
      <c r="G477" s="135"/>
    </row>
    <row r="478">
      <c r="A478" s="135"/>
      <c r="B478" s="135"/>
      <c r="C478" s="135"/>
      <c r="D478" s="135"/>
      <c r="E478" s="135"/>
      <c r="F478" s="135"/>
      <c r="G478" s="135"/>
    </row>
    <row r="479">
      <c r="A479" s="135"/>
      <c r="B479" s="135"/>
      <c r="C479" s="135"/>
      <c r="D479" s="135"/>
      <c r="E479" s="135"/>
      <c r="F479" s="135"/>
      <c r="G479" s="135"/>
    </row>
    <row r="480">
      <c r="A480" s="135"/>
      <c r="B480" s="135"/>
      <c r="C480" s="135"/>
      <c r="D480" s="135"/>
      <c r="E480" s="135"/>
      <c r="F480" s="135"/>
      <c r="G480" s="135"/>
    </row>
    <row r="481">
      <c r="A481" s="135"/>
      <c r="B481" s="135"/>
      <c r="C481" s="135"/>
      <c r="D481" s="135"/>
      <c r="E481" s="135"/>
      <c r="F481" s="135"/>
      <c r="G481" s="135"/>
    </row>
    <row r="482">
      <c r="A482" s="135"/>
      <c r="B482" s="135"/>
      <c r="C482" s="135"/>
      <c r="D482" s="135"/>
      <c r="E482" s="135"/>
      <c r="F482" s="135"/>
      <c r="G482" s="135"/>
    </row>
    <row r="483">
      <c r="A483" s="135"/>
      <c r="B483" s="135"/>
      <c r="C483" s="135"/>
      <c r="D483" s="135"/>
      <c r="E483" s="135"/>
      <c r="F483" s="135"/>
      <c r="G483" s="135"/>
    </row>
    <row r="484">
      <c r="A484" s="135"/>
      <c r="B484" s="135"/>
      <c r="C484" s="135"/>
      <c r="D484" s="135"/>
      <c r="E484" s="135"/>
      <c r="F484" s="135"/>
      <c r="G484" s="135"/>
    </row>
    <row r="485">
      <c r="A485" s="135"/>
      <c r="B485" s="135"/>
      <c r="C485" s="135"/>
      <c r="D485" s="135"/>
      <c r="E485" s="135"/>
      <c r="F485" s="135"/>
      <c r="G485" s="135"/>
    </row>
    <row r="486">
      <c r="A486" s="135"/>
      <c r="B486" s="135"/>
      <c r="C486" s="135"/>
      <c r="D486" s="135"/>
      <c r="E486" s="135"/>
      <c r="F486" s="135"/>
      <c r="G486" s="135"/>
    </row>
    <row r="487">
      <c r="A487" s="135"/>
      <c r="B487" s="135"/>
      <c r="C487" s="135"/>
      <c r="D487" s="135"/>
      <c r="E487" s="135"/>
      <c r="F487" s="135"/>
      <c r="G487" s="135"/>
    </row>
    <row r="488">
      <c r="A488" s="135"/>
      <c r="B488" s="135"/>
      <c r="C488" s="135"/>
      <c r="D488" s="135"/>
      <c r="E488" s="135"/>
      <c r="F488" s="135"/>
      <c r="G488" s="135"/>
    </row>
    <row r="489">
      <c r="A489" s="135"/>
      <c r="B489" s="135"/>
      <c r="C489" s="135"/>
      <c r="D489" s="135"/>
      <c r="E489" s="135"/>
      <c r="F489" s="135"/>
      <c r="G489" s="135"/>
    </row>
    <row r="490">
      <c r="A490" s="135"/>
      <c r="B490" s="135"/>
      <c r="C490" s="135"/>
      <c r="D490" s="135"/>
      <c r="E490" s="135"/>
      <c r="F490" s="135"/>
      <c r="G490" s="135"/>
    </row>
    <row r="491">
      <c r="A491" s="135"/>
      <c r="B491" s="135"/>
      <c r="C491" s="135"/>
      <c r="D491" s="135"/>
      <c r="E491" s="135"/>
      <c r="F491" s="135"/>
      <c r="G491" s="135"/>
    </row>
    <row r="492">
      <c r="A492" s="135"/>
      <c r="B492" s="135"/>
      <c r="C492" s="135"/>
      <c r="D492" s="135"/>
      <c r="E492" s="135"/>
      <c r="F492" s="135"/>
      <c r="G492" s="135"/>
    </row>
    <row r="493">
      <c r="A493" s="135"/>
      <c r="B493" s="135"/>
      <c r="C493" s="135"/>
      <c r="D493" s="135"/>
      <c r="E493" s="135"/>
      <c r="F493" s="135"/>
      <c r="G493" s="135"/>
    </row>
    <row r="494">
      <c r="A494" s="135"/>
      <c r="B494" s="135"/>
      <c r="C494" s="135"/>
      <c r="D494" s="135"/>
      <c r="E494" s="135"/>
      <c r="F494" s="135"/>
      <c r="G494" s="135"/>
    </row>
    <row r="495">
      <c r="A495" s="135"/>
      <c r="B495" s="135"/>
      <c r="C495" s="135"/>
      <c r="D495" s="135"/>
      <c r="E495" s="135"/>
      <c r="F495" s="135"/>
      <c r="G495" s="135"/>
    </row>
    <row r="496">
      <c r="A496" s="135"/>
      <c r="B496" s="135"/>
      <c r="C496" s="135"/>
      <c r="D496" s="135"/>
      <c r="E496" s="135"/>
      <c r="F496" s="135"/>
      <c r="G496" s="135"/>
    </row>
    <row r="497">
      <c r="A497" s="135"/>
      <c r="B497" s="135"/>
      <c r="C497" s="135"/>
      <c r="D497" s="135"/>
      <c r="E497" s="135"/>
      <c r="F497" s="135"/>
      <c r="G497" s="135"/>
    </row>
    <row r="498">
      <c r="A498" s="135"/>
      <c r="B498" s="135"/>
      <c r="C498" s="135"/>
      <c r="D498" s="135"/>
      <c r="E498" s="135"/>
      <c r="F498" s="135"/>
      <c r="G498" s="135"/>
    </row>
    <row r="499">
      <c r="A499" s="135"/>
      <c r="B499" s="135"/>
      <c r="C499" s="135"/>
      <c r="D499" s="135"/>
      <c r="E499" s="135"/>
      <c r="F499" s="135"/>
      <c r="G499" s="135"/>
    </row>
    <row r="500">
      <c r="A500" s="135"/>
      <c r="B500" s="135"/>
      <c r="C500" s="135"/>
      <c r="D500" s="135"/>
      <c r="E500" s="135"/>
      <c r="F500" s="135"/>
      <c r="G500" s="135"/>
    </row>
    <row r="501">
      <c r="A501" s="135"/>
      <c r="B501" s="135"/>
      <c r="C501" s="135"/>
      <c r="D501" s="135"/>
      <c r="E501" s="135"/>
      <c r="F501" s="135"/>
      <c r="G501" s="135"/>
    </row>
    <row r="502">
      <c r="A502" s="135"/>
      <c r="B502" s="135"/>
      <c r="C502" s="135"/>
      <c r="D502" s="135"/>
      <c r="E502" s="135"/>
      <c r="F502" s="135"/>
      <c r="G502" s="135"/>
    </row>
    <row r="503">
      <c r="A503" s="135"/>
      <c r="B503" s="135"/>
      <c r="C503" s="135"/>
      <c r="D503" s="135"/>
      <c r="E503" s="135"/>
      <c r="F503" s="135"/>
      <c r="G503" s="135"/>
    </row>
    <row r="504">
      <c r="A504" s="135"/>
      <c r="B504" s="135"/>
      <c r="C504" s="135"/>
      <c r="D504" s="135"/>
      <c r="E504" s="135"/>
      <c r="F504" s="135"/>
      <c r="G504" s="135"/>
    </row>
    <row r="505">
      <c r="A505" s="135"/>
      <c r="B505" s="135"/>
      <c r="C505" s="135"/>
      <c r="D505" s="135"/>
      <c r="E505" s="135"/>
      <c r="F505" s="135"/>
      <c r="G505" s="135"/>
    </row>
    <row r="506">
      <c r="A506" s="135"/>
      <c r="B506" s="135"/>
      <c r="C506" s="135"/>
      <c r="D506" s="135"/>
      <c r="E506" s="135"/>
      <c r="F506" s="135"/>
      <c r="G506" s="135"/>
    </row>
    <row r="507">
      <c r="A507" s="135"/>
      <c r="B507" s="135"/>
      <c r="C507" s="135"/>
      <c r="D507" s="135"/>
      <c r="E507" s="135"/>
      <c r="F507" s="135"/>
      <c r="G507" s="135"/>
    </row>
    <row r="508">
      <c r="A508" s="135"/>
      <c r="B508" s="135"/>
      <c r="C508" s="135"/>
      <c r="D508" s="135"/>
      <c r="E508" s="135"/>
      <c r="F508" s="135"/>
      <c r="G508" s="135"/>
    </row>
    <row r="509">
      <c r="A509" s="135"/>
      <c r="B509" s="135"/>
      <c r="C509" s="135"/>
      <c r="D509" s="135"/>
      <c r="E509" s="135"/>
      <c r="F509" s="135"/>
      <c r="G509" s="135"/>
    </row>
    <row r="510">
      <c r="A510" s="135"/>
      <c r="B510" s="135"/>
      <c r="C510" s="135"/>
      <c r="D510" s="135"/>
      <c r="E510" s="135"/>
      <c r="F510" s="135"/>
      <c r="G510" s="135"/>
    </row>
    <row r="511">
      <c r="A511" s="135"/>
      <c r="B511" s="135"/>
      <c r="C511" s="135"/>
      <c r="D511" s="135"/>
      <c r="E511" s="135"/>
      <c r="F511" s="135"/>
      <c r="G511" s="135"/>
    </row>
    <row r="512">
      <c r="A512" s="135"/>
      <c r="B512" s="135"/>
      <c r="C512" s="135"/>
      <c r="D512" s="135"/>
      <c r="E512" s="135"/>
      <c r="F512" s="135"/>
      <c r="G512" s="135"/>
    </row>
    <row r="513">
      <c r="A513" s="135"/>
      <c r="B513" s="135"/>
      <c r="C513" s="135"/>
      <c r="D513" s="135"/>
      <c r="E513" s="135"/>
      <c r="F513" s="135"/>
      <c r="G513" s="135"/>
    </row>
    <row r="514">
      <c r="A514" s="135"/>
      <c r="B514" s="135"/>
      <c r="C514" s="135"/>
      <c r="D514" s="135"/>
      <c r="E514" s="135"/>
      <c r="F514" s="135"/>
      <c r="G514" s="135"/>
    </row>
    <row r="515">
      <c r="A515" s="135"/>
      <c r="B515" s="135"/>
      <c r="C515" s="135"/>
      <c r="D515" s="135"/>
      <c r="E515" s="135"/>
      <c r="F515" s="135"/>
      <c r="G515" s="135"/>
    </row>
    <row r="516">
      <c r="A516" s="135"/>
      <c r="B516" s="135"/>
      <c r="C516" s="135"/>
      <c r="D516" s="135"/>
      <c r="E516" s="135"/>
      <c r="F516" s="135"/>
      <c r="G516" s="135"/>
    </row>
    <row r="517">
      <c r="A517" s="135"/>
      <c r="B517" s="135"/>
      <c r="C517" s="135"/>
      <c r="D517" s="135"/>
      <c r="E517" s="135"/>
      <c r="F517" s="135"/>
      <c r="G517" s="135"/>
    </row>
    <row r="518">
      <c r="A518" s="135"/>
      <c r="B518" s="135"/>
      <c r="C518" s="135"/>
      <c r="D518" s="135"/>
      <c r="E518" s="135"/>
      <c r="F518" s="135"/>
      <c r="G518" s="135"/>
    </row>
    <row r="519">
      <c r="A519" s="135"/>
      <c r="B519" s="135"/>
      <c r="C519" s="135"/>
      <c r="D519" s="135"/>
      <c r="E519" s="135"/>
      <c r="F519" s="135"/>
      <c r="G519" s="135"/>
    </row>
    <row r="520">
      <c r="A520" s="135"/>
      <c r="B520" s="135"/>
      <c r="C520" s="135"/>
      <c r="D520" s="135"/>
      <c r="E520" s="135"/>
      <c r="F520" s="135"/>
      <c r="G520" s="135"/>
    </row>
    <row r="521">
      <c r="A521" s="135"/>
      <c r="B521" s="135"/>
      <c r="C521" s="135"/>
      <c r="D521" s="135"/>
      <c r="E521" s="135"/>
      <c r="F521" s="135"/>
      <c r="G521" s="135"/>
    </row>
    <row r="522">
      <c r="A522" s="135"/>
      <c r="B522" s="135"/>
      <c r="C522" s="135"/>
      <c r="D522" s="135"/>
      <c r="E522" s="135"/>
      <c r="F522" s="135"/>
      <c r="G522" s="135"/>
    </row>
    <row r="523">
      <c r="A523" s="135"/>
      <c r="B523" s="135"/>
      <c r="C523" s="135"/>
      <c r="D523" s="135"/>
      <c r="E523" s="135"/>
      <c r="F523" s="135"/>
      <c r="G523" s="135"/>
    </row>
    <row r="524">
      <c r="A524" s="135"/>
      <c r="B524" s="135"/>
      <c r="C524" s="135"/>
      <c r="D524" s="135"/>
      <c r="E524" s="135"/>
      <c r="F524" s="135"/>
      <c r="G524" s="135"/>
    </row>
    <row r="525">
      <c r="A525" s="135"/>
      <c r="B525" s="135"/>
      <c r="C525" s="135"/>
      <c r="D525" s="135"/>
      <c r="E525" s="135"/>
      <c r="F525" s="135"/>
      <c r="G525" s="135"/>
    </row>
    <row r="526">
      <c r="A526" s="135"/>
      <c r="B526" s="135"/>
      <c r="C526" s="135"/>
      <c r="D526" s="135"/>
      <c r="E526" s="135"/>
      <c r="F526" s="135"/>
      <c r="G526" s="135"/>
    </row>
    <row r="527">
      <c r="A527" s="135"/>
      <c r="B527" s="135"/>
      <c r="C527" s="135"/>
      <c r="D527" s="135"/>
      <c r="E527" s="135"/>
      <c r="F527" s="135"/>
      <c r="G527" s="135"/>
    </row>
    <row r="528">
      <c r="A528" s="135"/>
      <c r="B528" s="135"/>
      <c r="C528" s="135"/>
      <c r="D528" s="135"/>
      <c r="E528" s="135"/>
      <c r="F528" s="135"/>
      <c r="G528" s="135"/>
    </row>
    <row r="529">
      <c r="A529" s="135"/>
      <c r="B529" s="135"/>
      <c r="C529" s="135"/>
      <c r="D529" s="135"/>
      <c r="E529" s="135"/>
      <c r="F529" s="135"/>
      <c r="G529" s="135"/>
    </row>
    <row r="530">
      <c r="A530" s="135"/>
      <c r="B530" s="135"/>
      <c r="C530" s="135"/>
      <c r="D530" s="135"/>
      <c r="E530" s="135"/>
      <c r="F530" s="135"/>
      <c r="G530" s="135"/>
    </row>
    <row r="531">
      <c r="A531" s="135"/>
      <c r="B531" s="135"/>
      <c r="C531" s="135"/>
      <c r="D531" s="135"/>
      <c r="E531" s="135"/>
      <c r="F531" s="135"/>
      <c r="G531" s="135"/>
    </row>
    <row r="532">
      <c r="A532" s="135"/>
      <c r="B532" s="135"/>
      <c r="C532" s="135"/>
      <c r="D532" s="135"/>
      <c r="E532" s="135"/>
      <c r="F532" s="135"/>
      <c r="G532" s="135"/>
    </row>
    <row r="533">
      <c r="A533" s="135"/>
      <c r="B533" s="135"/>
      <c r="C533" s="135"/>
      <c r="D533" s="135"/>
      <c r="E533" s="135"/>
      <c r="F533" s="135"/>
      <c r="G533" s="135"/>
    </row>
    <row r="534">
      <c r="A534" s="135"/>
      <c r="B534" s="135"/>
      <c r="C534" s="135"/>
      <c r="D534" s="135"/>
      <c r="E534" s="135"/>
      <c r="F534" s="135"/>
      <c r="G534" s="135"/>
    </row>
    <row r="535">
      <c r="A535" s="135"/>
      <c r="B535" s="135"/>
      <c r="C535" s="135"/>
      <c r="D535" s="135"/>
      <c r="E535" s="135"/>
      <c r="F535" s="135"/>
      <c r="G535" s="135"/>
    </row>
    <row r="536">
      <c r="A536" s="135"/>
      <c r="B536" s="135"/>
      <c r="C536" s="135"/>
      <c r="D536" s="135"/>
      <c r="E536" s="135"/>
      <c r="F536" s="135"/>
      <c r="G536" s="135"/>
    </row>
    <row r="537">
      <c r="A537" s="135"/>
      <c r="B537" s="135"/>
      <c r="C537" s="135"/>
      <c r="D537" s="135"/>
      <c r="E537" s="135"/>
      <c r="F537" s="135"/>
      <c r="G537" s="135"/>
    </row>
    <row r="538">
      <c r="A538" s="135"/>
      <c r="B538" s="135"/>
      <c r="C538" s="135"/>
      <c r="D538" s="135"/>
      <c r="E538" s="135"/>
      <c r="F538" s="135"/>
      <c r="G538" s="135"/>
    </row>
    <row r="539">
      <c r="A539" s="135"/>
      <c r="B539" s="135"/>
      <c r="C539" s="135"/>
      <c r="D539" s="135"/>
      <c r="E539" s="135"/>
      <c r="F539" s="135"/>
      <c r="G539" s="135"/>
    </row>
    <row r="540">
      <c r="A540" s="135"/>
      <c r="B540" s="135"/>
      <c r="C540" s="135"/>
      <c r="D540" s="135"/>
      <c r="E540" s="135"/>
      <c r="F540" s="135"/>
      <c r="G540" s="135"/>
    </row>
    <row r="541">
      <c r="A541" s="135"/>
      <c r="B541" s="135"/>
      <c r="C541" s="135"/>
      <c r="D541" s="135"/>
      <c r="E541" s="135"/>
      <c r="F541" s="135"/>
      <c r="G541" s="135"/>
    </row>
    <row r="542">
      <c r="A542" s="135"/>
      <c r="B542" s="135"/>
      <c r="C542" s="135"/>
      <c r="D542" s="135"/>
      <c r="E542" s="135"/>
      <c r="F542" s="135"/>
      <c r="G542" s="135"/>
    </row>
    <row r="543">
      <c r="A543" s="135"/>
      <c r="B543" s="135"/>
      <c r="C543" s="135"/>
      <c r="D543" s="135"/>
      <c r="E543" s="135"/>
      <c r="F543" s="135"/>
      <c r="G543" s="135"/>
    </row>
    <row r="544">
      <c r="A544" s="135"/>
      <c r="B544" s="135"/>
      <c r="C544" s="135"/>
      <c r="D544" s="135"/>
      <c r="E544" s="135"/>
      <c r="F544" s="135"/>
      <c r="G544" s="135"/>
    </row>
    <row r="545">
      <c r="A545" s="135"/>
      <c r="B545" s="135"/>
      <c r="C545" s="135"/>
      <c r="D545" s="135"/>
      <c r="E545" s="135"/>
      <c r="F545" s="135"/>
      <c r="G545" s="135"/>
    </row>
    <row r="546">
      <c r="A546" s="135"/>
      <c r="B546" s="135"/>
      <c r="C546" s="135"/>
      <c r="D546" s="135"/>
      <c r="E546" s="135"/>
      <c r="F546" s="135"/>
      <c r="G546" s="135"/>
    </row>
    <row r="547">
      <c r="A547" s="135"/>
      <c r="B547" s="135"/>
      <c r="C547" s="135"/>
      <c r="D547" s="135"/>
      <c r="E547" s="135"/>
      <c r="F547" s="135"/>
      <c r="G547" s="135"/>
    </row>
    <row r="548">
      <c r="A548" s="135"/>
      <c r="B548" s="135"/>
      <c r="C548" s="135"/>
      <c r="D548" s="135"/>
      <c r="E548" s="135"/>
      <c r="F548" s="135"/>
      <c r="G548" s="135"/>
    </row>
    <row r="549">
      <c r="A549" s="135"/>
      <c r="B549" s="135"/>
      <c r="C549" s="135"/>
      <c r="D549" s="135"/>
      <c r="E549" s="135"/>
      <c r="F549" s="135"/>
      <c r="G549" s="135"/>
    </row>
    <row r="550">
      <c r="A550" s="135"/>
      <c r="B550" s="135"/>
      <c r="C550" s="135"/>
      <c r="D550" s="135"/>
      <c r="E550" s="135"/>
      <c r="F550" s="135"/>
      <c r="G550" s="135"/>
    </row>
    <row r="551">
      <c r="A551" s="135"/>
      <c r="B551" s="135"/>
      <c r="C551" s="135"/>
      <c r="D551" s="135"/>
      <c r="E551" s="135"/>
      <c r="F551" s="135"/>
      <c r="G551" s="135"/>
    </row>
    <row r="552">
      <c r="A552" s="135"/>
      <c r="B552" s="135"/>
      <c r="C552" s="135"/>
      <c r="D552" s="135"/>
      <c r="E552" s="135"/>
      <c r="F552" s="135"/>
      <c r="G552" s="135"/>
    </row>
    <row r="553">
      <c r="A553" s="135"/>
      <c r="B553" s="135"/>
      <c r="C553" s="135"/>
      <c r="D553" s="135"/>
      <c r="E553" s="135"/>
      <c r="F553" s="135"/>
      <c r="G553" s="135"/>
    </row>
    <row r="554">
      <c r="A554" s="135"/>
      <c r="B554" s="135"/>
      <c r="C554" s="135"/>
      <c r="D554" s="135"/>
      <c r="E554" s="135"/>
      <c r="F554" s="135"/>
      <c r="G554" s="135"/>
    </row>
    <row r="555">
      <c r="A555" s="135"/>
      <c r="B555" s="135"/>
      <c r="C555" s="135"/>
      <c r="D555" s="135"/>
      <c r="E555" s="135"/>
      <c r="F555" s="135"/>
      <c r="G555" s="135"/>
    </row>
    <row r="556">
      <c r="A556" s="135"/>
      <c r="B556" s="135"/>
      <c r="C556" s="135"/>
      <c r="D556" s="135"/>
      <c r="E556" s="135"/>
      <c r="F556" s="135"/>
      <c r="G556" s="135"/>
    </row>
    <row r="557">
      <c r="A557" s="135"/>
      <c r="B557" s="135"/>
      <c r="C557" s="135"/>
      <c r="D557" s="135"/>
      <c r="E557" s="135"/>
      <c r="F557" s="135"/>
      <c r="G557" s="135"/>
    </row>
    <row r="558">
      <c r="A558" s="135"/>
      <c r="B558" s="135"/>
      <c r="C558" s="135"/>
      <c r="D558" s="135"/>
      <c r="E558" s="135"/>
      <c r="F558" s="135"/>
      <c r="G558" s="135"/>
    </row>
    <row r="559">
      <c r="A559" s="135"/>
      <c r="B559" s="135"/>
      <c r="C559" s="135"/>
      <c r="D559" s="135"/>
      <c r="E559" s="135"/>
      <c r="F559" s="135"/>
      <c r="G559" s="135"/>
    </row>
    <row r="560">
      <c r="A560" s="135"/>
      <c r="B560" s="135"/>
      <c r="C560" s="135"/>
      <c r="D560" s="135"/>
      <c r="E560" s="135"/>
      <c r="F560" s="135"/>
      <c r="G560" s="135"/>
    </row>
    <row r="561">
      <c r="A561" s="135"/>
      <c r="B561" s="135"/>
      <c r="C561" s="135"/>
      <c r="D561" s="135"/>
      <c r="E561" s="135"/>
      <c r="F561" s="135"/>
      <c r="G561" s="135"/>
    </row>
    <row r="562">
      <c r="A562" s="135"/>
      <c r="B562" s="135"/>
      <c r="C562" s="135"/>
      <c r="D562" s="135"/>
      <c r="E562" s="135"/>
      <c r="F562" s="135"/>
      <c r="G562" s="135"/>
    </row>
    <row r="563">
      <c r="A563" s="135"/>
      <c r="B563" s="135"/>
      <c r="C563" s="135"/>
      <c r="D563" s="135"/>
      <c r="E563" s="135"/>
      <c r="F563" s="135"/>
      <c r="G563" s="135"/>
    </row>
    <row r="564">
      <c r="A564" s="135"/>
      <c r="B564" s="135"/>
      <c r="C564" s="135"/>
      <c r="D564" s="135"/>
      <c r="E564" s="135"/>
      <c r="F564" s="135"/>
      <c r="G564" s="135"/>
    </row>
    <row r="565">
      <c r="A565" s="135"/>
      <c r="B565" s="135"/>
      <c r="C565" s="135"/>
      <c r="D565" s="135"/>
      <c r="E565" s="135"/>
      <c r="F565" s="135"/>
      <c r="G565" s="135"/>
    </row>
    <row r="566">
      <c r="A566" s="135"/>
      <c r="B566" s="135"/>
      <c r="C566" s="135"/>
      <c r="D566" s="135"/>
      <c r="E566" s="135"/>
      <c r="F566" s="135"/>
      <c r="G566" s="135"/>
    </row>
    <row r="567">
      <c r="A567" s="135"/>
      <c r="B567" s="135"/>
      <c r="C567" s="135"/>
      <c r="D567" s="135"/>
      <c r="E567" s="135"/>
      <c r="F567" s="135"/>
      <c r="G567" s="135"/>
    </row>
    <row r="568">
      <c r="A568" s="135"/>
      <c r="B568" s="135"/>
      <c r="C568" s="135"/>
      <c r="D568" s="135"/>
      <c r="E568" s="135"/>
      <c r="F568" s="135"/>
      <c r="G568" s="135"/>
    </row>
    <row r="569">
      <c r="A569" s="135"/>
      <c r="B569" s="135"/>
      <c r="C569" s="135"/>
      <c r="D569" s="135"/>
      <c r="E569" s="135"/>
      <c r="F569" s="135"/>
      <c r="G569" s="135"/>
    </row>
    <row r="570">
      <c r="A570" s="135"/>
      <c r="B570" s="135"/>
      <c r="C570" s="135"/>
      <c r="D570" s="135"/>
      <c r="E570" s="135"/>
      <c r="F570" s="135"/>
      <c r="G570" s="135"/>
    </row>
    <row r="571">
      <c r="A571" s="135"/>
      <c r="B571" s="135"/>
      <c r="C571" s="135"/>
      <c r="D571" s="135"/>
      <c r="E571" s="135"/>
      <c r="F571" s="135"/>
      <c r="G571" s="135"/>
    </row>
    <row r="572">
      <c r="A572" s="135"/>
      <c r="B572" s="135"/>
      <c r="C572" s="135"/>
      <c r="D572" s="135"/>
      <c r="E572" s="135"/>
      <c r="F572" s="135"/>
      <c r="G572" s="135"/>
    </row>
    <row r="573">
      <c r="A573" s="135"/>
      <c r="B573" s="135"/>
      <c r="C573" s="135"/>
      <c r="D573" s="135"/>
      <c r="E573" s="135"/>
      <c r="F573" s="135"/>
      <c r="G573" s="135"/>
    </row>
    <row r="574">
      <c r="A574" s="135"/>
      <c r="B574" s="135"/>
      <c r="C574" s="135"/>
      <c r="D574" s="135"/>
      <c r="E574" s="135"/>
      <c r="F574" s="135"/>
      <c r="G574" s="135"/>
    </row>
    <row r="575">
      <c r="A575" s="135"/>
      <c r="B575" s="135"/>
      <c r="C575" s="135"/>
      <c r="D575" s="135"/>
      <c r="E575" s="135"/>
      <c r="F575" s="135"/>
      <c r="G575" s="135"/>
    </row>
    <row r="576">
      <c r="A576" s="135"/>
      <c r="B576" s="135"/>
      <c r="C576" s="135"/>
      <c r="D576" s="135"/>
      <c r="E576" s="135"/>
      <c r="F576" s="135"/>
      <c r="G576" s="135"/>
    </row>
    <row r="577">
      <c r="A577" s="135"/>
      <c r="B577" s="135"/>
      <c r="C577" s="135"/>
      <c r="D577" s="135"/>
      <c r="E577" s="135"/>
      <c r="F577" s="135"/>
      <c r="G577" s="135"/>
    </row>
    <row r="578">
      <c r="A578" s="135"/>
      <c r="B578" s="135"/>
      <c r="C578" s="135"/>
      <c r="D578" s="135"/>
      <c r="E578" s="135"/>
      <c r="F578" s="135"/>
      <c r="G578" s="135"/>
    </row>
    <row r="579">
      <c r="A579" s="135"/>
      <c r="B579" s="135"/>
      <c r="C579" s="135"/>
      <c r="D579" s="135"/>
      <c r="E579" s="135"/>
      <c r="F579" s="135"/>
      <c r="G579" s="135"/>
    </row>
    <row r="580">
      <c r="A580" s="135"/>
      <c r="B580" s="135"/>
      <c r="C580" s="135"/>
      <c r="D580" s="135"/>
      <c r="E580" s="135"/>
      <c r="F580" s="135"/>
      <c r="G580" s="135"/>
    </row>
    <row r="581">
      <c r="A581" s="135"/>
      <c r="B581" s="135"/>
      <c r="C581" s="135"/>
      <c r="D581" s="135"/>
      <c r="E581" s="135"/>
      <c r="F581" s="135"/>
      <c r="G581" s="135"/>
    </row>
    <row r="582">
      <c r="A582" s="135"/>
      <c r="B582" s="135"/>
      <c r="C582" s="135"/>
      <c r="D582" s="135"/>
      <c r="E582" s="135"/>
      <c r="F582" s="135"/>
      <c r="G582" s="135"/>
    </row>
    <row r="583">
      <c r="A583" s="135"/>
      <c r="B583" s="135"/>
      <c r="C583" s="135"/>
      <c r="D583" s="135"/>
      <c r="E583" s="135"/>
      <c r="F583" s="135"/>
      <c r="G583" s="135"/>
    </row>
    <row r="584">
      <c r="A584" s="135"/>
      <c r="B584" s="135"/>
      <c r="C584" s="135"/>
      <c r="D584" s="135"/>
      <c r="E584" s="135"/>
      <c r="F584" s="135"/>
      <c r="G584" s="135"/>
    </row>
    <row r="585">
      <c r="A585" s="135"/>
      <c r="B585" s="135"/>
      <c r="C585" s="135"/>
      <c r="D585" s="135"/>
      <c r="E585" s="135"/>
      <c r="F585" s="135"/>
      <c r="G585" s="135"/>
    </row>
    <row r="586">
      <c r="A586" s="135"/>
      <c r="B586" s="135"/>
      <c r="C586" s="135"/>
      <c r="D586" s="135"/>
      <c r="E586" s="135"/>
      <c r="F586" s="135"/>
      <c r="G586" s="135"/>
    </row>
    <row r="587">
      <c r="A587" s="135"/>
      <c r="B587" s="135"/>
      <c r="C587" s="135"/>
      <c r="D587" s="135"/>
      <c r="E587" s="135"/>
      <c r="F587" s="135"/>
      <c r="G587" s="135"/>
    </row>
    <row r="588">
      <c r="A588" s="135"/>
      <c r="B588" s="135"/>
      <c r="C588" s="135"/>
      <c r="D588" s="135"/>
      <c r="E588" s="135"/>
      <c r="F588" s="135"/>
      <c r="G588" s="135"/>
    </row>
    <row r="589">
      <c r="A589" s="135"/>
      <c r="B589" s="135"/>
      <c r="C589" s="135"/>
      <c r="D589" s="135"/>
      <c r="E589" s="135"/>
      <c r="F589" s="135"/>
      <c r="G589" s="135"/>
    </row>
    <row r="590">
      <c r="A590" s="135"/>
      <c r="B590" s="135"/>
      <c r="C590" s="135"/>
      <c r="D590" s="135"/>
      <c r="E590" s="135"/>
      <c r="F590" s="135"/>
      <c r="G590" s="135"/>
    </row>
    <row r="591">
      <c r="A591" s="135"/>
      <c r="B591" s="135"/>
      <c r="C591" s="135"/>
      <c r="D591" s="135"/>
      <c r="E591" s="135"/>
      <c r="F591" s="135"/>
      <c r="G591" s="135"/>
    </row>
    <row r="592">
      <c r="A592" s="135"/>
      <c r="B592" s="135"/>
      <c r="C592" s="135"/>
      <c r="D592" s="135"/>
      <c r="E592" s="135"/>
      <c r="F592" s="135"/>
      <c r="G592" s="135"/>
    </row>
    <row r="593">
      <c r="A593" s="135"/>
      <c r="B593" s="135"/>
      <c r="C593" s="135"/>
      <c r="D593" s="135"/>
      <c r="E593" s="135"/>
      <c r="F593" s="135"/>
      <c r="G593" s="135"/>
    </row>
    <row r="594">
      <c r="A594" s="135"/>
      <c r="B594" s="135"/>
      <c r="C594" s="135"/>
      <c r="D594" s="135"/>
      <c r="E594" s="135"/>
      <c r="F594" s="135"/>
      <c r="G594" s="135"/>
    </row>
    <row r="595">
      <c r="A595" s="135"/>
      <c r="B595" s="135"/>
      <c r="C595" s="135"/>
      <c r="D595" s="135"/>
      <c r="E595" s="135"/>
      <c r="F595" s="135"/>
      <c r="G595" s="135"/>
    </row>
    <row r="596">
      <c r="A596" s="135"/>
      <c r="B596" s="135"/>
      <c r="C596" s="135"/>
      <c r="D596" s="135"/>
      <c r="E596" s="135"/>
      <c r="F596" s="135"/>
      <c r="G596" s="135"/>
    </row>
    <row r="597">
      <c r="A597" s="135"/>
      <c r="B597" s="135"/>
      <c r="C597" s="135"/>
      <c r="D597" s="135"/>
      <c r="E597" s="135"/>
      <c r="F597" s="135"/>
      <c r="G597" s="135"/>
    </row>
    <row r="598">
      <c r="A598" s="135"/>
      <c r="B598" s="135"/>
      <c r="C598" s="135"/>
      <c r="D598" s="135"/>
      <c r="E598" s="135"/>
      <c r="F598" s="135"/>
      <c r="G598" s="135"/>
    </row>
    <row r="599">
      <c r="A599" s="135"/>
      <c r="B599" s="135"/>
      <c r="C599" s="135"/>
      <c r="D599" s="135"/>
      <c r="E599" s="135"/>
      <c r="F599" s="135"/>
      <c r="G599" s="135"/>
    </row>
    <row r="600">
      <c r="A600" s="135"/>
      <c r="B600" s="135"/>
      <c r="C600" s="135"/>
      <c r="D600" s="135"/>
      <c r="E600" s="135"/>
      <c r="F600" s="135"/>
      <c r="G600" s="135"/>
    </row>
    <row r="601">
      <c r="A601" s="135"/>
      <c r="B601" s="135"/>
      <c r="C601" s="135"/>
      <c r="D601" s="135"/>
      <c r="E601" s="135"/>
      <c r="F601" s="135"/>
      <c r="G601" s="135"/>
    </row>
    <row r="602">
      <c r="A602" s="135"/>
      <c r="B602" s="135"/>
      <c r="C602" s="135"/>
      <c r="D602" s="135"/>
      <c r="E602" s="135"/>
      <c r="F602" s="135"/>
      <c r="G602" s="135"/>
    </row>
    <row r="603">
      <c r="A603" s="135"/>
      <c r="B603" s="135"/>
      <c r="C603" s="135"/>
      <c r="D603" s="135"/>
      <c r="E603" s="135"/>
      <c r="F603" s="135"/>
      <c r="G603" s="135"/>
    </row>
    <row r="604">
      <c r="A604" s="135"/>
      <c r="B604" s="135"/>
      <c r="C604" s="135"/>
      <c r="D604" s="135"/>
      <c r="E604" s="135"/>
      <c r="F604" s="135"/>
      <c r="G604" s="135"/>
    </row>
    <row r="605">
      <c r="A605" s="135"/>
      <c r="B605" s="135"/>
      <c r="C605" s="135"/>
      <c r="D605" s="135"/>
      <c r="E605" s="135"/>
      <c r="F605" s="135"/>
      <c r="G605" s="135"/>
    </row>
    <row r="606">
      <c r="A606" s="135"/>
      <c r="B606" s="135"/>
      <c r="C606" s="135"/>
      <c r="D606" s="135"/>
      <c r="E606" s="135"/>
      <c r="F606" s="135"/>
      <c r="G606" s="135"/>
    </row>
    <row r="607">
      <c r="A607" s="135"/>
      <c r="B607" s="135"/>
      <c r="C607" s="135"/>
      <c r="D607" s="135"/>
      <c r="E607" s="135"/>
      <c r="F607" s="135"/>
      <c r="G607" s="135"/>
    </row>
    <row r="608">
      <c r="A608" s="135"/>
      <c r="B608" s="135"/>
      <c r="C608" s="135"/>
      <c r="D608" s="135"/>
      <c r="E608" s="135"/>
      <c r="F608" s="135"/>
      <c r="G608" s="135"/>
    </row>
    <row r="609">
      <c r="A609" s="135"/>
      <c r="B609" s="135"/>
      <c r="C609" s="135"/>
      <c r="D609" s="135"/>
      <c r="E609" s="135"/>
      <c r="F609" s="135"/>
      <c r="G609" s="135"/>
    </row>
    <row r="610">
      <c r="A610" s="135"/>
      <c r="B610" s="135"/>
      <c r="C610" s="135"/>
      <c r="D610" s="135"/>
      <c r="E610" s="135"/>
      <c r="F610" s="135"/>
      <c r="G610" s="135"/>
    </row>
    <row r="611">
      <c r="A611" s="135"/>
      <c r="B611" s="135"/>
      <c r="C611" s="135"/>
      <c r="D611" s="135"/>
      <c r="E611" s="135"/>
      <c r="F611" s="135"/>
      <c r="G611" s="135"/>
    </row>
    <row r="612">
      <c r="A612" s="135"/>
      <c r="B612" s="135"/>
      <c r="C612" s="135"/>
      <c r="D612" s="135"/>
      <c r="E612" s="135"/>
      <c r="F612" s="135"/>
      <c r="G612" s="135"/>
    </row>
    <row r="613">
      <c r="A613" s="135"/>
      <c r="B613" s="135"/>
      <c r="C613" s="135"/>
      <c r="D613" s="135"/>
      <c r="E613" s="135"/>
      <c r="F613" s="135"/>
      <c r="G613" s="135"/>
    </row>
    <row r="614">
      <c r="A614" s="135"/>
      <c r="B614" s="135"/>
      <c r="C614" s="135"/>
      <c r="D614" s="135"/>
      <c r="E614" s="135"/>
      <c r="F614" s="135"/>
      <c r="G614" s="135"/>
    </row>
    <row r="615">
      <c r="A615" s="135"/>
      <c r="B615" s="135"/>
      <c r="C615" s="135"/>
      <c r="D615" s="135"/>
      <c r="E615" s="135"/>
      <c r="F615" s="135"/>
      <c r="G615" s="135"/>
    </row>
    <row r="616">
      <c r="A616" s="135"/>
      <c r="B616" s="135"/>
      <c r="C616" s="135"/>
      <c r="D616" s="135"/>
      <c r="E616" s="135"/>
      <c r="F616" s="135"/>
      <c r="G616" s="135"/>
    </row>
    <row r="617">
      <c r="A617" s="135"/>
      <c r="B617" s="135"/>
      <c r="C617" s="135"/>
      <c r="D617" s="135"/>
      <c r="E617" s="135"/>
      <c r="F617" s="135"/>
      <c r="G617" s="135"/>
    </row>
    <row r="618">
      <c r="A618" s="135"/>
      <c r="B618" s="135"/>
      <c r="C618" s="135"/>
      <c r="D618" s="135"/>
      <c r="E618" s="135"/>
      <c r="F618" s="135"/>
      <c r="G618" s="135"/>
    </row>
    <row r="619">
      <c r="A619" s="135"/>
      <c r="B619" s="135"/>
      <c r="C619" s="135"/>
      <c r="D619" s="135"/>
      <c r="E619" s="135"/>
      <c r="F619" s="135"/>
      <c r="G619" s="135"/>
    </row>
    <row r="620">
      <c r="A620" s="135"/>
      <c r="B620" s="135"/>
      <c r="C620" s="135"/>
      <c r="D620" s="135"/>
      <c r="E620" s="135"/>
      <c r="F620" s="135"/>
      <c r="G620" s="135"/>
    </row>
    <row r="621">
      <c r="A621" s="135"/>
      <c r="B621" s="135"/>
      <c r="C621" s="135"/>
      <c r="D621" s="135"/>
      <c r="E621" s="135"/>
      <c r="F621" s="135"/>
      <c r="G621" s="135"/>
    </row>
    <row r="622">
      <c r="A622" s="135"/>
      <c r="B622" s="135"/>
      <c r="C622" s="135"/>
      <c r="D622" s="135"/>
      <c r="E622" s="135"/>
      <c r="F622" s="135"/>
      <c r="G622" s="135"/>
    </row>
    <row r="623">
      <c r="A623" s="135"/>
      <c r="B623" s="135"/>
      <c r="C623" s="135"/>
      <c r="D623" s="135"/>
      <c r="E623" s="135"/>
      <c r="F623" s="135"/>
      <c r="G623" s="135"/>
    </row>
    <row r="624">
      <c r="A624" s="135"/>
      <c r="B624" s="135"/>
      <c r="C624" s="135"/>
      <c r="D624" s="135"/>
      <c r="E624" s="135"/>
      <c r="F624" s="135"/>
      <c r="G624" s="135"/>
    </row>
    <row r="625">
      <c r="A625" s="135"/>
      <c r="B625" s="135"/>
      <c r="C625" s="135"/>
      <c r="D625" s="135"/>
      <c r="E625" s="135"/>
      <c r="F625" s="135"/>
      <c r="G625" s="135"/>
    </row>
    <row r="626">
      <c r="A626" s="135"/>
      <c r="B626" s="135"/>
      <c r="C626" s="135"/>
      <c r="D626" s="135"/>
      <c r="E626" s="135"/>
      <c r="F626" s="135"/>
      <c r="G626" s="135"/>
    </row>
    <row r="627">
      <c r="A627" s="135"/>
      <c r="B627" s="135"/>
      <c r="C627" s="135"/>
      <c r="D627" s="135"/>
      <c r="E627" s="135"/>
      <c r="F627" s="135"/>
      <c r="G627" s="135"/>
    </row>
    <row r="628">
      <c r="A628" s="135"/>
      <c r="B628" s="135"/>
      <c r="C628" s="135"/>
      <c r="D628" s="135"/>
      <c r="E628" s="135"/>
      <c r="F628" s="135"/>
      <c r="G628" s="135"/>
    </row>
    <row r="629">
      <c r="A629" s="135"/>
      <c r="B629" s="135"/>
      <c r="C629" s="135"/>
      <c r="D629" s="135"/>
      <c r="E629" s="135"/>
      <c r="F629" s="135"/>
      <c r="G629" s="135"/>
    </row>
    <row r="630">
      <c r="A630" s="135"/>
      <c r="B630" s="135"/>
      <c r="C630" s="135"/>
      <c r="D630" s="135"/>
      <c r="E630" s="135"/>
      <c r="F630" s="135"/>
      <c r="G630" s="135"/>
    </row>
    <row r="631">
      <c r="A631" s="135"/>
      <c r="B631" s="135"/>
      <c r="C631" s="135"/>
      <c r="D631" s="135"/>
      <c r="E631" s="135"/>
      <c r="F631" s="135"/>
      <c r="G631" s="135"/>
    </row>
    <row r="632">
      <c r="A632" s="135"/>
      <c r="B632" s="135"/>
      <c r="C632" s="135"/>
      <c r="D632" s="135"/>
      <c r="E632" s="135"/>
      <c r="F632" s="135"/>
      <c r="G632" s="135"/>
    </row>
    <row r="633">
      <c r="A633" s="135"/>
      <c r="B633" s="135"/>
      <c r="C633" s="135"/>
      <c r="D633" s="135"/>
      <c r="E633" s="135"/>
      <c r="F633" s="135"/>
      <c r="G633" s="135"/>
    </row>
    <row r="634">
      <c r="A634" s="135"/>
      <c r="B634" s="135"/>
      <c r="C634" s="135"/>
      <c r="D634" s="135"/>
      <c r="E634" s="135"/>
      <c r="F634" s="135"/>
      <c r="G634" s="135"/>
    </row>
    <row r="635">
      <c r="A635" s="135"/>
      <c r="B635" s="135"/>
      <c r="C635" s="135"/>
      <c r="D635" s="135"/>
      <c r="E635" s="135"/>
      <c r="F635" s="135"/>
      <c r="G635" s="135"/>
    </row>
    <row r="636">
      <c r="A636" s="135"/>
      <c r="B636" s="135"/>
      <c r="C636" s="135"/>
      <c r="D636" s="135"/>
      <c r="E636" s="135"/>
      <c r="F636" s="135"/>
      <c r="G636" s="135"/>
    </row>
    <row r="637">
      <c r="A637" s="135"/>
      <c r="B637" s="135"/>
      <c r="C637" s="135"/>
      <c r="D637" s="135"/>
      <c r="E637" s="135"/>
      <c r="F637" s="135"/>
      <c r="G637" s="135"/>
    </row>
    <row r="638">
      <c r="A638" s="135"/>
      <c r="B638" s="135"/>
      <c r="C638" s="135"/>
      <c r="D638" s="135"/>
      <c r="E638" s="135"/>
      <c r="F638" s="135"/>
      <c r="G638" s="135"/>
    </row>
    <row r="639">
      <c r="A639" s="135"/>
      <c r="B639" s="135"/>
      <c r="C639" s="135"/>
      <c r="D639" s="135"/>
      <c r="E639" s="135"/>
      <c r="F639" s="135"/>
      <c r="G639" s="135"/>
    </row>
    <row r="640">
      <c r="A640" s="135"/>
      <c r="B640" s="135"/>
      <c r="C640" s="135"/>
      <c r="D640" s="135"/>
      <c r="E640" s="135"/>
      <c r="F640" s="135"/>
      <c r="G640" s="135"/>
    </row>
    <row r="641">
      <c r="A641" s="135"/>
      <c r="B641" s="135"/>
      <c r="C641" s="135"/>
      <c r="D641" s="135"/>
      <c r="E641" s="135"/>
      <c r="F641" s="135"/>
      <c r="G641" s="135"/>
    </row>
    <row r="642">
      <c r="A642" s="135"/>
      <c r="B642" s="135"/>
      <c r="C642" s="135"/>
      <c r="D642" s="135"/>
      <c r="E642" s="135"/>
      <c r="F642" s="135"/>
      <c r="G642" s="135"/>
    </row>
    <row r="643">
      <c r="A643" s="135"/>
      <c r="B643" s="135"/>
      <c r="C643" s="135"/>
      <c r="D643" s="135"/>
      <c r="E643" s="135"/>
      <c r="F643" s="135"/>
      <c r="G643" s="135"/>
    </row>
    <row r="644">
      <c r="A644" s="135"/>
      <c r="B644" s="135"/>
      <c r="C644" s="135"/>
      <c r="D644" s="135"/>
      <c r="E644" s="135"/>
      <c r="F644" s="135"/>
      <c r="G644" s="135"/>
    </row>
    <row r="645">
      <c r="A645" s="135"/>
      <c r="B645" s="135"/>
      <c r="C645" s="135"/>
      <c r="D645" s="135"/>
      <c r="E645" s="135"/>
      <c r="F645" s="135"/>
      <c r="G645" s="135"/>
    </row>
    <row r="646">
      <c r="A646" s="135"/>
      <c r="B646" s="135"/>
      <c r="C646" s="135"/>
      <c r="D646" s="135"/>
      <c r="E646" s="135"/>
      <c r="F646" s="135"/>
      <c r="G646" s="135"/>
    </row>
    <row r="647">
      <c r="A647" s="135"/>
      <c r="B647" s="135"/>
      <c r="C647" s="135"/>
      <c r="D647" s="135"/>
      <c r="E647" s="135"/>
      <c r="F647" s="135"/>
      <c r="G647" s="135"/>
    </row>
    <row r="648">
      <c r="A648" s="135"/>
      <c r="B648" s="135"/>
      <c r="C648" s="135"/>
      <c r="D648" s="135"/>
      <c r="E648" s="135"/>
      <c r="F648" s="135"/>
      <c r="G648" s="135"/>
    </row>
    <row r="649">
      <c r="A649" s="135"/>
      <c r="B649" s="135"/>
      <c r="C649" s="135"/>
      <c r="D649" s="135"/>
      <c r="E649" s="135"/>
      <c r="F649" s="135"/>
      <c r="G649" s="135"/>
    </row>
    <row r="650">
      <c r="A650" s="135"/>
      <c r="B650" s="135"/>
      <c r="C650" s="135"/>
      <c r="D650" s="135"/>
      <c r="E650" s="135"/>
      <c r="F650" s="135"/>
      <c r="G650" s="135"/>
    </row>
    <row r="651">
      <c r="A651" s="135"/>
      <c r="B651" s="135"/>
      <c r="C651" s="135"/>
      <c r="D651" s="135"/>
      <c r="E651" s="135"/>
      <c r="F651" s="135"/>
      <c r="G651" s="135"/>
    </row>
    <row r="652">
      <c r="A652" s="135"/>
      <c r="B652" s="135"/>
      <c r="C652" s="135"/>
      <c r="D652" s="135"/>
      <c r="E652" s="135"/>
      <c r="F652" s="135"/>
      <c r="G652" s="135"/>
    </row>
    <row r="653">
      <c r="A653" s="135"/>
      <c r="B653" s="135"/>
      <c r="C653" s="135"/>
      <c r="D653" s="135"/>
      <c r="E653" s="135"/>
      <c r="F653" s="135"/>
      <c r="G653" s="135"/>
    </row>
    <row r="654">
      <c r="A654" s="135"/>
      <c r="B654" s="135"/>
      <c r="C654" s="135"/>
      <c r="D654" s="135"/>
      <c r="E654" s="135"/>
      <c r="F654" s="135"/>
      <c r="G654" s="135"/>
    </row>
    <row r="655">
      <c r="A655" s="135"/>
      <c r="B655" s="135"/>
      <c r="C655" s="135"/>
      <c r="D655" s="135"/>
      <c r="E655" s="135"/>
      <c r="F655" s="135"/>
      <c r="G655" s="135"/>
    </row>
    <row r="656">
      <c r="A656" s="135"/>
      <c r="B656" s="135"/>
      <c r="C656" s="135"/>
      <c r="D656" s="135"/>
      <c r="E656" s="135"/>
      <c r="F656" s="135"/>
      <c r="G656" s="135"/>
    </row>
    <row r="657">
      <c r="A657" s="135"/>
      <c r="B657" s="135"/>
      <c r="C657" s="135"/>
      <c r="D657" s="135"/>
      <c r="E657" s="135"/>
      <c r="F657" s="135"/>
      <c r="G657" s="135"/>
    </row>
    <row r="658">
      <c r="A658" s="135"/>
      <c r="B658" s="135"/>
      <c r="C658" s="135"/>
      <c r="D658" s="135"/>
      <c r="E658" s="135"/>
      <c r="F658" s="135"/>
      <c r="G658" s="135"/>
    </row>
    <row r="659">
      <c r="A659" s="135"/>
      <c r="B659" s="135"/>
      <c r="C659" s="135"/>
      <c r="D659" s="135"/>
      <c r="E659" s="135"/>
      <c r="F659" s="135"/>
      <c r="G659" s="135"/>
    </row>
    <row r="660">
      <c r="A660" s="135"/>
      <c r="B660" s="135"/>
      <c r="C660" s="135"/>
      <c r="D660" s="135"/>
      <c r="E660" s="135"/>
      <c r="F660" s="135"/>
      <c r="G660" s="135"/>
    </row>
    <row r="661">
      <c r="A661" s="135"/>
      <c r="B661" s="135"/>
      <c r="C661" s="135"/>
      <c r="D661" s="135"/>
      <c r="E661" s="135"/>
      <c r="F661" s="135"/>
      <c r="G661" s="135"/>
    </row>
    <row r="662">
      <c r="A662" s="135"/>
      <c r="B662" s="135"/>
      <c r="C662" s="135"/>
      <c r="D662" s="135"/>
      <c r="E662" s="135"/>
      <c r="F662" s="135"/>
      <c r="G662" s="135"/>
    </row>
    <row r="663">
      <c r="A663" s="135"/>
      <c r="B663" s="135"/>
      <c r="C663" s="135"/>
      <c r="D663" s="135"/>
      <c r="E663" s="135"/>
      <c r="F663" s="135"/>
      <c r="G663" s="135"/>
    </row>
    <row r="664">
      <c r="A664" s="135"/>
      <c r="B664" s="135"/>
      <c r="C664" s="135"/>
      <c r="D664" s="135"/>
      <c r="E664" s="135"/>
      <c r="F664" s="135"/>
      <c r="G664" s="135"/>
    </row>
    <row r="665">
      <c r="A665" s="135"/>
      <c r="B665" s="135"/>
      <c r="C665" s="135"/>
      <c r="D665" s="135"/>
      <c r="E665" s="135"/>
      <c r="F665" s="135"/>
      <c r="G665" s="135"/>
    </row>
    <row r="666">
      <c r="A666" s="135"/>
      <c r="B666" s="135"/>
      <c r="C666" s="135"/>
      <c r="D666" s="135"/>
      <c r="E666" s="135"/>
      <c r="F666" s="135"/>
      <c r="G666" s="135"/>
    </row>
    <row r="667">
      <c r="A667" s="135"/>
      <c r="B667" s="135"/>
      <c r="C667" s="135"/>
      <c r="D667" s="135"/>
      <c r="E667" s="135"/>
      <c r="F667" s="135"/>
      <c r="G667" s="135"/>
    </row>
    <row r="668">
      <c r="A668" s="135"/>
      <c r="B668" s="135"/>
      <c r="C668" s="135"/>
      <c r="D668" s="135"/>
      <c r="E668" s="135"/>
      <c r="F668" s="135"/>
      <c r="G668" s="135"/>
    </row>
    <row r="669">
      <c r="A669" s="135"/>
      <c r="B669" s="135"/>
      <c r="C669" s="135"/>
      <c r="D669" s="135"/>
      <c r="E669" s="135"/>
      <c r="F669" s="135"/>
      <c r="G669" s="135"/>
    </row>
    <row r="670">
      <c r="A670" s="135"/>
      <c r="B670" s="135"/>
      <c r="C670" s="135"/>
      <c r="D670" s="135"/>
      <c r="E670" s="135"/>
      <c r="F670" s="135"/>
      <c r="G670" s="135"/>
    </row>
    <row r="671">
      <c r="A671" s="135"/>
      <c r="B671" s="135"/>
      <c r="C671" s="135"/>
      <c r="D671" s="135"/>
      <c r="E671" s="135"/>
      <c r="F671" s="135"/>
      <c r="G671" s="135"/>
    </row>
    <row r="672">
      <c r="A672" s="135"/>
      <c r="B672" s="135"/>
      <c r="C672" s="135"/>
      <c r="D672" s="135"/>
      <c r="E672" s="135"/>
      <c r="F672" s="135"/>
      <c r="G672" s="135"/>
    </row>
    <row r="673">
      <c r="A673" s="135"/>
      <c r="B673" s="135"/>
      <c r="C673" s="135"/>
      <c r="D673" s="135"/>
      <c r="E673" s="135"/>
      <c r="F673" s="135"/>
      <c r="G673" s="135"/>
    </row>
    <row r="674">
      <c r="A674" s="135"/>
      <c r="B674" s="135"/>
      <c r="C674" s="135"/>
      <c r="D674" s="135"/>
      <c r="E674" s="135"/>
      <c r="F674" s="135"/>
      <c r="G674" s="135"/>
    </row>
    <row r="675">
      <c r="A675" s="135"/>
      <c r="B675" s="135"/>
      <c r="C675" s="135"/>
      <c r="D675" s="135"/>
      <c r="E675" s="135"/>
      <c r="F675" s="135"/>
      <c r="G675" s="135"/>
    </row>
    <row r="676">
      <c r="A676" s="135"/>
      <c r="B676" s="135"/>
      <c r="C676" s="135"/>
      <c r="D676" s="135"/>
      <c r="E676" s="135"/>
      <c r="F676" s="135"/>
      <c r="G676" s="135"/>
    </row>
    <row r="677">
      <c r="A677" s="135"/>
      <c r="B677" s="135"/>
      <c r="C677" s="135"/>
      <c r="D677" s="135"/>
      <c r="E677" s="135"/>
      <c r="F677" s="135"/>
      <c r="G677" s="135"/>
    </row>
    <row r="678">
      <c r="A678" s="135"/>
      <c r="B678" s="135"/>
      <c r="C678" s="135"/>
      <c r="D678" s="135"/>
      <c r="E678" s="135"/>
      <c r="F678" s="135"/>
      <c r="G678" s="135"/>
    </row>
    <row r="679">
      <c r="A679" s="135"/>
      <c r="B679" s="135"/>
      <c r="C679" s="135"/>
      <c r="D679" s="135"/>
      <c r="E679" s="135"/>
      <c r="F679" s="135"/>
      <c r="G679" s="135"/>
    </row>
    <row r="680">
      <c r="A680" s="135"/>
      <c r="B680" s="135"/>
      <c r="C680" s="135"/>
      <c r="D680" s="135"/>
      <c r="E680" s="135"/>
      <c r="F680" s="135"/>
      <c r="G680" s="135"/>
    </row>
    <row r="681">
      <c r="A681" s="135"/>
      <c r="B681" s="135"/>
      <c r="C681" s="135"/>
      <c r="D681" s="135"/>
      <c r="E681" s="135"/>
      <c r="F681" s="135"/>
      <c r="G681" s="135"/>
    </row>
    <row r="682">
      <c r="A682" s="135"/>
      <c r="B682" s="135"/>
      <c r="C682" s="135"/>
      <c r="D682" s="135"/>
      <c r="E682" s="135"/>
      <c r="F682" s="135"/>
      <c r="G682" s="135"/>
    </row>
    <row r="683">
      <c r="A683" s="135"/>
      <c r="B683" s="135"/>
      <c r="C683" s="135"/>
      <c r="D683" s="135"/>
      <c r="E683" s="135"/>
      <c r="F683" s="135"/>
      <c r="G683" s="135"/>
    </row>
    <row r="684">
      <c r="A684" s="135"/>
      <c r="B684" s="135"/>
      <c r="C684" s="135"/>
      <c r="D684" s="135"/>
      <c r="E684" s="135"/>
      <c r="F684" s="135"/>
      <c r="G684" s="135"/>
    </row>
    <row r="685">
      <c r="A685" s="135"/>
      <c r="B685" s="135"/>
      <c r="C685" s="135"/>
      <c r="D685" s="135"/>
      <c r="E685" s="135"/>
      <c r="F685" s="135"/>
      <c r="G685" s="135"/>
    </row>
    <row r="686">
      <c r="A686" s="135"/>
      <c r="B686" s="135"/>
      <c r="C686" s="135"/>
      <c r="D686" s="135"/>
      <c r="E686" s="135"/>
      <c r="F686" s="135"/>
      <c r="G686" s="135"/>
    </row>
    <row r="687">
      <c r="A687" s="135"/>
      <c r="B687" s="135"/>
      <c r="C687" s="135"/>
      <c r="D687" s="135"/>
      <c r="E687" s="135"/>
      <c r="F687" s="135"/>
      <c r="G687" s="135"/>
    </row>
    <row r="688">
      <c r="A688" s="135"/>
      <c r="B688" s="135"/>
      <c r="C688" s="135"/>
      <c r="D688" s="135"/>
      <c r="E688" s="135"/>
      <c r="F688" s="135"/>
      <c r="G688" s="135"/>
    </row>
    <row r="689">
      <c r="A689" s="135"/>
      <c r="B689" s="135"/>
      <c r="C689" s="135"/>
      <c r="D689" s="135"/>
      <c r="E689" s="135"/>
      <c r="F689" s="135"/>
      <c r="G689" s="135"/>
    </row>
    <row r="690">
      <c r="A690" s="135"/>
      <c r="B690" s="135"/>
      <c r="C690" s="135"/>
      <c r="D690" s="135"/>
      <c r="E690" s="135"/>
      <c r="F690" s="135"/>
      <c r="G690" s="135"/>
    </row>
    <row r="691">
      <c r="A691" s="135"/>
      <c r="B691" s="135"/>
      <c r="C691" s="135"/>
      <c r="D691" s="135"/>
      <c r="E691" s="135"/>
      <c r="F691" s="135"/>
      <c r="G691" s="135"/>
    </row>
    <row r="692">
      <c r="A692" s="135"/>
      <c r="B692" s="135"/>
      <c r="C692" s="135"/>
      <c r="D692" s="135"/>
      <c r="E692" s="135"/>
      <c r="F692" s="135"/>
      <c r="G692" s="135"/>
    </row>
    <row r="693">
      <c r="A693" s="135"/>
      <c r="B693" s="135"/>
      <c r="C693" s="135"/>
      <c r="D693" s="135"/>
      <c r="E693" s="135"/>
      <c r="F693" s="135"/>
      <c r="G693" s="135"/>
    </row>
    <row r="694">
      <c r="A694" s="135"/>
      <c r="B694" s="135"/>
      <c r="C694" s="135"/>
      <c r="D694" s="135"/>
      <c r="E694" s="135"/>
      <c r="F694" s="135"/>
      <c r="G694" s="135"/>
    </row>
    <row r="695">
      <c r="A695" s="135"/>
      <c r="B695" s="135"/>
      <c r="C695" s="135"/>
      <c r="D695" s="135"/>
      <c r="E695" s="135"/>
      <c r="F695" s="135"/>
      <c r="G695" s="135"/>
    </row>
    <row r="696">
      <c r="A696" s="135"/>
      <c r="B696" s="135"/>
      <c r="C696" s="135"/>
      <c r="D696" s="135"/>
      <c r="E696" s="135"/>
      <c r="F696" s="135"/>
      <c r="G696" s="135"/>
    </row>
    <row r="697">
      <c r="A697" s="135"/>
      <c r="B697" s="135"/>
      <c r="C697" s="135"/>
      <c r="D697" s="135"/>
      <c r="E697" s="135"/>
      <c r="F697" s="135"/>
      <c r="G697" s="135"/>
    </row>
    <row r="698">
      <c r="A698" s="135"/>
      <c r="B698" s="135"/>
      <c r="C698" s="135"/>
      <c r="D698" s="135"/>
      <c r="E698" s="135"/>
      <c r="F698" s="135"/>
      <c r="G698" s="135"/>
    </row>
    <row r="699">
      <c r="A699" s="135"/>
      <c r="B699" s="135"/>
      <c r="C699" s="135"/>
      <c r="D699" s="135"/>
      <c r="E699" s="135"/>
      <c r="F699" s="135"/>
      <c r="G699" s="135"/>
    </row>
    <row r="700">
      <c r="A700" s="135"/>
      <c r="B700" s="135"/>
      <c r="C700" s="135"/>
      <c r="D700" s="135"/>
      <c r="E700" s="135"/>
      <c r="F700" s="135"/>
      <c r="G700" s="135"/>
    </row>
    <row r="701">
      <c r="A701" s="135"/>
      <c r="B701" s="135"/>
      <c r="C701" s="135"/>
      <c r="D701" s="135"/>
      <c r="E701" s="135"/>
      <c r="F701" s="135"/>
      <c r="G701" s="135"/>
    </row>
    <row r="702">
      <c r="A702" s="135"/>
      <c r="B702" s="135"/>
      <c r="C702" s="135"/>
      <c r="D702" s="135"/>
      <c r="E702" s="135"/>
      <c r="F702" s="135"/>
      <c r="G702" s="135"/>
    </row>
    <row r="703">
      <c r="A703" s="135"/>
      <c r="B703" s="135"/>
      <c r="C703" s="135"/>
      <c r="D703" s="135"/>
      <c r="E703" s="135"/>
      <c r="F703" s="135"/>
      <c r="G703" s="135"/>
    </row>
    <row r="704">
      <c r="A704" s="135"/>
      <c r="B704" s="135"/>
      <c r="C704" s="135"/>
      <c r="D704" s="135"/>
      <c r="E704" s="135"/>
      <c r="F704" s="135"/>
      <c r="G704" s="135"/>
    </row>
    <row r="705">
      <c r="A705" s="135"/>
      <c r="B705" s="135"/>
      <c r="C705" s="135"/>
      <c r="D705" s="135"/>
      <c r="E705" s="135"/>
      <c r="F705" s="135"/>
      <c r="G705" s="135"/>
    </row>
    <row r="706">
      <c r="A706" s="135"/>
      <c r="B706" s="135"/>
      <c r="C706" s="135"/>
      <c r="D706" s="135"/>
      <c r="E706" s="135"/>
      <c r="F706" s="135"/>
      <c r="G706" s="135"/>
    </row>
    <row r="707">
      <c r="A707" s="135"/>
      <c r="B707" s="135"/>
      <c r="C707" s="135"/>
      <c r="D707" s="135"/>
      <c r="E707" s="135"/>
      <c r="F707" s="135"/>
      <c r="G707" s="135"/>
    </row>
    <row r="708">
      <c r="A708" s="135"/>
      <c r="B708" s="135"/>
      <c r="C708" s="135"/>
      <c r="D708" s="135"/>
      <c r="E708" s="135"/>
      <c r="F708" s="135"/>
      <c r="G708" s="135"/>
    </row>
    <row r="709">
      <c r="A709" s="135"/>
      <c r="B709" s="135"/>
      <c r="C709" s="135"/>
      <c r="D709" s="135"/>
      <c r="E709" s="135"/>
      <c r="F709" s="135"/>
      <c r="G709" s="135"/>
    </row>
    <row r="710">
      <c r="A710" s="135"/>
      <c r="B710" s="135"/>
      <c r="C710" s="135"/>
      <c r="D710" s="135"/>
      <c r="E710" s="135"/>
      <c r="F710" s="135"/>
      <c r="G710" s="135"/>
    </row>
    <row r="711">
      <c r="A711" s="135"/>
      <c r="B711" s="135"/>
      <c r="C711" s="135"/>
      <c r="D711" s="135"/>
      <c r="E711" s="135"/>
      <c r="F711" s="135"/>
      <c r="G711" s="135"/>
    </row>
    <row r="712">
      <c r="A712" s="135"/>
      <c r="B712" s="135"/>
      <c r="C712" s="135"/>
      <c r="D712" s="135"/>
      <c r="E712" s="135"/>
      <c r="F712" s="135"/>
      <c r="G712" s="135"/>
    </row>
    <row r="713">
      <c r="A713" s="135"/>
      <c r="B713" s="135"/>
      <c r="C713" s="135"/>
      <c r="D713" s="135"/>
      <c r="E713" s="135"/>
      <c r="F713" s="135"/>
      <c r="G713" s="135"/>
    </row>
    <row r="714">
      <c r="A714" s="135"/>
      <c r="B714" s="135"/>
      <c r="C714" s="135"/>
      <c r="D714" s="135"/>
      <c r="E714" s="135"/>
      <c r="F714" s="135"/>
      <c r="G714" s="135"/>
    </row>
    <row r="715">
      <c r="A715" s="135"/>
      <c r="B715" s="135"/>
      <c r="C715" s="135"/>
      <c r="D715" s="135"/>
      <c r="E715" s="135"/>
      <c r="F715" s="135"/>
      <c r="G715" s="135"/>
    </row>
    <row r="716">
      <c r="A716" s="135"/>
      <c r="B716" s="135"/>
      <c r="C716" s="135"/>
      <c r="D716" s="135"/>
      <c r="E716" s="135"/>
      <c r="F716" s="135"/>
      <c r="G716" s="135"/>
    </row>
    <row r="717">
      <c r="A717" s="135"/>
      <c r="B717" s="135"/>
      <c r="C717" s="135"/>
      <c r="D717" s="135"/>
      <c r="E717" s="135"/>
      <c r="F717" s="135"/>
      <c r="G717" s="135"/>
    </row>
    <row r="718">
      <c r="A718" s="135"/>
      <c r="B718" s="135"/>
      <c r="C718" s="135"/>
      <c r="D718" s="135"/>
      <c r="E718" s="135"/>
      <c r="F718" s="135"/>
      <c r="G718" s="135"/>
    </row>
    <row r="719">
      <c r="A719" s="135"/>
      <c r="B719" s="135"/>
      <c r="C719" s="135"/>
      <c r="D719" s="135"/>
      <c r="E719" s="135"/>
      <c r="F719" s="135"/>
      <c r="G719" s="135"/>
    </row>
    <row r="720">
      <c r="A720" s="135"/>
      <c r="B720" s="135"/>
      <c r="C720" s="135"/>
      <c r="D720" s="135"/>
      <c r="E720" s="135"/>
      <c r="F720" s="135"/>
      <c r="G720" s="135"/>
    </row>
    <row r="721">
      <c r="A721" s="135"/>
      <c r="B721" s="135"/>
      <c r="C721" s="135"/>
      <c r="D721" s="135"/>
      <c r="E721" s="135"/>
      <c r="F721" s="135"/>
      <c r="G721" s="135"/>
    </row>
    <row r="722">
      <c r="A722" s="135"/>
      <c r="B722" s="135"/>
      <c r="C722" s="135"/>
      <c r="D722" s="135"/>
      <c r="E722" s="135"/>
      <c r="F722" s="135"/>
      <c r="G722" s="135"/>
    </row>
    <row r="723">
      <c r="A723" s="135"/>
      <c r="B723" s="135"/>
      <c r="C723" s="135"/>
      <c r="D723" s="135"/>
      <c r="E723" s="135"/>
      <c r="F723" s="135"/>
      <c r="G723" s="135"/>
    </row>
    <row r="724">
      <c r="A724" s="135"/>
      <c r="B724" s="135"/>
      <c r="C724" s="135"/>
      <c r="D724" s="135"/>
      <c r="E724" s="135"/>
      <c r="F724" s="135"/>
      <c r="G724" s="135"/>
    </row>
    <row r="725">
      <c r="A725" s="135"/>
      <c r="B725" s="135"/>
      <c r="C725" s="135"/>
      <c r="D725" s="135"/>
      <c r="E725" s="135"/>
      <c r="F725" s="135"/>
      <c r="G725" s="135"/>
    </row>
    <row r="726">
      <c r="A726" s="135"/>
      <c r="B726" s="135"/>
      <c r="C726" s="135"/>
      <c r="D726" s="135"/>
      <c r="E726" s="135"/>
      <c r="F726" s="135"/>
      <c r="G726" s="135"/>
    </row>
    <row r="727">
      <c r="A727" s="135"/>
      <c r="B727" s="135"/>
      <c r="C727" s="135"/>
      <c r="D727" s="135"/>
      <c r="E727" s="135"/>
      <c r="F727" s="135"/>
      <c r="G727" s="135"/>
    </row>
    <row r="728">
      <c r="A728" s="135"/>
      <c r="B728" s="135"/>
      <c r="C728" s="135"/>
      <c r="D728" s="135"/>
      <c r="E728" s="135"/>
      <c r="F728" s="135"/>
      <c r="G728" s="135"/>
    </row>
    <row r="729">
      <c r="A729" s="135"/>
      <c r="B729" s="135"/>
      <c r="C729" s="135"/>
      <c r="D729" s="135"/>
      <c r="E729" s="135"/>
      <c r="F729" s="135"/>
      <c r="G729" s="135"/>
    </row>
    <row r="730">
      <c r="A730" s="135"/>
      <c r="B730" s="135"/>
      <c r="C730" s="135"/>
      <c r="D730" s="135"/>
      <c r="E730" s="135"/>
      <c r="F730" s="135"/>
      <c r="G730" s="135"/>
    </row>
    <row r="731">
      <c r="A731" s="135"/>
      <c r="B731" s="135"/>
      <c r="C731" s="135"/>
      <c r="D731" s="135"/>
      <c r="E731" s="135"/>
      <c r="F731" s="135"/>
      <c r="G731" s="135"/>
    </row>
    <row r="732">
      <c r="A732" s="135"/>
      <c r="B732" s="135"/>
      <c r="C732" s="135"/>
      <c r="D732" s="135"/>
      <c r="E732" s="135"/>
      <c r="F732" s="135"/>
      <c r="G732" s="135"/>
    </row>
    <row r="733">
      <c r="A733" s="135"/>
      <c r="B733" s="135"/>
      <c r="C733" s="135"/>
      <c r="D733" s="135"/>
      <c r="E733" s="135"/>
      <c r="F733" s="135"/>
      <c r="G733" s="135"/>
    </row>
    <row r="734">
      <c r="A734" s="135"/>
      <c r="B734" s="135"/>
      <c r="C734" s="135"/>
      <c r="D734" s="135"/>
      <c r="E734" s="135"/>
      <c r="F734" s="135"/>
      <c r="G734" s="135"/>
    </row>
    <row r="735">
      <c r="A735" s="135"/>
      <c r="B735" s="135"/>
      <c r="C735" s="135"/>
      <c r="D735" s="135"/>
      <c r="E735" s="135"/>
      <c r="F735" s="135"/>
      <c r="G735" s="135"/>
    </row>
    <row r="736">
      <c r="A736" s="135"/>
      <c r="B736" s="135"/>
      <c r="C736" s="135"/>
      <c r="D736" s="135"/>
      <c r="E736" s="135"/>
      <c r="F736" s="135"/>
      <c r="G736" s="135"/>
    </row>
    <row r="737">
      <c r="A737" s="135"/>
      <c r="B737" s="135"/>
      <c r="C737" s="135"/>
      <c r="D737" s="135"/>
      <c r="E737" s="135"/>
      <c r="F737" s="135"/>
      <c r="G737" s="135"/>
    </row>
    <row r="738">
      <c r="A738" s="135"/>
      <c r="B738" s="135"/>
      <c r="C738" s="135"/>
      <c r="D738" s="135"/>
      <c r="E738" s="135"/>
      <c r="F738" s="135"/>
      <c r="G738" s="135"/>
    </row>
    <row r="739">
      <c r="A739" s="135"/>
      <c r="B739" s="135"/>
      <c r="C739" s="135"/>
      <c r="D739" s="135"/>
      <c r="E739" s="135"/>
      <c r="F739" s="135"/>
      <c r="G739" s="135"/>
    </row>
    <row r="740">
      <c r="A740" s="135"/>
      <c r="B740" s="135"/>
      <c r="C740" s="135"/>
      <c r="D740" s="135"/>
      <c r="E740" s="135"/>
      <c r="F740" s="135"/>
      <c r="G740" s="135"/>
    </row>
    <row r="741">
      <c r="A741" s="135"/>
      <c r="B741" s="135"/>
      <c r="C741" s="135"/>
      <c r="D741" s="135"/>
      <c r="E741" s="135"/>
      <c r="F741" s="135"/>
      <c r="G741" s="135"/>
    </row>
    <row r="742">
      <c r="A742" s="135"/>
      <c r="B742" s="135"/>
      <c r="C742" s="135"/>
      <c r="D742" s="135"/>
      <c r="E742" s="135"/>
      <c r="F742" s="135"/>
      <c r="G742" s="135"/>
    </row>
    <row r="743">
      <c r="A743" s="135"/>
      <c r="B743" s="135"/>
      <c r="C743" s="135"/>
      <c r="D743" s="135"/>
      <c r="E743" s="135"/>
      <c r="F743" s="135"/>
      <c r="G743" s="135"/>
    </row>
    <row r="744">
      <c r="A744" s="135"/>
      <c r="B744" s="135"/>
      <c r="C744" s="135"/>
      <c r="D744" s="135"/>
      <c r="E744" s="135"/>
      <c r="F744" s="135"/>
      <c r="G744" s="135"/>
    </row>
    <row r="745">
      <c r="A745" s="135"/>
      <c r="B745" s="135"/>
      <c r="C745" s="135"/>
      <c r="D745" s="135"/>
      <c r="E745" s="135"/>
      <c r="F745" s="135"/>
      <c r="G745" s="135"/>
    </row>
    <row r="746">
      <c r="A746" s="135"/>
      <c r="B746" s="135"/>
      <c r="C746" s="135"/>
      <c r="D746" s="135"/>
      <c r="E746" s="135"/>
      <c r="F746" s="135"/>
      <c r="G746" s="135"/>
    </row>
    <row r="747">
      <c r="A747" s="135"/>
      <c r="B747" s="135"/>
      <c r="C747" s="135"/>
      <c r="D747" s="135"/>
      <c r="E747" s="135"/>
      <c r="F747" s="135"/>
      <c r="G747" s="135"/>
    </row>
    <row r="748">
      <c r="A748" s="135"/>
      <c r="B748" s="135"/>
      <c r="C748" s="135"/>
      <c r="D748" s="135"/>
      <c r="E748" s="135"/>
      <c r="F748" s="135"/>
      <c r="G748" s="135"/>
    </row>
    <row r="749">
      <c r="A749" s="135"/>
      <c r="B749" s="135"/>
      <c r="C749" s="135"/>
      <c r="D749" s="135"/>
      <c r="E749" s="135"/>
      <c r="F749" s="135"/>
      <c r="G749" s="135"/>
    </row>
    <row r="750">
      <c r="A750" s="135"/>
      <c r="B750" s="135"/>
      <c r="C750" s="135"/>
      <c r="D750" s="135"/>
      <c r="E750" s="135"/>
      <c r="F750" s="135"/>
      <c r="G750" s="135"/>
    </row>
    <row r="751">
      <c r="A751" s="135"/>
      <c r="B751" s="135"/>
      <c r="C751" s="135"/>
      <c r="D751" s="135"/>
      <c r="E751" s="135"/>
      <c r="F751" s="135"/>
      <c r="G751" s="135"/>
    </row>
    <row r="752">
      <c r="A752" s="135"/>
      <c r="B752" s="135"/>
      <c r="C752" s="135"/>
      <c r="D752" s="135"/>
      <c r="E752" s="135"/>
      <c r="F752" s="135"/>
      <c r="G752" s="135"/>
    </row>
    <row r="753">
      <c r="A753" s="135"/>
      <c r="B753" s="135"/>
      <c r="C753" s="135"/>
      <c r="D753" s="135"/>
      <c r="E753" s="135"/>
      <c r="F753" s="135"/>
      <c r="G753" s="135"/>
    </row>
    <row r="754">
      <c r="A754" s="135"/>
      <c r="B754" s="135"/>
      <c r="C754" s="135"/>
      <c r="D754" s="135"/>
      <c r="E754" s="135"/>
      <c r="F754" s="135"/>
      <c r="G754" s="135"/>
    </row>
    <row r="755">
      <c r="A755" s="135"/>
      <c r="B755" s="135"/>
      <c r="C755" s="135"/>
      <c r="D755" s="135"/>
      <c r="E755" s="135"/>
      <c r="F755" s="135"/>
      <c r="G755" s="135"/>
    </row>
    <row r="756">
      <c r="A756" s="135"/>
      <c r="B756" s="135"/>
      <c r="C756" s="135"/>
      <c r="D756" s="135"/>
      <c r="E756" s="135"/>
      <c r="F756" s="135"/>
      <c r="G756" s="135"/>
    </row>
    <row r="757">
      <c r="A757" s="135"/>
      <c r="B757" s="135"/>
      <c r="C757" s="135"/>
      <c r="D757" s="135"/>
      <c r="E757" s="135"/>
      <c r="F757" s="135"/>
      <c r="G757" s="135"/>
    </row>
    <row r="758">
      <c r="A758" s="135"/>
      <c r="B758" s="135"/>
      <c r="C758" s="135"/>
      <c r="D758" s="135"/>
      <c r="E758" s="135"/>
      <c r="F758" s="135"/>
      <c r="G758" s="135"/>
    </row>
    <row r="759">
      <c r="A759" s="135"/>
      <c r="B759" s="135"/>
      <c r="C759" s="135"/>
      <c r="D759" s="135"/>
      <c r="E759" s="135"/>
      <c r="F759" s="135"/>
      <c r="G759" s="135"/>
    </row>
    <row r="760">
      <c r="A760" s="135"/>
      <c r="B760" s="135"/>
      <c r="C760" s="135"/>
      <c r="D760" s="135"/>
      <c r="E760" s="135"/>
      <c r="F760" s="135"/>
      <c r="G760" s="135"/>
    </row>
    <row r="761">
      <c r="A761" s="135"/>
      <c r="B761" s="135"/>
      <c r="C761" s="135"/>
      <c r="D761" s="135"/>
      <c r="E761" s="135"/>
      <c r="F761" s="135"/>
      <c r="G761" s="135"/>
    </row>
    <row r="762">
      <c r="A762" s="135"/>
      <c r="B762" s="135"/>
      <c r="C762" s="135"/>
      <c r="D762" s="135"/>
      <c r="E762" s="135"/>
      <c r="F762" s="135"/>
      <c r="G762" s="135"/>
    </row>
    <row r="763">
      <c r="A763" s="135"/>
      <c r="B763" s="135"/>
      <c r="C763" s="135"/>
      <c r="D763" s="135"/>
      <c r="E763" s="135"/>
      <c r="F763" s="135"/>
      <c r="G763" s="135"/>
    </row>
    <row r="764">
      <c r="A764" s="135"/>
      <c r="B764" s="135"/>
      <c r="C764" s="135"/>
      <c r="D764" s="135"/>
      <c r="E764" s="135"/>
      <c r="F764" s="135"/>
      <c r="G764" s="135"/>
    </row>
    <row r="765">
      <c r="A765" s="135"/>
      <c r="B765" s="135"/>
      <c r="C765" s="135"/>
      <c r="D765" s="135"/>
      <c r="E765" s="135"/>
      <c r="F765" s="135"/>
      <c r="G765" s="135"/>
    </row>
    <row r="766">
      <c r="A766" s="135"/>
      <c r="B766" s="135"/>
      <c r="C766" s="135"/>
      <c r="D766" s="135"/>
      <c r="E766" s="135"/>
      <c r="F766" s="135"/>
      <c r="G766" s="135"/>
    </row>
    <row r="767">
      <c r="A767" s="135"/>
      <c r="B767" s="135"/>
      <c r="C767" s="135"/>
      <c r="D767" s="135"/>
      <c r="E767" s="135"/>
      <c r="F767" s="135"/>
      <c r="G767" s="135"/>
    </row>
    <row r="768">
      <c r="A768" s="135"/>
      <c r="B768" s="135"/>
      <c r="C768" s="135"/>
      <c r="D768" s="135"/>
      <c r="E768" s="135"/>
      <c r="F768" s="135"/>
      <c r="G768" s="135"/>
    </row>
    <row r="769">
      <c r="A769" s="135"/>
      <c r="B769" s="135"/>
      <c r="C769" s="135"/>
      <c r="D769" s="135"/>
      <c r="E769" s="135"/>
      <c r="F769" s="135"/>
      <c r="G769" s="135"/>
    </row>
    <row r="770">
      <c r="A770" s="135"/>
      <c r="B770" s="135"/>
      <c r="C770" s="135"/>
      <c r="D770" s="135"/>
      <c r="E770" s="135"/>
      <c r="F770" s="135"/>
      <c r="G770" s="135"/>
    </row>
    <row r="771">
      <c r="A771" s="135"/>
      <c r="B771" s="135"/>
      <c r="C771" s="135"/>
      <c r="D771" s="135"/>
      <c r="E771" s="135"/>
      <c r="F771" s="135"/>
      <c r="G771" s="135"/>
    </row>
    <row r="772">
      <c r="A772" s="135"/>
      <c r="B772" s="135"/>
      <c r="C772" s="135"/>
      <c r="D772" s="135"/>
      <c r="E772" s="135"/>
      <c r="F772" s="135"/>
      <c r="G772" s="135"/>
    </row>
    <row r="773">
      <c r="A773" s="135"/>
      <c r="B773" s="135"/>
      <c r="C773" s="135"/>
      <c r="D773" s="135"/>
      <c r="E773" s="135"/>
      <c r="F773" s="135"/>
      <c r="G773" s="135"/>
    </row>
    <row r="774">
      <c r="A774" s="135"/>
      <c r="B774" s="135"/>
      <c r="C774" s="135"/>
      <c r="D774" s="135"/>
      <c r="E774" s="135"/>
      <c r="F774" s="135"/>
      <c r="G774" s="135"/>
    </row>
    <row r="775">
      <c r="A775" s="135"/>
      <c r="B775" s="135"/>
      <c r="C775" s="135"/>
      <c r="D775" s="135"/>
      <c r="E775" s="135"/>
      <c r="F775" s="135"/>
      <c r="G775" s="135"/>
    </row>
    <row r="776">
      <c r="A776" s="135"/>
      <c r="B776" s="135"/>
      <c r="C776" s="135"/>
      <c r="D776" s="135"/>
      <c r="E776" s="135"/>
      <c r="F776" s="135"/>
      <c r="G776" s="135"/>
    </row>
    <row r="777">
      <c r="A777" s="135"/>
      <c r="B777" s="135"/>
      <c r="C777" s="135"/>
      <c r="D777" s="135"/>
      <c r="E777" s="135"/>
      <c r="F777" s="135"/>
      <c r="G777" s="135"/>
    </row>
    <row r="778">
      <c r="A778" s="135"/>
      <c r="B778" s="135"/>
      <c r="C778" s="135"/>
      <c r="D778" s="135"/>
      <c r="E778" s="135"/>
      <c r="F778" s="135"/>
      <c r="G778" s="135"/>
    </row>
    <row r="779">
      <c r="A779" s="135"/>
      <c r="B779" s="135"/>
      <c r="C779" s="135"/>
      <c r="D779" s="135"/>
      <c r="E779" s="135"/>
      <c r="F779" s="135"/>
      <c r="G779" s="135"/>
    </row>
    <row r="780">
      <c r="A780" s="135"/>
      <c r="B780" s="135"/>
      <c r="C780" s="135"/>
      <c r="D780" s="135"/>
      <c r="E780" s="135"/>
      <c r="F780" s="135"/>
      <c r="G780" s="135"/>
    </row>
    <row r="781">
      <c r="A781" s="135"/>
      <c r="B781" s="135"/>
      <c r="C781" s="135"/>
      <c r="D781" s="135"/>
      <c r="E781" s="135"/>
      <c r="F781" s="135"/>
      <c r="G781" s="135"/>
    </row>
    <row r="782">
      <c r="A782" s="135"/>
      <c r="B782" s="135"/>
      <c r="C782" s="135"/>
      <c r="D782" s="135"/>
      <c r="E782" s="135"/>
      <c r="F782" s="135"/>
      <c r="G782" s="135"/>
    </row>
    <row r="783">
      <c r="A783" s="135"/>
      <c r="B783" s="135"/>
      <c r="C783" s="135"/>
      <c r="D783" s="135"/>
      <c r="E783" s="135"/>
      <c r="F783" s="135"/>
      <c r="G783" s="135"/>
    </row>
    <row r="784">
      <c r="A784" s="135"/>
      <c r="B784" s="135"/>
      <c r="C784" s="135"/>
      <c r="D784" s="135"/>
      <c r="E784" s="135"/>
      <c r="F784" s="135"/>
      <c r="G784" s="135"/>
    </row>
    <row r="785">
      <c r="A785" s="135"/>
      <c r="B785" s="135"/>
      <c r="C785" s="135"/>
      <c r="D785" s="135"/>
      <c r="E785" s="135"/>
      <c r="F785" s="135"/>
      <c r="G785" s="135"/>
    </row>
    <row r="786">
      <c r="A786" s="135"/>
      <c r="B786" s="135"/>
      <c r="C786" s="135"/>
      <c r="D786" s="135"/>
      <c r="E786" s="135"/>
      <c r="F786" s="135"/>
      <c r="G786" s="135"/>
    </row>
    <row r="787">
      <c r="A787" s="135"/>
      <c r="B787" s="135"/>
      <c r="C787" s="135"/>
      <c r="D787" s="135"/>
      <c r="E787" s="135"/>
      <c r="F787" s="135"/>
      <c r="G787" s="135"/>
    </row>
    <row r="788">
      <c r="A788" s="135"/>
      <c r="B788" s="135"/>
      <c r="C788" s="135"/>
      <c r="D788" s="135"/>
      <c r="E788" s="135"/>
      <c r="F788" s="135"/>
      <c r="G788" s="135"/>
    </row>
    <row r="789">
      <c r="A789" s="135"/>
      <c r="B789" s="135"/>
      <c r="C789" s="135"/>
      <c r="D789" s="135"/>
      <c r="E789" s="135"/>
      <c r="F789" s="135"/>
      <c r="G789" s="135"/>
    </row>
    <row r="790">
      <c r="A790" s="135"/>
      <c r="B790" s="135"/>
      <c r="C790" s="135"/>
      <c r="D790" s="135"/>
      <c r="E790" s="135"/>
      <c r="F790" s="135"/>
      <c r="G790" s="135"/>
    </row>
    <row r="791">
      <c r="A791" s="135"/>
      <c r="B791" s="135"/>
      <c r="C791" s="135"/>
      <c r="D791" s="135"/>
      <c r="E791" s="135"/>
      <c r="F791" s="135"/>
      <c r="G791" s="135"/>
    </row>
    <row r="792">
      <c r="A792" s="135"/>
      <c r="B792" s="135"/>
      <c r="C792" s="135"/>
      <c r="D792" s="135"/>
      <c r="E792" s="135"/>
      <c r="F792" s="135"/>
      <c r="G792" s="135"/>
    </row>
    <row r="793">
      <c r="A793" s="135"/>
      <c r="B793" s="135"/>
      <c r="C793" s="135"/>
      <c r="D793" s="135"/>
      <c r="E793" s="135"/>
      <c r="F793" s="135"/>
      <c r="G793" s="135"/>
    </row>
    <row r="794">
      <c r="A794" s="135"/>
      <c r="B794" s="135"/>
      <c r="C794" s="135"/>
      <c r="D794" s="135"/>
      <c r="E794" s="135"/>
      <c r="F794" s="135"/>
      <c r="G794" s="135"/>
    </row>
    <row r="795">
      <c r="A795" s="135"/>
      <c r="B795" s="135"/>
      <c r="C795" s="135"/>
      <c r="D795" s="135"/>
      <c r="E795" s="135"/>
      <c r="F795" s="135"/>
      <c r="G795" s="135"/>
    </row>
    <row r="796">
      <c r="A796" s="135"/>
      <c r="B796" s="135"/>
      <c r="C796" s="135"/>
      <c r="D796" s="135"/>
      <c r="E796" s="135"/>
      <c r="F796" s="135"/>
      <c r="G796" s="135"/>
    </row>
    <row r="797">
      <c r="A797" s="135"/>
      <c r="B797" s="135"/>
      <c r="C797" s="135"/>
      <c r="D797" s="135"/>
      <c r="E797" s="135"/>
      <c r="F797" s="135"/>
      <c r="G797" s="135"/>
    </row>
    <row r="798">
      <c r="A798" s="135"/>
      <c r="B798" s="135"/>
      <c r="C798" s="135"/>
      <c r="D798" s="135"/>
      <c r="E798" s="135"/>
      <c r="F798" s="135"/>
      <c r="G798" s="135"/>
    </row>
    <row r="799">
      <c r="A799" s="135"/>
      <c r="B799" s="135"/>
      <c r="C799" s="135"/>
      <c r="D799" s="135"/>
      <c r="E799" s="135"/>
      <c r="F799" s="135"/>
      <c r="G799" s="135"/>
    </row>
    <row r="800">
      <c r="A800" s="135"/>
      <c r="B800" s="135"/>
      <c r="C800" s="135"/>
      <c r="D800" s="135"/>
      <c r="E800" s="135"/>
      <c r="F800" s="135"/>
      <c r="G800" s="135"/>
    </row>
    <row r="801">
      <c r="A801" s="135"/>
      <c r="B801" s="135"/>
      <c r="C801" s="135"/>
      <c r="D801" s="135"/>
      <c r="E801" s="135"/>
      <c r="F801" s="135"/>
      <c r="G801" s="135"/>
    </row>
    <row r="802">
      <c r="A802" s="135"/>
      <c r="B802" s="135"/>
      <c r="C802" s="135"/>
      <c r="D802" s="135"/>
      <c r="E802" s="135"/>
      <c r="F802" s="135"/>
      <c r="G802" s="135"/>
    </row>
    <row r="803">
      <c r="A803" s="135"/>
      <c r="B803" s="135"/>
      <c r="C803" s="135"/>
      <c r="D803" s="135"/>
      <c r="E803" s="135"/>
      <c r="F803" s="135"/>
      <c r="G803" s="135"/>
    </row>
    <row r="804">
      <c r="A804" s="135"/>
      <c r="B804" s="135"/>
      <c r="C804" s="135"/>
      <c r="D804" s="135"/>
      <c r="E804" s="135"/>
      <c r="F804" s="135"/>
      <c r="G804" s="135"/>
    </row>
    <row r="805">
      <c r="A805" s="135"/>
      <c r="B805" s="135"/>
      <c r="C805" s="135"/>
      <c r="D805" s="135"/>
      <c r="E805" s="135"/>
      <c r="F805" s="135"/>
      <c r="G805" s="135"/>
    </row>
    <row r="806">
      <c r="A806" s="135"/>
      <c r="B806" s="135"/>
      <c r="C806" s="135"/>
      <c r="D806" s="135"/>
      <c r="E806" s="135"/>
      <c r="F806" s="135"/>
      <c r="G806" s="135"/>
    </row>
    <row r="807">
      <c r="A807" s="135"/>
      <c r="B807" s="135"/>
      <c r="C807" s="135"/>
      <c r="D807" s="135"/>
      <c r="E807" s="135"/>
      <c r="F807" s="135"/>
      <c r="G807" s="135"/>
    </row>
    <row r="808">
      <c r="A808" s="135"/>
      <c r="B808" s="135"/>
      <c r="C808" s="135"/>
      <c r="D808" s="135"/>
      <c r="E808" s="135"/>
      <c r="F808" s="135"/>
      <c r="G808" s="135"/>
    </row>
    <row r="809">
      <c r="A809" s="135"/>
      <c r="B809" s="135"/>
      <c r="C809" s="135"/>
      <c r="D809" s="135"/>
      <c r="E809" s="135"/>
      <c r="F809" s="135"/>
      <c r="G809" s="135"/>
    </row>
    <row r="810">
      <c r="A810" s="135"/>
      <c r="B810" s="135"/>
      <c r="C810" s="135"/>
      <c r="D810" s="135"/>
      <c r="E810" s="135"/>
      <c r="F810" s="135"/>
      <c r="G810" s="135"/>
    </row>
    <row r="811">
      <c r="A811" s="135"/>
      <c r="B811" s="135"/>
      <c r="C811" s="135"/>
      <c r="D811" s="135"/>
      <c r="E811" s="135"/>
      <c r="F811" s="135"/>
      <c r="G811" s="135"/>
    </row>
    <row r="812">
      <c r="A812" s="135"/>
      <c r="B812" s="135"/>
      <c r="C812" s="135"/>
      <c r="D812" s="135"/>
      <c r="E812" s="135"/>
      <c r="F812" s="135"/>
      <c r="G812" s="135"/>
    </row>
    <row r="813">
      <c r="A813" s="135"/>
      <c r="B813" s="135"/>
      <c r="C813" s="135"/>
      <c r="D813" s="135"/>
      <c r="E813" s="135"/>
      <c r="F813" s="135"/>
      <c r="G813" s="135"/>
    </row>
    <row r="814">
      <c r="A814" s="135"/>
      <c r="B814" s="135"/>
      <c r="C814" s="135"/>
      <c r="D814" s="135"/>
      <c r="E814" s="135"/>
      <c r="F814" s="135"/>
      <c r="G814" s="135"/>
    </row>
    <row r="815">
      <c r="A815" s="135"/>
      <c r="B815" s="135"/>
      <c r="C815" s="135"/>
      <c r="D815" s="135"/>
      <c r="E815" s="135"/>
      <c r="F815" s="135"/>
      <c r="G815" s="135"/>
    </row>
    <row r="816">
      <c r="A816" s="135"/>
      <c r="B816" s="135"/>
      <c r="C816" s="135"/>
      <c r="D816" s="135"/>
      <c r="E816" s="135"/>
      <c r="F816" s="135"/>
      <c r="G816" s="135"/>
    </row>
    <row r="817">
      <c r="A817" s="135"/>
      <c r="B817" s="135"/>
      <c r="C817" s="135"/>
      <c r="D817" s="135"/>
      <c r="E817" s="135"/>
      <c r="F817" s="135"/>
      <c r="G817" s="135"/>
    </row>
    <row r="818">
      <c r="A818" s="135"/>
      <c r="B818" s="135"/>
      <c r="C818" s="135"/>
      <c r="D818" s="135"/>
      <c r="E818" s="135"/>
      <c r="F818" s="135"/>
      <c r="G818" s="135"/>
    </row>
    <row r="819">
      <c r="A819" s="135"/>
      <c r="B819" s="135"/>
      <c r="C819" s="135"/>
      <c r="D819" s="135"/>
      <c r="E819" s="135"/>
      <c r="F819" s="135"/>
      <c r="G819" s="135"/>
    </row>
    <row r="820">
      <c r="A820" s="135"/>
      <c r="B820" s="135"/>
      <c r="C820" s="135"/>
      <c r="D820" s="135"/>
      <c r="E820" s="135"/>
      <c r="F820" s="135"/>
      <c r="G820" s="135"/>
    </row>
    <row r="821">
      <c r="A821" s="135"/>
      <c r="B821" s="135"/>
      <c r="C821" s="135"/>
      <c r="D821" s="135"/>
      <c r="E821" s="135"/>
      <c r="F821" s="135"/>
      <c r="G821" s="135"/>
    </row>
    <row r="822">
      <c r="A822" s="135"/>
      <c r="B822" s="135"/>
      <c r="C822" s="135"/>
      <c r="D822" s="135"/>
      <c r="E822" s="135"/>
      <c r="F822" s="135"/>
      <c r="G822" s="135"/>
    </row>
    <row r="823">
      <c r="A823" s="135"/>
      <c r="B823" s="135"/>
      <c r="C823" s="135"/>
      <c r="D823" s="135"/>
      <c r="E823" s="135"/>
      <c r="F823" s="135"/>
      <c r="G823" s="135"/>
    </row>
    <row r="824">
      <c r="A824" s="135"/>
      <c r="B824" s="135"/>
      <c r="C824" s="135"/>
      <c r="D824" s="135"/>
      <c r="E824" s="135"/>
      <c r="F824" s="135"/>
      <c r="G824" s="135"/>
    </row>
    <row r="825">
      <c r="A825" s="135"/>
      <c r="B825" s="135"/>
      <c r="C825" s="135"/>
      <c r="D825" s="135"/>
      <c r="E825" s="135"/>
      <c r="F825" s="135"/>
      <c r="G825" s="135"/>
    </row>
    <row r="826">
      <c r="A826" s="135"/>
      <c r="B826" s="135"/>
      <c r="C826" s="135"/>
      <c r="D826" s="135"/>
      <c r="E826" s="135"/>
      <c r="F826" s="135"/>
      <c r="G826" s="135"/>
    </row>
    <row r="827">
      <c r="A827" s="135"/>
      <c r="B827" s="135"/>
      <c r="C827" s="135"/>
      <c r="D827" s="135"/>
      <c r="E827" s="135"/>
      <c r="F827" s="135"/>
      <c r="G827" s="135"/>
    </row>
    <row r="828">
      <c r="A828" s="135"/>
      <c r="B828" s="135"/>
      <c r="C828" s="135"/>
      <c r="D828" s="135"/>
      <c r="E828" s="135"/>
      <c r="F828" s="135"/>
      <c r="G828" s="135"/>
    </row>
    <row r="829">
      <c r="A829" s="135"/>
      <c r="B829" s="135"/>
      <c r="C829" s="135"/>
      <c r="D829" s="135"/>
      <c r="E829" s="135"/>
      <c r="F829" s="135"/>
      <c r="G829" s="135"/>
    </row>
    <row r="830">
      <c r="A830" s="135"/>
      <c r="B830" s="135"/>
      <c r="C830" s="135"/>
      <c r="D830" s="135"/>
      <c r="E830" s="135"/>
      <c r="F830" s="135"/>
      <c r="G830" s="135"/>
    </row>
    <row r="831">
      <c r="A831" s="135"/>
      <c r="B831" s="135"/>
      <c r="C831" s="135"/>
      <c r="D831" s="135"/>
      <c r="E831" s="135"/>
      <c r="F831" s="135"/>
      <c r="G831" s="135"/>
    </row>
    <row r="832">
      <c r="A832" s="135"/>
      <c r="B832" s="135"/>
      <c r="C832" s="135"/>
      <c r="D832" s="135"/>
      <c r="E832" s="135"/>
      <c r="F832" s="135"/>
      <c r="G832" s="135"/>
    </row>
    <row r="833">
      <c r="A833" s="135"/>
      <c r="B833" s="135"/>
      <c r="C833" s="135"/>
      <c r="D833" s="135"/>
      <c r="E833" s="135"/>
      <c r="F833" s="135"/>
      <c r="G833" s="135"/>
    </row>
    <row r="834">
      <c r="A834" s="135"/>
      <c r="B834" s="135"/>
      <c r="C834" s="135"/>
      <c r="D834" s="135"/>
      <c r="E834" s="135"/>
      <c r="F834" s="135"/>
      <c r="G834" s="135"/>
    </row>
    <row r="835">
      <c r="A835" s="135"/>
      <c r="B835" s="135"/>
      <c r="C835" s="135"/>
      <c r="D835" s="135"/>
      <c r="E835" s="135"/>
      <c r="F835" s="135"/>
      <c r="G835" s="135"/>
    </row>
    <row r="836">
      <c r="A836" s="135"/>
      <c r="B836" s="135"/>
      <c r="C836" s="135"/>
      <c r="D836" s="135"/>
      <c r="E836" s="135"/>
      <c r="F836" s="135"/>
      <c r="G836" s="135"/>
    </row>
    <row r="837">
      <c r="A837" s="135"/>
      <c r="B837" s="135"/>
      <c r="C837" s="135"/>
      <c r="D837" s="135"/>
      <c r="E837" s="135"/>
      <c r="F837" s="135"/>
      <c r="G837" s="135"/>
    </row>
    <row r="838">
      <c r="A838" s="135"/>
      <c r="B838" s="135"/>
      <c r="C838" s="135"/>
      <c r="D838" s="135"/>
      <c r="E838" s="135"/>
      <c r="F838" s="135"/>
      <c r="G838" s="135"/>
    </row>
    <row r="839">
      <c r="A839" s="135"/>
      <c r="B839" s="135"/>
      <c r="C839" s="135"/>
      <c r="D839" s="135"/>
      <c r="E839" s="135"/>
      <c r="F839" s="135"/>
      <c r="G839" s="135"/>
    </row>
    <row r="840">
      <c r="A840" s="135"/>
      <c r="B840" s="135"/>
      <c r="C840" s="135"/>
      <c r="D840" s="135"/>
      <c r="E840" s="135"/>
      <c r="F840" s="135"/>
      <c r="G840" s="135"/>
    </row>
    <row r="841">
      <c r="A841" s="135"/>
      <c r="B841" s="135"/>
      <c r="C841" s="135"/>
      <c r="D841" s="135"/>
      <c r="E841" s="135"/>
      <c r="F841" s="135"/>
      <c r="G841" s="135"/>
    </row>
    <row r="842">
      <c r="A842" s="135"/>
      <c r="B842" s="135"/>
      <c r="C842" s="135"/>
      <c r="D842" s="135"/>
      <c r="E842" s="135"/>
      <c r="F842" s="135"/>
      <c r="G842" s="135"/>
    </row>
    <row r="843">
      <c r="A843" s="135"/>
      <c r="B843" s="135"/>
      <c r="C843" s="135"/>
      <c r="D843" s="135"/>
      <c r="E843" s="135"/>
      <c r="F843" s="135"/>
      <c r="G843" s="135"/>
    </row>
    <row r="844">
      <c r="A844" s="135"/>
      <c r="B844" s="135"/>
      <c r="C844" s="135"/>
      <c r="D844" s="135"/>
      <c r="E844" s="135"/>
      <c r="F844" s="135"/>
      <c r="G844" s="135"/>
    </row>
    <row r="845">
      <c r="A845" s="135"/>
      <c r="B845" s="135"/>
      <c r="C845" s="135"/>
      <c r="D845" s="135"/>
      <c r="E845" s="135"/>
      <c r="F845" s="135"/>
      <c r="G845" s="135"/>
    </row>
    <row r="846">
      <c r="A846" s="135"/>
      <c r="B846" s="135"/>
      <c r="C846" s="135"/>
      <c r="D846" s="135"/>
      <c r="E846" s="135"/>
      <c r="F846" s="135"/>
      <c r="G846" s="135"/>
    </row>
    <row r="847">
      <c r="A847" s="135"/>
      <c r="B847" s="135"/>
      <c r="C847" s="135"/>
      <c r="D847" s="135"/>
      <c r="E847" s="135"/>
      <c r="F847" s="135"/>
      <c r="G847" s="135"/>
    </row>
    <row r="848">
      <c r="A848" s="135"/>
      <c r="B848" s="135"/>
      <c r="C848" s="135"/>
      <c r="D848" s="135"/>
      <c r="E848" s="135"/>
      <c r="F848" s="135"/>
      <c r="G848" s="135"/>
    </row>
    <row r="849">
      <c r="A849" s="135"/>
      <c r="B849" s="135"/>
      <c r="C849" s="135"/>
      <c r="D849" s="135"/>
      <c r="E849" s="135"/>
      <c r="F849" s="135"/>
      <c r="G849" s="135"/>
    </row>
    <row r="850">
      <c r="A850" s="135"/>
      <c r="B850" s="135"/>
      <c r="C850" s="135"/>
      <c r="D850" s="135"/>
      <c r="E850" s="135"/>
      <c r="F850" s="135"/>
      <c r="G850" s="135"/>
    </row>
    <row r="851">
      <c r="A851" s="135"/>
      <c r="B851" s="135"/>
      <c r="C851" s="135"/>
      <c r="D851" s="135"/>
      <c r="E851" s="135"/>
      <c r="F851" s="135"/>
      <c r="G851" s="135"/>
    </row>
    <row r="852">
      <c r="A852" s="135"/>
      <c r="B852" s="135"/>
      <c r="C852" s="135"/>
      <c r="D852" s="135"/>
      <c r="E852" s="135"/>
      <c r="F852" s="135"/>
      <c r="G852" s="135"/>
    </row>
    <row r="853">
      <c r="A853" s="135"/>
      <c r="B853" s="135"/>
      <c r="C853" s="135"/>
      <c r="D853" s="135"/>
      <c r="E853" s="135"/>
      <c r="F853" s="135"/>
      <c r="G853" s="135"/>
    </row>
    <row r="854">
      <c r="A854" s="135"/>
      <c r="B854" s="135"/>
      <c r="C854" s="135"/>
      <c r="D854" s="135"/>
      <c r="E854" s="135"/>
      <c r="F854" s="135"/>
      <c r="G854" s="135"/>
    </row>
    <row r="855">
      <c r="A855" s="135"/>
      <c r="B855" s="135"/>
      <c r="C855" s="135"/>
      <c r="D855" s="135"/>
      <c r="E855" s="135"/>
      <c r="F855" s="135"/>
      <c r="G855" s="135"/>
    </row>
    <row r="856">
      <c r="A856" s="135"/>
      <c r="B856" s="135"/>
      <c r="C856" s="135"/>
      <c r="D856" s="135"/>
      <c r="E856" s="135"/>
      <c r="F856" s="135"/>
      <c r="G856" s="135"/>
    </row>
    <row r="857">
      <c r="A857" s="135"/>
      <c r="B857" s="135"/>
      <c r="C857" s="135"/>
      <c r="D857" s="135"/>
      <c r="E857" s="135"/>
      <c r="F857" s="135"/>
      <c r="G857" s="135"/>
    </row>
    <row r="858">
      <c r="A858" s="135"/>
      <c r="B858" s="135"/>
      <c r="C858" s="135"/>
      <c r="D858" s="135"/>
      <c r="E858" s="135"/>
      <c r="F858" s="135"/>
      <c r="G858" s="135"/>
    </row>
    <row r="859">
      <c r="A859" s="135"/>
      <c r="B859" s="135"/>
      <c r="C859" s="135"/>
      <c r="D859" s="135"/>
      <c r="E859" s="135"/>
      <c r="F859" s="135"/>
      <c r="G859" s="135"/>
    </row>
    <row r="860">
      <c r="A860" s="135"/>
      <c r="B860" s="135"/>
      <c r="C860" s="135"/>
      <c r="D860" s="135"/>
      <c r="E860" s="135"/>
      <c r="F860" s="135"/>
      <c r="G860" s="135"/>
    </row>
    <row r="861">
      <c r="A861" s="135"/>
      <c r="B861" s="135"/>
      <c r="C861" s="135"/>
      <c r="D861" s="135"/>
      <c r="E861" s="135"/>
      <c r="F861" s="135"/>
      <c r="G861" s="135"/>
    </row>
    <row r="862">
      <c r="A862" s="135"/>
      <c r="B862" s="135"/>
      <c r="C862" s="135"/>
      <c r="D862" s="135"/>
      <c r="E862" s="135"/>
      <c r="F862" s="135"/>
      <c r="G862" s="135"/>
    </row>
    <row r="863">
      <c r="A863" s="135"/>
      <c r="B863" s="135"/>
      <c r="C863" s="135"/>
      <c r="D863" s="135"/>
      <c r="E863" s="135"/>
      <c r="F863" s="135"/>
      <c r="G863" s="135"/>
    </row>
    <row r="864">
      <c r="A864" s="135"/>
      <c r="B864" s="135"/>
      <c r="C864" s="135"/>
      <c r="D864" s="135"/>
      <c r="E864" s="135"/>
      <c r="F864" s="135"/>
      <c r="G864" s="135"/>
    </row>
    <row r="865">
      <c r="A865" s="135"/>
      <c r="B865" s="135"/>
      <c r="C865" s="135"/>
      <c r="D865" s="135"/>
      <c r="E865" s="135"/>
      <c r="F865" s="135"/>
      <c r="G865" s="135"/>
    </row>
    <row r="866">
      <c r="A866" s="135"/>
      <c r="B866" s="135"/>
      <c r="C866" s="135"/>
      <c r="D866" s="135"/>
      <c r="E866" s="135"/>
      <c r="F866" s="135"/>
      <c r="G866" s="135"/>
    </row>
    <row r="867">
      <c r="A867" s="135"/>
      <c r="B867" s="135"/>
      <c r="C867" s="135"/>
      <c r="D867" s="135"/>
      <c r="E867" s="135"/>
      <c r="F867" s="135"/>
      <c r="G867" s="135"/>
    </row>
    <row r="868">
      <c r="A868" s="135"/>
      <c r="B868" s="135"/>
      <c r="C868" s="135"/>
      <c r="D868" s="135"/>
      <c r="E868" s="135"/>
      <c r="F868" s="135"/>
      <c r="G868" s="135"/>
    </row>
    <row r="869">
      <c r="A869" s="135"/>
      <c r="B869" s="135"/>
      <c r="C869" s="135"/>
      <c r="D869" s="135"/>
      <c r="E869" s="135"/>
      <c r="F869" s="135"/>
      <c r="G869" s="135"/>
    </row>
    <row r="870">
      <c r="A870" s="135"/>
      <c r="B870" s="135"/>
      <c r="C870" s="135"/>
      <c r="D870" s="135"/>
      <c r="E870" s="135"/>
      <c r="F870" s="135"/>
      <c r="G870" s="135"/>
    </row>
    <row r="871">
      <c r="A871" s="135"/>
      <c r="B871" s="135"/>
      <c r="C871" s="135"/>
      <c r="D871" s="135"/>
      <c r="E871" s="135"/>
      <c r="F871" s="135"/>
      <c r="G871" s="135"/>
    </row>
    <row r="872">
      <c r="A872" s="135"/>
      <c r="B872" s="135"/>
      <c r="C872" s="135"/>
      <c r="D872" s="135"/>
      <c r="E872" s="135"/>
      <c r="F872" s="135"/>
      <c r="G872" s="135"/>
    </row>
    <row r="873">
      <c r="A873" s="135"/>
      <c r="B873" s="135"/>
      <c r="C873" s="135"/>
      <c r="D873" s="135"/>
      <c r="E873" s="135"/>
      <c r="F873" s="135"/>
      <c r="G873" s="135"/>
    </row>
    <row r="874">
      <c r="A874" s="135"/>
      <c r="B874" s="135"/>
      <c r="C874" s="135"/>
      <c r="D874" s="135"/>
      <c r="E874" s="135"/>
      <c r="F874" s="135"/>
      <c r="G874" s="135"/>
    </row>
    <row r="875">
      <c r="A875" s="135"/>
      <c r="B875" s="135"/>
      <c r="C875" s="135"/>
      <c r="D875" s="135"/>
      <c r="E875" s="135"/>
      <c r="F875" s="135"/>
      <c r="G875" s="135"/>
    </row>
    <row r="876">
      <c r="A876" s="135"/>
      <c r="B876" s="135"/>
      <c r="C876" s="135"/>
      <c r="D876" s="135"/>
      <c r="E876" s="135"/>
      <c r="F876" s="135"/>
      <c r="G876" s="135"/>
    </row>
    <row r="877">
      <c r="A877" s="135"/>
      <c r="B877" s="135"/>
      <c r="C877" s="135"/>
      <c r="D877" s="135"/>
      <c r="E877" s="135"/>
      <c r="F877" s="135"/>
      <c r="G877" s="135"/>
    </row>
    <row r="878">
      <c r="A878" s="135"/>
      <c r="B878" s="135"/>
      <c r="C878" s="135"/>
      <c r="D878" s="135"/>
      <c r="E878" s="135"/>
      <c r="F878" s="135"/>
      <c r="G878" s="135"/>
    </row>
    <row r="879">
      <c r="A879" s="135"/>
      <c r="B879" s="135"/>
      <c r="C879" s="135"/>
      <c r="D879" s="135"/>
      <c r="E879" s="135"/>
      <c r="F879" s="135"/>
      <c r="G879" s="135"/>
    </row>
    <row r="880">
      <c r="A880" s="135"/>
      <c r="B880" s="135"/>
      <c r="C880" s="135"/>
      <c r="D880" s="135"/>
      <c r="E880" s="135"/>
      <c r="F880" s="135"/>
      <c r="G880" s="135"/>
    </row>
    <row r="881">
      <c r="A881" s="135"/>
      <c r="B881" s="135"/>
      <c r="C881" s="135"/>
      <c r="D881" s="135"/>
      <c r="E881" s="135"/>
      <c r="F881" s="135"/>
      <c r="G881" s="135"/>
    </row>
    <row r="882">
      <c r="A882" s="135"/>
      <c r="B882" s="135"/>
      <c r="C882" s="135"/>
      <c r="D882" s="135"/>
      <c r="E882" s="135"/>
      <c r="F882" s="135"/>
      <c r="G882" s="135"/>
    </row>
    <row r="883">
      <c r="A883" s="135"/>
      <c r="B883" s="135"/>
      <c r="C883" s="135"/>
      <c r="D883" s="135"/>
      <c r="E883" s="135"/>
      <c r="F883" s="135"/>
      <c r="G883" s="135"/>
    </row>
    <row r="884">
      <c r="A884" s="135"/>
      <c r="B884" s="135"/>
      <c r="C884" s="135"/>
      <c r="D884" s="135"/>
      <c r="E884" s="135"/>
      <c r="F884" s="135"/>
      <c r="G884" s="135"/>
    </row>
    <row r="885">
      <c r="A885" s="135"/>
      <c r="B885" s="135"/>
      <c r="C885" s="135"/>
      <c r="D885" s="135"/>
      <c r="E885" s="135"/>
      <c r="F885" s="135"/>
      <c r="G885" s="135"/>
    </row>
    <row r="886">
      <c r="A886" s="135"/>
      <c r="B886" s="135"/>
      <c r="C886" s="135"/>
      <c r="D886" s="135"/>
      <c r="E886" s="135"/>
      <c r="F886" s="135"/>
      <c r="G886" s="135"/>
    </row>
    <row r="887">
      <c r="A887" s="135"/>
      <c r="B887" s="135"/>
      <c r="C887" s="135"/>
      <c r="D887" s="135"/>
      <c r="E887" s="135"/>
      <c r="F887" s="135"/>
      <c r="G887" s="135"/>
    </row>
    <row r="888">
      <c r="A888" s="135"/>
      <c r="B888" s="135"/>
      <c r="C888" s="135"/>
      <c r="D888" s="135"/>
      <c r="E888" s="135"/>
      <c r="F888" s="135"/>
      <c r="G888" s="135"/>
    </row>
    <row r="889">
      <c r="A889" s="135"/>
      <c r="B889" s="135"/>
      <c r="C889" s="135"/>
      <c r="D889" s="135"/>
      <c r="E889" s="135"/>
      <c r="F889" s="135"/>
      <c r="G889" s="135"/>
    </row>
    <row r="890">
      <c r="A890" s="135"/>
      <c r="B890" s="135"/>
      <c r="C890" s="135"/>
      <c r="D890" s="135"/>
      <c r="E890" s="135"/>
      <c r="F890" s="135"/>
      <c r="G890" s="135"/>
    </row>
    <row r="891">
      <c r="A891" s="135"/>
      <c r="B891" s="135"/>
      <c r="C891" s="135"/>
      <c r="D891" s="135"/>
      <c r="E891" s="135"/>
      <c r="F891" s="135"/>
      <c r="G891" s="135"/>
    </row>
    <row r="892">
      <c r="A892" s="135"/>
      <c r="B892" s="135"/>
      <c r="C892" s="135"/>
      <c r="D892" s="135"/>
      <c r="E892" s="135"/>
      <c r="F892" s="135"/>
      <c r="G892" s="135"/>
    </row>
    <row r="893">
      <c r="A893" s="135"/>
      <c r="B893" s="135"/>
      <c r="C893" s="135"/>
      <c r="D893" s="135"/>
      <c r="E893" s="135"/>
      <c r="F893" s="135"/>
      <c r="G893" s="135"/>
    </row>
    <row r="894">
      <c r="A894" s="135"/>
      <c r="B894" s="135"/>
      <c r="C894" s="135"/>
      <c r="D894" s="135"/>
      <c r="E894" s="135"/>
      <c r="F894" s="135"/>
      <c r="G894" s="135"/>
    </row>
    <row r="895">
      <c r="A895" s="135"/>
      <c r="B895" s="135"/>
      <c r="C895" s="135"/>
      <c r="D895" s="135"/>
      <c r="E895" s="135"/>
      <c r="F895" s="135"/>
      <c r="G895" s="135"/>
    </row>
    <row r="896">
      <c r="A896" s="135"/>
      <c r="B896" s="135"/>
      <c r="C896" s="135"/>
      <c r="D896" s="135"/>
      <c r="E896" s="135"/>
      <c r="F896" s="135"/>
      <c r="G896" s="135"/>
    </row>
    <row r="897">
      <c r="A897" s="135"/>
      <c r="B897" s="135"/>
      <c r="C897" s="135"/>
      <c r="D897" s="135"/>
      <c r="E897" s="135"/>
      <c r="F897" s="135"/>
      <c r="G897" s="135"/>
    </row>
    <row r="898">
      <c r="A898" s="135"/>
      <c r="B898" s="135"/>
      <c r="C898" s="135"/>
      <c r="D898" s="135"/>
      <c r="E898" s="135"/>
      <c r="F898" s="135"/>
      <c r="G898" s="135"/>
    </row>
    <row r="899">
      <c r="A899" s="135"/>
      <c r="B899" s="135"/>
      <c r="C899" s="135"/>
      <c r="D899" s="135"/>
      <c r="E899" s="135"/>
      <c r="F899" s="135"/>
      <c r="G899" s="135"/>
    </row>
    <row r="900">
      <c r="A900" s="135"/>
      <c r="B900" s="135"/>
      <c r="C900" s="135"/>
      <c r="D900" s="135"/>
      <c r="E900" s="135"/>
      <c r="F900" s="135"/>
      <c r="G900" s="135"/>
    </row>
    <row r="901">
      <c r="A901" s="135"/>
      <c r="B901" s="135"/>
      <c r="C901" s="135"/>
      <c r="D901" s="135"/>
      <c r="E901" s="135"/>
      <c r="F901" s="135"/>
      <c r="G901" s="135"/>
    </row>
    <row r="902">
      <c r="A902" s="135"/>
      <c r="B902" s="135"/>
      <c r="C902" s="135"/>
      <c r="D902" s="135"/>
      <c r="E902" s="135"/>
      <c r="F902" s="135"/>
      <c r="G902" s="135"/>
    </row>
    <row r="903">
      <c r="A903" s="135"/>
      <c r="B903" s="135"/>
      <c r="C903" s="135"/>
      <c r="D903" s="135"/>
      <c r="E903" s="135"/>
      <c r="F903" s="135"/>
      <c r="G903" s="135"/>
    </row>
    <row r="904">
      <c r="A904" s="135"/>
      <c r="B904" s="135"/>
      <c r="C904" s="135"/>
      <c r="D904" s="135"/>
      <c r="E904" s="135"/>
      <c r="F904" s="135"/>
      <c r="G904" s="135"/>
    </row>
    <row r="905">
      <c r="A905" s="135"/>
      <c r="B905" s="135"/>
      <c r="C905" s="135"/>
      <c r="D905" s="135"/>
      <c r="E905" s="135"/>
      <c r="F905" s="135"/>
      <c r="G905" s="135"/>
    </row>
    <row r="906">
      <c r="A906" s="135"/>
      <c r="B906" s="135"/>
      <c r="C906" s="135"/>
      <c r="D906" s="135"/>
      <c r="E906" s="135"/>
      <c r="F906" s="135"/>
      <c r="G906" s="135"/>
    </row>
    <row r="907">
      <c r="A907" s="135"/>
      <c r="B907" s="135"/>
      <c r="C907" s="135"/>
      <c r="D907" s="135"/>
      <c r="E907" s="135"/>
      <c r="F907" s="135"/>
      <c r="G907" s="135"/>
    </row>
    <row r="908">
      <c r="A908" s="135"/>
      <c r="B908" s="135"/>
      <c r="C908" s="135"/>
      <c r="D908" s="135"/>
      <c r="E908" s="135"/>
      <c r="F908" s="135"/>
      <c r="G908" s="135"/>
    </row>
    <row r="909">
      <c r="A909" s="135"/>
      <c r="B909" s="135"/>
      <c r="C909" s="135"/>
      <c r="D909" s="135"/>
      <c r="E909" s="135"/>
      <c r="F909" s="135"/>
      <c r="G909" s="135"/>
    </row>
    <row r="910">
      <c r="A910" s="135"/>
      <c r="B910" s="135"/>
      <c r="C910" s="135"/>
      <c r="D910" s="135"/>
      <c r="E910" s="135"/>
      <c r="F910" s="135"/>
      <c r="G910" s="135"/>
    </row>
    <row r="911">
      <c r="A911" s="135"/>
      <c r="B911" s="135"/>
      <c r="C911" s="135"/>
      <c r="D911" s="135"/>
      <c r="E911" s="135"/>
      <c r="F911" s="135"/>
      <c r="G911" s="135"/>
    </row>
    <row r="912">
      <c r="A912" s="135"/>
      <c r="B912" s="135"/>
      <c r="C912" s="135"/>
      <c r="D912" s="135"/>
      <c r="E912" s="135"/>
      <c r="F912" s="135"/>
      <c r="G912" s="135"/>
    </row>
    <row r="913">
      <c r="A913" s="135"/>
      <c r="B913" s="135"/>
      <c r="C913" s="135"/>
      <c r="D913" s="135"/>
      <c r="E913" s="135"/>
      <c r="F913" s="135"/>
      <c r="G913" s="135"/>
    </row>
    <row r="914">
      <c r="A914" s="135"/>
      <c r="B914" s="135"/>
      <c r="C914" s="135"/>
      <c r="D914" s="135"/>
      <c r="E914" s="135"/>
      <c r="F914" s="135"/>
      <c r="G914" s="135"/>
    </row>
    <row r="915">
      <c r="A915" s="135"/>
      <c r="B915" s="135"/>
      <c r="C915" s="135"/>
      <c r="D915" s="135"/>
      <c r="E915" s="135"/>
      <c r="F915" s="135"/>
      <c r="G915" s="135"/>
    </row>
    <row r="916">
      <c r="A916" s="135"/>
      <c r="B916" s="135"/>
      <c r="C916" s="135"/>
      <c r="D916" s="135"/>
      <c r="E916" s="135"/>
      <c r="F916" s="135"/>
      <c r="G916" s="135"/>
    </row>
    <row r="917">
      <c r="A917" s="135"/>
      <c r="B917" s="135"/>
      <c r="C917" s="135"/>
      <c r="D917" s="135"/>
      <c r="E917" s="135"/>
      <c r="F917" s="135"/>
      <c r="G917" s="135"/>
    </row>
    <row r="918">
      <c r="A918" s="135"/>
      <c r="B918" s="135"/>
      <c r="C918" s="135"/>
      <c r="D918" s="135"/>
      <c r="E918" s="135"/>
      <c r="F918" s="135"/>
      <c r="G918" s="135"/>
    </row>
    <row r="919">
      <c r="A919" s="135"/>
      <c r="B919" s="135"/>
      <c r="C919" s="135"/>
      <c r="D919" s="135"/>
      <c r="E919" s="135"/>
      <c r="F919" s="135"/>
      <c r="G919" s="135"/>
    </row>
    <row r="920">
      <c r="A920" s="135"/>
      <c r="B920" s="135"/>
      <c r="C920" s="135"/>
      <c r="D920" s="135"/>
      <c r="E920" s="135"/>
      <c r="F920" s="135"/>
      <c r="G920" s="135"/>
    </row>
    <row r="921">
      <c r="A921" s="135"/>
      <c r="B921" s="135"/>
      <c r="C921" s="135"/>
      <c r="D921" s="135"/>
      <c r="E921" s="135"/>
      <c r="F921" s="135"/>
      <c r="G921" s="135"/>
    </row>
    <row r="922">
      <c r="A922" s="135"/>
      <c r="B922" s="135"/>
      <c r="C922" s="135"/>
      <c r="D922" s="135"/>
      <c r="E922" s="135"/>
      <c r="F922" s="135"/>
      <c r="G922" s="135"/>
    </row>
    <row r="923">
      <c r="A923" s="135"/>
      <c r="B923" s="135"/>
      <c r="C923" s="135"/>
      <c r="D923" s="135"/>
      <c r="E923" s="135"/>
      <c r="F923" s="135"/>
      <c r="G923" s="135"/>
    </row>
    <row r="924">
      <c r="A924" s="135"/>
      <c r="B924" s="135"/>
      <c r="C924" s="135"/>
      <c r="D924" s="135"/>
      <c r="E924" s="135"/>
      <c r="F924" s="135"/>
      <c r="G924" s="135"/>
    </row>
    <row r="925">
      <c r="A925" s="135"/>
      <c r="B925" s="135"/>
      <c r="C925" s="135"/>
      <c r="D925" s="135"/>
      <c r="E925" s="135"/>
      <c r="F925" s="135"/>
      <c r="G925" s="135"/>
    </row>
    <row r="926">
      <c r="A926" s="135"/>
      <c r="B926" s="135"/>
      <c r="C926" s="135"/>
      <c r="D926" s="135"/>
      <c r="E926" s="135"/>
      <c r="F926" s="135"/>
      <c r="G926" s="135"/>
    </row>
    <row r="927">
      <c r="A927" s="135"/>
      <c r="B927" s="135"/>
      <c r="C927" s="135"/>
      <c r="D927" s="135"/>
      <c r="E927" s="135"/>
      <c r="F927" s="135"/>
      <c r="G927" s="135"/>
    </row>
    <row r="928">
      <c r="A928" s="135"/>
      <c r="B928" s="135"/>
      <c r="C928" s="135"/>
      <c r="D928" s="135"/>
      <c r="E928" s="135"/>
      <c r="F928" s="135"/>
      <c r="G928" s="135"/>
    </row>
    <row r="929">
      <c r="A929" s="135"/>
      <c r="B929" s="135"/>
      <c r="C929" s="135"/>
      <c r="D929" s="135"/>
      <c r="E929" s="135"/>
      <c r="F929" s="135"/>
      <c r="G929" s="135"/>
    </row>
    <row r="930">
      <c r="A930" s="135"/>
      <c r="B930" s="135"/>
      <c r="C930" s="135"/>
      <c r="D930" s="135"/>
      <c r="E930" s="135"/>
      <c r="F930" s="135"/>
      <c r="G930" s="135"/>
    </row>
    <row r="931">
      <c r="A931" s="135"/>
      <c r="B931" s="135"/>
      <c r="C931" s="135"/>
      <c r="D931" s="135"/>
      <c r="E931" s="135"/>
      <c r="F931" s="135"/>
      <c r="G931" s="135"/>
    </row>
    <row r="932">
      <c r="A932" s="135"/>
      <c r="B932" s="135"/>
      <c r="C932" s="135"/>
      <c r="D932" s="135"/>
      <c r="E932" s="135"/>
      <c r="F932" s="135"/>
      <c r="G932" s="135"/>
    </row>
    <row r="933">
      <c r="A933" s="135"/>
      <c r="B933" s="135"/>
      <c r="C933" s="135"/>
      <c r="D933" s="135"/>
      <c r="E933" s="135"/>
      <c r="F933" s="135"/>
      <c r="G933" s="135"/>
    </row>
    <row r="934">
      <c r="A934" s="135"/>
      <c r="B934" s="135"/>
      <c r="C934" s="135"/>
      <c r="D934" s="135"/>
      <c r="E934" s="135"/>
      <c r="F934" s="135"/>
      <c r="G934" s="135"/>
    </row>
    <row r="935">
      <c r="A935" s="135"/>
      <c r="B935" s="135"/>
      <c r="C935" s="135"/>
      <c r="D935" s="135"/>
      <c r="E935" s="135"/>
      <c r="F935" s="135"/>
      <c r="G935" s="135"/>
    </row>
    <row r="936">
      <c r="A936" s="135"/>
      <c r="B936" s="135"/>
      <c r="C936" s="135"/>
      <c r="D936" s="135"/>
      <c r="E936" s="135"/>
      <c r="F936" s="135"/>
      <c r="G936" s="135"/>
    </row>
    <row r="937">
      <c r="A937" s="135"/>
      <c r="B937" s="135"/>
      <c r="C937" s="135"/>
      <c r="D937" s="135"/>
      <c r="E937" s="135"/>
      <c r="F937" s="135"/>
      <c r="G937" s="135"/>
    </row>
    <row r="938">
      <c r="A938" s="135"/>
      <c r="B938" s="135"/>
      <c r="C938" s="135"/>
      <c r="D938" s="135"/>
      <c r="E938" s="135"/>
      <c r="F938" s="135"/>
      <c r="G938" s="135"/>
    </row>
    <row r="939">
      <c r="A939" s="135"/>
      <c r="B939" s="135"/>
      <c r="C939" s="135"/>
      <c r="D939" s="135"/>
      <c r="E939" s="135"/>
      <c r="F939" s="135"/>
      <c r="G939" s="135"/>
    </row>
    <row r="940">
      <c r="A940" s="135"/>
      <c r="B940" s="135"/>
      <c r="C940" s="135"/>
      <c r="D940" s="135"/>
      <c r="E940" s="135"/>
      <c r="F940" s="135"/>
      <c r="G940" s="135"/>
    </row>
    <row r="941">
      <c r="A941" s="135"/>
      <c r="B941" s="135"/>
      <c r="C941" s="135"/>
      <c r="D941" s="135"/>
      <c r="E941" s="135"/>
      <c r="F941" s="135"/>
      <c r="G941" s="135"/>
    </row>
    <row r="942">
      <c r="A942" s="135"/>
      <c r="B942" s="135"/>
      <c r="C942" s="135"/>
      <c r="D942" s="135"/>
      <c r="E942" s="135"/>
      <c r="F942" s="135"/>
      <c r="G942" s="135"/>
    </row>
    <row r="943">
      <c r="A943" s="135"/>
      <c r="B943" s="135"/>
      <c r="C943" s="135"/>
      <c r="D943" s="135"/>
      <c r="E943" s="135"/>
      <c r="F943" s="135"/>
      <c r="G943" s="135"/>
    </row>
    <row r="944">
      <c r="A944" s="135"/>
      <c r="B944" s="135"/>
      <c r="C944" s="135"/>
      <c r="D944" s="135"/>
      <c r="E944" s="135"/>
      <c r="F944" s="135"/>
      <c r="G944" s="135"/>
    </row>
    <row r="945">
      <c r="A945" s="135"/>
      <c r="B945" s="135"/>
      <c r="C945" s="135"/>
      <c r="D945" s="135"/>
      <c r="E945" s="135"/>
      <c r="F945" s="135"/>
      <c r="G945" s="135"/>
    </row>
    <row r="946">
      <c r="A946" s="135"/>
      <c r="B946" s="135"/>
      <c r="C946" s="135"/>
      <c r="D946" s="135"/>
      <c r="E946" s="135"/>
      <c r="F946" s="135"/>
      <c r="G946" s="135"/>
    </row>
    <row r="947">
      <c r="A947" s="135"/>
      <c r="B947" s="135"/>
      <c r="C947" s="135"/>
      <c r="D947" s="135"/>
      <c r="E947" s="135"/>
      <c r="F947" s="135"/>
      <c r="G947" s="135"/>
    </row>
    <row r="948">
      <c r="A948" s="135"/>
      <c r="B948" s="135"/>
      <c r="C948" s="135"/>
      <c r="D948" s="135"/>
      <c r="E948" s="135"/>
      <c r="F948" s="135"/>
      <c r="G948" s="135"/>
    </row>
    <row r="949">
      <c r="A949" s="135"/>
      <c r="B949" s="135"/>
      <c r="C949" s="135"/>
      <c r="D949" s="135"/>
      <c r="E949" s="135"/>
      <c r="F949" s="135"/>
      <c r="G949" s="135"/>
    </row>
    <row r="950">
      <c r="A950" s="135"/>
      <c r="B950" s="135"/>
      <c r="C950" s="135"/>
      <c r="D950" s="135"/>
      <c r="E950" s="135"/>
      <c r="F950" s="135"/>
      <c r="G950" s="135"/>
    </row>
    <row r="951">
      <c r="A951" s="135"/>
      <c r="B951" s="135"/>
      <c r="C951" s="135"/>
      <c r="D951" s="135"/>
      <c r="E951" s="135"/>
      <c r="F951" s="135"/>
      <c r="G951" s="135"/>
    </row>
    <row r="952">
      <c r="A952" s="135"/>
      <c r="B952" s="135"/>
      <c r="C952" s="135"/>
      <c r="D952" s="135"/>
      <c r="E952" s="135"/>
      <c r="F952" s="135"/>
      <c r="G952" s="135"/>
    </row>
    <row r="953">
      <c r="A953" s="135"/>
      <c r="B953" s="135"/>
      <c r="C953" s="135"/>
      <c r="D953" s="135"/>
      <c r="E953" s="135"/>
      <c r="F953" s="135"/>
      <c r="G953" s="135"/>
    </row>
    <row r="954">
      <c r="A954" s="135"/>
      <c r="B954" s="135"/>
      <c r="C954" s="135"/>
      <c r="D954" s="135"/>
      <c r="E954" s="135"/>
      <c r="F954" s="135"/>
      <c r="G954" s="135"/>
    </row>
    <row r="955">
      <c r="A955" s="135"/>
      <c r="B955" s="135"/>
      <c r="C955" s="135"/>
      <c r="D955" s="135"/>
      <c r="E955" s="135"/>
      <c r="F955" s="135"/>
      <c r="G955" s="135"/>
    </row>
    <row r="956">
      <c r="A956" s="135"/>
      <c r="B956" s="135"/>
      <c r="C956" s="135"/>
      <c r="D956" s="135"/>
      <c r="E956" s="135"/>
      <c r="F956" s="135"/>
      <c r="G956" s="135"/>
    </row>
    <row r="957">
      <c r="A957" s="135"/>
      <c r="B957" s="135"/>
      <c r="C957" s="135"/>
      <c r="D957" s="135"/>
      <c r="E957" s="135"/>
      <c r="F957" s="135"/>
      <c r="G957" s="135"/>
    </row>
    <row r="958">
      <c r="A958" s="135"/>
      <c r="B958" s="135"/>
      <c r="C958" s="135"/>
      <c r="D958" s="135"/>
      <c r="E958" s="135"/>
      <c r="F958" s="135"/>
      <c r="G958" s="135"/>
    </row>
    <row r="959">
      <c r="A959" s="135"/>
      <c r="B959" s="135"/>
      <c r="C959" s="135"/>
      <c r="D959" s="135"/>
      <c r="E959" s="135"/>
      <c r="F959" s="135"/>
      <c r="G959" s="135"/>
    </row>
    <row r="960">
      <c r="A960" s="135"/>
      <c r="B960" s="135"/>
      <c r="C960" s="135"/>
      <c r="D960" s="135"/>
      <c r="E960" s="135"/>
      <c r="F960" s="135"/>
      <c r="G960" s="135"/>
    </row>
    <row r="961">
      <c r="A961" s="135"/>
      <c r="B961" s="135"/>
      <c r="C961" s="135"/>
      <c r="D961" s="135"/>
      <c r="E961" s="135"/>
      <c r="F961" s="135"/>
      <c r="G961" s="135"/>
    </row>
    <row r="962">
      <c r="A962" s="135"/>
      <c r="B962" s="135"/>
      <c r="C962" s="135"/>
      <c r="D962" s="135"/>
      <c r="E962" s="135"/>
      <c r="F962" s="135"/>
      <c r="G962" s="135"/>
    </row>
    <row r="963">
      <c r="A963" s="135"/>
      <c r="B963" s="135"/>
      <c r="C963" s="135"/>
      <c r="D963" s="135"/>
      <c r="E963" s="135"/>
      <c r="F963" s="135"/>
      <c r="G963" s="135"/>
    </row>
    <row r="964">
      <c r="A964" s="135"/>
      <c r="B964" s="135"/>
      <c r="C964" s="135"/>
      <c r="D964" s="135"/>
      <c r="E964" s="135"/>
      <c r="F964" s="135"/>
      <c r="G964" s="135"/>
    </row>
    <row r="965">
      <c r="A965" s="135"/>
      <c r="B965" s="135"/>
      <c r="C965" s="135"/>
      <c r="D965" s="135"/>
      <c r="E965" s="135"/>
      <c r="F965" s="135"/>
      <c r="G965" s="135"/>
    </row>
    <row r="966">
      <c r="A966" s="135"/>
      <c r="B966" s="135"/>
      <c r="C966" s="135"/>
      <c r="D966" s="135"/>
      <c r="E966" s="135"/>
      <c r="F966" s="135"/>
      <c r="G966" s="135"/>
    </row>
    <row r="967">
      <c r="A967" s="135"/>
      <c r="B967" s="135"/>
      <c r="C967" s="135"/>
      <c r="D967" s="135"/>
      <c r="E967" s="135"/>
      <c r="F967" s="135"/>
      <c r="G967" s="135"/>
    </row>
    <row r="968">
      <c r="A968" s="135"/>
      <c r="B968" s="135"/>
      <c r="C968" s="135"/>
      <c r="D968" s="135"/>
      <c r="E968" s="135"/>
      <c r="F968" s="135"/>
      <c r="G968" s="135"/>
    </row>
    <row r="969">
      <c r="A969" s="135"/>
      <c r="B969" s="135"/>
      <c r="C969" s="135"/>
      <c r="D969" s="135"/>
      <c r="E969" s="135"/>
      <c r="F969" s="135"/>
      <c r="G969" s="135"/>
    </row>
    <row r="970">
      <c r="A970" s="135"/>
      <c r="B970" s="135"/>
      <c r="C970" s="135"/>
      <c r="D970" s="135"/>
      <c r="E970" s="135"/>
      <c r="F970" s="135"/>
      <c r="G970" s="135"/>
    </row>
    <row r="971">
      <c r="A971" s="135"/>
      <c r="B971" s="135"/>
      <c r="C971" s="135"/>
      <c r="D971" s="135"/>
      <c r="E971" s="135"/>
      <c r="F971" s="135"/>
      <c r="G971" s="135"/>
    </row>
    <row r="972">
      <c r="A972" s="135"/>
      <c r="B972" s="135"/>
      <c r="C972" s="135"/>
      <c r="D972" s="135"/>
      <c r="E972" s="135"/>
      <c r="F972" s="135"/>
      <c r="G972" s="135"/>
    </row>
    <row r="973">
      <c r="A973" s="135"/>
      <c r="B973" s="135"/>
      <c r="C973" s="135"/>
      <c r="D973" s="135"/>
      <c r="E973" s="135"/>
      <c r="F973" s="135"/>
      <c r="G973" s="135"/>
    </row>
    <row r="974">
      <c r="A974" s="135"/>
      <c r="B974" s="135"/>
      <c r="C974" s="135"/>
      <c r="D974" s="135"/>
      <c r="E974" s="135"/>
      <c r="F974" s="135"/>
      <c r="G974" s="135"/>
    </row>
    <row r="975">
      <c r="A975" s="135"/>
      <c r="B975" s="135"/>
      <c r="C975" s="135"/>
      <c r="D975" s="135"/>
      <c r="E975" s="135"/>
      <c r="F975" s="135"/>
      <c r="G975" s="135"/>
    </row>
    <row r="976">
      <c r="A976" s="135"/>
      <c r="B976" s="135"/>
      <c r="C976" s="135"/>
      <c r="D976" s="135"/>
      <c r="E976" s="135"/>
      <c r="F976" s="135"/>
      <c r="G976" s="135"/>
    </row>
    <row r="977">
      <c r="A977" s="135"/>
      <c r="B977" s="135"/>
      <c r="C977" s="135"/>
      <c r="D977" s="135"/>
      <c r="E977" s="135"/>
      <c r="F977" s="135"/>
      <c r="G977" s="135"/>
    </row>
    <row r="978">
      <c r="A978" s="135"/>
      <c r="B978" s="135"/>
      <c r="C978" s="135"/>
      <c r="D978" s="135"/>
      <c r="E978" s="135"/>
      <c r="F978" s="135"/>
      <c r="G978" s="135"/>
    </row>
    <row r="979">
      <c r="A979" s="135"/>
      <c r="B979" s="135"/>
      <c r="C979" s="135"/>
      <c r="D979" s="135"/>
      <c r="E979" s="135"/>
      <c r="F979" s="135"/>
      <c r="G979" s="135"/>
    </row>
    <row r="980">
      <c r="A980" s="135"/>
      <c r="B980" s="135"/>
      <c r="C980" s="135"/>
      <c r="D980" s="135"/>
      <c r="E980" s="135"/>
      <c r="F980" s="135"/>
      <c r="G980" s="135"/>
    </row>
    <row r="981">
      <c r="A981" s="135"/>
      <c r="B981" s="135"/>
      <c r="C981" s="135"/>
      <c r="D981" s="135"/>
      <c r="E981" s="135"/>
      <c r="F981" s="135"/>
      <c r="G981" s="135"/>
    </row>
    <row r="982">
      <c r="A982" s="135"/>
      <c r="B982" s="135"/>
      <c r="C982" s="135"/>
      <c r="D982" s="135"/>
      <c r="E982" s="135"/>
      <c r="F982" s="135"/>
      <c r="G982" s="135"/>
    </row>
    <row r="983">
      <c r="A983" s="135"/>
      <c r="B983" s="135"/>
      <c r="C983" s="135"/>
      <c r="D983" s="135"/>
      <c r="E983" s="135"/>
      <c r="F983" s="135"/>
      <c r="G983" s="135"/>
    </row>
    <row r="984">
      <c r="A984" s="135"/>
      <c r="B984" s="135"/>
      <c r="C984" s="135"/>
      <c r="D984" s="135"/>
      <c r="E984" s="135"/>
      <c r="F984" s="135"/>
      <c r="G984" s="135"/>
    </row>
    <row r="985">
      <c r="A985" s="135"/>
      <c r="B985" s="135"/>
      <c r="C985" s="135"/>
      <c r="D985" s="135"/>
      <c r="E985" s="135"/>
      <c r="F985" s="135"/>
      <c r="G985" s="135"/>
    </row>
    <row r="986">
      <c r="A986" s="135"/>
      <c r="B986" s="135"/>
      <c r="C986" s="135"/>
      <c r="D986" s="135"/>
      <c r="E986" s="135"/>
      <c r="F986" s="135"/>
      <c r="G986" s="135"/>
    </row>
    <row r="987">
      <c r="A987" s="135"/>
      <c r="B987" s="135"/>
      <c r="C987" s="135"/>
      <c r="D987" s="135"/>
      <c r="E987" s="135"/>
      <c r="F987" s="135"/>
      <c r="G987" s="135"/>
    </row>
    <row r="988">
      <c r="A988" s="135"/>
      <c r="B988" s="135"/>
      <c r="C988" s="135"/>
      <c r="D988" s="135"/>
      <c r="E988" s="135"/>
      <c r="F988" s="135"/>
      <c r="G988" s="135"/>
    </row>
    <row r="989">
      <c r="A989" s="135"/>
      <c r="B989" s="135"/>
      <c r="C989" s="135"/>
      <c r="D989" s="135"/>
      <c r="E989" s="135"/>
      <c r="F989" s="135"/>
      <c r="G989" s="135"/>
    </row>
    <row r="990">
      <c r="A990" s="135"/>
      <c r="B990" s="135"/>
      <c r="C990" s="135"/>
      <c r="D990" s="135"/>
      <c r="E990" s="135"/>
      <c r="F990" s="135"/>
      <c r="G990" s="135"/>
    </row>
    <row r="991">
      <c r="A991" s="135"/>
      <c r="B991" s="135"/>
      <c r="C991" s="135"/>
      <c r="D991" s="135"/>
      <c r="E991" s="135"/>
      <c r="F991" s="135"/>
      <c r="G991" s="135"/>
    </row>
    <row r="992">
      <c r="A992" s="135"/>
      <c r="B992" s="135"/>
      <c r="C992" s="135"/>
      <c r="D992" s="135"/>
      <c r="E992" s="135"/>
      <c r="F992" s="135"/>
      <c r="G992" s="135"/>
    </row>
    <row r="993">
      <c r="A993" s="135"/>
      <c r="B993" s="135"/>
      <c r="C993" s="135"/>
      <c r="D993" s="135"/>
      <c r="E993" s="135"/>
      <c r="F993" s="135"/>
      <c r="G993" s="135"/>
    </row>
    <row r="994">
      <c r="A994" s="135"/>
      <c r="B994" s="135"/>
      <c r="C994" s="135"/>
      <c r="D994" s="135"/>
      <c r="E994" s="135"/>
      <c r="F994" s="135"/>
      <c r="G994" s="135"/>
    </row>
    <row r="995">
      <c r="A995" s="135"/>
      <c r="B995" s="135"/>
      <c r="C995" s="135"/>
      <c r="D995" s="135"/>
      <c r="E995" s="135"/>
      <c r="F995" s="135"/>
      <c r="G995" s="135"/>
    </row>
    <row r="996">
      <c r="A996" s="135"/>
      <c r="B996" s="135"/>
      <c r="C996" s="135"/>
      <c r="D996" s="135"/>
      <c r="E996" s="135"/>
      <c r="F996" s="135"/>
      <c r="G996" s="135"/>
    </row>
    <row r="997">
      <c r="A997" s="135"/>
      <c r="B997" s="135"/>
      <c r="C997" s="135"/>
      <c r="D997" s="135"/>
      <c r="E997" s="135"/>
      <c r="F997" s="135"/>
      <c r="G997" s="135"/>
    </row>
    <row r="998">
      <c r="A998" s="135"/>
      <c r="B998" s="135"/>
      <c r="C998" s="135"/>
      <c r="D998" s="135"/>
      <c r="E998" s="135"/>
      <c r="F998" s="135"/>
      <c r="G998" s="135"/>
    </row>
    <row r="999">
      <c r="A999" s="135"/>
      <c r="B999" s="135"/>
      <c r="C999" s="135"/>
      <c r="D999" s="135"/>
      <c r="E999" s="135"/>
      <c r="F999" s="135"/>
      <c r="G999" s="13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27.13"/>
    <col customWidth="1" min="6" max="6" width="50.88"/>
    <col customWidth="1" min="7" max="7" width="22.0"/>
  </cols>
  <sheetData>
    <row r="1">
      <c r="A1" s="157" t="s">
        <v>1142</v>
      </c>
      <c r="B1" s="158" t="s">
        <v>1541</v>
      </c>
      <c r="C1" s="157" t="s">
        <v>1542</v>
      </c>
      <c r="D1" s="159" t="s">
        <v>1543</v>
      </c>
      <c r="E1" s="158" t="s">
        <v>1328</v>
      </c>
      <c r="F1" s="157" t="s">
        <v>1544</v>
      </c>
      <c r="G1" s="157" t="s">
        <v>1545</v>
      </c>
      <c r="H1" s="157" t="s">
        <v>1546</v>
      </c>
      <c r="I1" s="157" t="s">
        <v>1547</v>
      </c>
      <c r="J1" s="160"/>
      <c r="K1" s="161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</row>
    <row r="2">
      <c r="A2" s="162" t="s">
        <v>1548</v>
      </c>
      <c r="B2" s="42"/>
      <c r="C2" s="42"/>
      <c r="D2" s="42"/>
      <c r="E2" s="42"/>
      <c r="F2" s="163" t="s">
        <v>1549</v>
      </c>
      <c r="G2" s="42"/>
      <c r="H2" s="42"/>
      <c r="I2" s="42"/>
      <c r="J2" s="42"/>
      <c r="K2" s="42"/>
      <c r="L2" s="42"/>
      <c r="M2" s="42"/>
      <c r="N2" s="16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>
      <c r="A3" s="42"/>
      <c r="B3" s="42"/>
      <c r="C3" s="42"/>
      <c r="D3" s="42"/>
      <c r="E3" s="42"/>
      <c r="F3" s="163"/>
      <c r="G3" s="42"/>
      <c r="H3" s="42"/>
      <c r="I3" s="42"/>
      <c r="J3" s="42"/>
      <c r="K3" s="42"/>
      <c r="L3" s="42"/>
      <c r="M3" s="42"/>
      <c r="N3" s="16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</row>
    <row r="4">
      <c r="A4" s="164" t="s">
        <v>1329</v>
      </c>
      <c r="B4" s="42"/>
      <c r="C4" s="42"/>
      <c r="D4" s="42"/>
      <c r="E4" s="42"/>
      <c r="F4" s="165" t="s">
        <v>1550</v>
      </c>
      <c r="G4" s="83" t="b">
        <v>1</v>
      </c>
      <c r="H4" s="42"/>
      <c r="I4" s="42"/>
      <c r="J4" s="42"/>
      <c r="K4" s="42"/>
      <c r="L4" s="42"/>
      <c r="M4" s="42"/>
      <c r="N4" s="16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>
      <c r="A5" s="42"/>
      <c r="B5" s="42"/>
      <c r="C5" s="42"/>
      <c r="D5" s="42"/>
      <c r="E5" s="42"/>
      <c r="F5" s="165" t="s">
        <v>1551</v>
      </c>
      <c r="G5" s="42" t="b">
        <v>0</v>
      </c>
      <c r="H5" s="42"/>
      <c r="I5" s="42"/>
      <c r="J5" s="42"/>
      <c r="K5" s="42"/>
      <c r="L5" s="42"/>
      <c r="M5" s="42"/>
      <c r="N5" s="16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</row>
    <row r="6">
      <c r="A6" s="166" t="s">
        <v>1552</v>
      </c>
      <c r="B6" s="166"/>
      <c r="C6" s="42"/>
      <c r="D6" s="42"/>
      <c r="E6" s="42"/>
      <c r="F6" s="165" t="s">
        <v>1553</v>
      </c>
      <c r="G6" s="42" t="b">
        <v>0</v>
      </c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</row>
    <row r="7">
      <c r="A7" s="42"/>
      <c r="B7" s="42"/>
      <c r="C7" s="42"/>
      <c r="D7" s="42"/>
      <c r="E7" s="42"/>
      <c r="F7" s="165"/>
      <c r="G7" s="42" t="b">
        <v>0</v>
      </c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</row>
    <row r="8">
      <c r="A8" s="167">
        <v>2024.0</v>
      </c>
      <c r="B8" s="42"/>
      <c r="C8" s="42"/>
      <c r="D8" s="42"/>
      <c r="E8" s="42"/>
      <c r="F8" s="165"/>
      <c r="G8" s="42" t="b">
        <v>0</v>
      </c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</row>
    <row r="9">
      <c r="A9" s="42"/>
      <c r="B9" s="42"/>
      <c r="C9" s="42"/>
      <c r="D9" s="83"/>
      <c r="E9" s="83" t="s">
        <v>1554</v>
      </c>
      <c r="F9" s="110"/>
      <c r="G9" s="42" t="b">
        <v>0</v>
      </c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</row>
    <row r="10">
      <c r="A10" s="42"/>
      <c r="B10" s="42"/>
      <c r="C10" s="42"/>
      <c r="D10" s="42"/>
      <c r="E10" s="42"/>
      <c r="F10" s="165"/>
      <c r="G10" s="42" t="b">
        <v>0</v>
      </c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</row>
    <row r="11">
      <c r="A11" s="42"/>
      <c r="B11" s="42"/>
      <c r="C11" s="42"/>
      <c r="D11" s="42"/>
      <c r="E11" s="42"/>
      <c r="F11" s="165"/>
      <c r="G11" s="42" t="b">
        <v>0</v>
      </c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</row>
    <row r="12">
      <c r="A12" s="42"/>
      <c r="B12" s="42"/>
      <c r="C12" s="42"/>
      <c r="D12" s="42"/>
      <c r="E12" s="42"/>
      <c r="F12" s="165"/>
      <c r="G12" s="42" t="b">
        <v>0</v>
      </c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</row>
    <row r="13">
      <c r="A13" s="42"/>
      <c r="B13" s="42"/>
      <c r="C13" s="42"/>
      <c r="D13" s="42"/>
      <c r="E13" s="42"/>
      <c r="F13" s="165"/>
      <c r="G13" s="42" t="b">
        <v>0</v>
      </c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</row>
    <row r="14">
      <c r="A14" s="42"/>
      <c r="B14" s="42"/>
      <c r="C14" s="42"/>
      <c r="D14" s="42"/>
      <c r="E14" s="42"/>
      <c r="F14" s="165"/>
      <c r="G14" s="42" t="b">
        <v>0</v>
      </c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</row>
    <row r="15">
      <c r="A15" s="42"/>
      <c r="B15" s="42"/>
      <c r="C15" s="42"/>
      <c r="D15" s="42"/>
      <c r="E15" s="42"/>
      <c r="F15" s="165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</row>
    <row r="16">
      <c r="A16" s="42"/>
      <c r="B16" s="42"/>
      <c r="C16" s="42"/>
      <c r="D16" s="42"/>
      <c r="E16" s="42"/>
      <c r="F16" s="165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</row>
    <row r="18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</row>
    <row r="19">
      <c r="A19" s="168">
        <v>45383.0</v>
      </c>
      <c r="B19" s="162" t="s">
        <v>1555</v>
      </c>
      <c r="C19" s="162" t="s">
        <v>1556</v>
      </c>
      <c r="D19" s="169" t="s">
        <v>28</v>
      </c>
      <c r="E19" s="162"/>
      <c r="F19" s="169" t="s">
        <v>1557</v>
      </c>
      <c r="G19" s="170" t="b">
        <v>0</v>
      </c>
      <c r="H19" s="162"/>
      <c r="I19" s="162"/>
      <c r="J19" s="16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</row>
    <row r="20">
      <c r="A20" s="162"/>
      <c r="B20" s="162"/>
      <c r="C20" s="162"/>
      <c r="D20" s="162"/>
      <c r="E20" s="162"/>
      <c r="F20" s="162"/>
      <c r="G20" s="170" t="b">
        <v>0</v>
      </c>
      <c r="H20" s="162"/>
      <c r="I20" s="162"/>
      <c r="J20" s="16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</row>
    <row r="21">
      <c r="A21" s="162"/>
      <c r="B21" s="162"/>
      <c r="C21" s="162"/>
      <c r="D21" s="162"/>
      <c r="E21" s="162"/>
      <c r="F21" s="162"/>
      <c r="G21" s="170" t="b">
        <v>0</v>
      </c>
      <c r="H21" s="162"/>
      <c r="I21" s="162"/>
      <c r="J21" s="16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</row>
    <row r="22">
      <c r="A22" s="162"/>
      <c r="B22" s="162"/>
      <c r="C22" s="162"/>
      <c r="D22" s="162"/>
      <c r="E22" s="162"/>
      <c r="F22" s="162"/>
      <c r="G22" s="170" t="b">
        <v>0</v>
      </c>
      <c r="H22" s="162"/>
      <c r="I22" s="162"/>
      <c r="J22" s="16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</row>
    <row r="2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>
      <c r="A25" s="171">
        <v>45474.0</v>
      </c>
      <c r="B25" s="169" t="s">
        <v>1558</v>
      </c>
      <c r="C25" s="169" t="s">
        <v>1559</v>
      </c>
      <c r="D25" s="169" t="s">
        <v>28</v>
      </c>
      <c r="E25" s="169">
        <v>7.12214241E8</v>
      </c>
      <c r="F25" s="169" t="s">
        <v>1560</v>
      </c>
      <c r="G25" s="162" t="b">
        <v>0</v>
      </c>
      <c r="H25" s="162"/>
      <c r="I25" s="162"/>
      <c r="J25" s="16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>
      <c r="A26" s="162"/>
      <c r="B26" s="162"/>
      <c r="C26" s="162"/>
      <c r="D26" s="162"/>
      <c r="E26" s="162"/>
      <c r="F26" s="169"/>
      <c r="G26" s="162" t="b">
        <v>0</v>
      </c>
      <c r="H26" s="162"/>
      <c r="I26" s="162"/>
      <c r="J26" s="16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>
      <c r="A27" s="162"/>
      <c r="B27" s="162"/>
      <c r="C27" s="162"/>
      <c r="D27" s="162"/>
      <c r="E27" s="162"/>
      <c r="F27" s="169" t="s">
        <v>1561</v>
      </c>
      <c r="G27" s="169" t="b">
        <v>1</v>
      </c>
      <c r="H27" s="162"/>
      <c r="I27" s="162"/>
      <c r="J27" s="16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>
      <c r="A28" s="162"/>
      <c r="B28" s="162"/>
      <c r="C28" s="162"/>
      <c r="D28" s="162"/>
      <c r="E28" s="162"/>
      <c r="F28" s="169" t="s">
        <v>1562</v>
      </c>
      <c r="G28" s="169" t="b">
        <v>1</v>
      </c>
      <c r="H28" s="162"/>
      <c r="I28" s="162"/>
      <c r="J28" s="16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>
      <c r="A29" s="162"/>
      <c r="B29" s="162"/>
      <c r="C29" s="162"/>
      <c r="D29" s="162"/>
      <c r="E29" s="162"/>
      <c r="F29" s="169" t="s">
        <v>2</v>
      </c>
      <c r="G29" s="162" t="b">
        <v>0</v>
      </c>
      <c r="H29" s="162"/>
      <c r="I29" s="162"/>
      <c r="J29" s="16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>
      <c r="A30" s="162"/>
      <c r="B30" s="162"/>
      <c r="C30" s="162"/>
      <c r="D30" s="162"/>
      <c r="E30" s="162"/>
      <c r="F30" s="169" t="s">
        <v>1563</v>
      </c>
      <c r="G30" s="162" t="b">
        <v>0</v>
      </c>
      <c r="H30" s="162"/>
      <c r="I30" s="162"/>
      <c r="J30" s="16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>
      <c r="A32" s="171">
        <v>45474.0</v>
      </c>
      <c r="B32" s="169" t="s">
        <v>1564</v>
      </c>
      <c r="C32" s="169" t="s">
        <v>89</v>
      </c>
      <c r="D32" s="169" t="s">
        <v>28</v>
      </c>
      <c r="E32" s="162"/>
      <c r="F32" s="169" t="s">
        <v>90</v>
      </c>
      <c r="G32" s="169" t="b">
        <v>1</v>
      </c>
      <c r="H32" s="169" t="s">
        <v>28</v>
      </c>
      <c r="I32" s="162"/>
      <c r="J32" s="16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>
      <c r="A33" s="162"/>
      <c r="B33" s="162"/>
      <c r="C33" s="162"/>
      <c r="D33" s="162"/>
      <c r="E33" s="162"/>
      <c r="F33" s="169" t="s">
        <v>1565</v>
      </c>
      <c r="G33" s="169" t="b">
        <v>1</v>
      </c>
      <c r="H33" s="162"/>
      <c r="I33" s="162"/>
      <c r="J33" s="16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>
      <c r="A34" s="162"/>
      <c r="B34" s="162"/>
      <c r="C34" s="162"/>
      <c r="D34" s="162"/>
      <c r="E34" s="162"/>
      <c r="F34" s="169" t="s">
        <v>1566</v>
      </c>
      <c r="G34" s="162" t="b">
        <v>0</v>
      </c>
      <c r="H34" s="162"/>
      <c r="I34" s="162"/>
      <c r="J34" s="16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</row>
    <row r="35">
      <c r="A35" s="162"/>
      <c r="B35" s="162"/>
      <c r="C35" s="162"/>
      <c r="D35" s="162"/>
      <c r="E35" s="162"/>
      <c r="F35" s="169" t="s">
        <v>20</v>
      </c>
      <c r="G35" s="162" t="b">
        <v>0</v>
      </c>
      <c r="H35" s="162"/>
      <c r="I35" s="162"/>
      <c r="J35" s="16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</row>
    <row r="36">
      <c r="A36" s="162"/>
      <c r="B36" s="162"/>
      <c r="C36" s="162"/>
      <c r="D36" s="162"/>
      <c r="E36" s="162"/>
      <c r="F36" s="162"/>
      <c r="G36" s="162" t="b">
        <v>0</v>
      </c>
      <c r="H36" s="162"/>
      <c r="I36" s="162"/>
      <c r="J36" s="16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</row>
    <row r="37">
      <c r="A37" s="162"/>
      <c r="B37" s="162"/>
      <c r="C37" s="162"/>
      <c r="D37" s="162"/>
      <c r="E37" s="162"/>
      <c r="F37" s="162"/>
      <c r="G37" s="162" t="b">
        <v>0</v>
      </c>
      <c r="H37" s="162"/>
      <c r="I37" s="162"/>
      <c r="J37" s="16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</row>
    <row r="38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</row>
    <row r="39">
      <c r="A39" s="172">
        <v>45505.0</v>
      </c>
      <c r="B39" s="173" t="s">
        <v>1567</v>
      </c>
      <c r="C39" s="173" t="s">
        <v>1568</v>
      </c>
      <c r="D39" s="173" t="s">
        <v>23</v>
      </c>
      <c r="E39" s="174"/>
      <c r="F39" s="173" t="s">
        <v>1569</v>
      </c>
      <c r="G39" s="173" t="b">
        <v>1</v>
      </c>
      <c r="H39" s="174"/>
      <c r="I39" s="174"/>
      <c r="J39" s="174"/>
    </row>
    <row r="40">
      <c r="A40" s="174"/>
      <c r="B40" s="173" t="s">
        <v>1570</v>
      </c>
      <c r="C40" s="174"/>
      <c r="D40" s="174"/>
      <c r="E40" s="174"/>
      <c r="F40" s="173" t="s">
        <v>15</v>
      </c>
      <c r="G40" s="173" t="b">
        <v>1</v>
      </c>
      <c r="H40" s="174"/>
      <c r="I40" s="174"/>
      <c r="J40" s="174"/>
    </row>
    <row r="41">
      <c r="A41" s="174"/>
      <c r="B41" s="174"/>
      <c r="C41" s="174"/>
      <c r="D41" s="174"/>
      <c r="E41" s="174"/>
      <c r="F41" s="174"/>
      <c r="G41" s="174" t="b">
        <v>0</v>
      </c>
      <c r="H41" s="174"/>
      <c r="I41" s="174"/>
      <c r="J41" s="174"/>
    </row>
    <row r="42">
      <c r="A42" s="174"/>
      <c r="B42" s="174"/>
      <c r="C42" s="174"/>
      <c r="D42" s="174"/>
      <c r="E42" s="174"/>
      <c r="F42" s="174"/>
      <c r="G42" s="174" t="b">
        <v>0</v>
      </c>
      <c r="H42" s="174"/>
      <c r="I42" s="174"/>
      <c r="J42" s="174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</row>
    <row r="45">
      <c r="A45" s="171">
        <v>45505.0</v>
      </c>
      <c r="B45" s="169" t="s">
        <v>1571</v>
      </c>
      <c r="C45" s="169" t="s">
        <v>1572</v>
      </c>
      <c r="D45" s="169" t="s">
        <v>23</v>
      </c>
      <c r="E45" s="169">
        <v>7.71307179E8</v>
      </c>
      <c r="F45" s="169" t="s">
        <v>1573</v>
      </c>
      <c r="G45" s="162" t="b">
        <v>0</v>
      </c>
      <c r="H45" s="162"/>
      <c r="I45" s="162"/>
      <c r="J45" s="16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</row>
    <row r="46">
      <c r="A46" s="162"/>
      <c r="B46" s="162"/>
      <c r="C46" s="162"/>
      <c r="D46" s="162"/>
      <c r="E46" s="162"/>
      <c r="F46" s="169" t="s">
        <v>1574</v>
      </c>
      <c r="G46" s="162" t="b">
        <v>0</v>
      </c>
      <c r="H46" s="162"/>
      <c r="I46" s="162"/>
      <c r="J46" s="16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</row>
    <row r="47">
      <c r="A47" s="162"/>
      <c r="B47" s="162"/>
      <c r="C47" s="162"/>
      <c r="D47" s="162"/>
      <c r="E47" s="162"/>
      <c r="F47" s="169" t="s">
        <v>2</v>
      </c>
      <c r="G47" s="169" t="b">
        <v>1</v>
      </c>
      <c r="H47" s="162"/>
      <c r="I47" s="162"/>
      <c r="J47" s="16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</row>
    <row r="48">
      <c r="A48" s="162"/>
      <c r="B48" s="162"/>
      <c r="C48" s="162"/>
      <c r="D48" s="162"/>
      <c r="E48" s="162"/>
      <c r="F48" s="169" t="s">
        <v>1562</v>
      </c>
      <c r="G48" s="169" t="b">
        <v>1</v>
      </c>
      <c r="H48" s="162"/>
      <c r="I48" s="162"/>
      <c r="J48" s="16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</row>
    <row r="49">
      <c r="A49" s="162"/>
      <c r="B49" s="162"/>
      <c r="C49" s="162"/>
      <c r="D49" s="162"/>
      <c r="E49" s="162"/>
      <c r="F49" s="169" t="s">
        <v>1575</v>
      </c>
      <c r="G49" s="162" t="b">
        <v>0</v>
      </c>
      <c r="H49" s="162"/>
      <c r="I49" s="162"/>
      <c r="J49" s="16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</row>
    <row r="50">
      <c r="A50" s="162"/>
      <c r="B50" s="162"/>
      <c r="C50" s="162"/>
      <c r="D50" s="162"/>
      <c r="E50" s="162"/>
      <c r="F50" s="169" t="s">
        <v>1576</v>
      </c>
      <c r="G50" s="162" t="b">
        <v>0</v>
      </c>
      <c r="H50" s="162"/>
      <c r="I50" s="162"/>
      <c r="J50" s="16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</row>
    <row r="5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</row>
    <row r="5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</row>
    <row r="53">
      <c r="A53" s="171">
        <v>45505.0</v>
      </c>
      <c r="B53" s="169" t="s">
        <v>280</v>
      </c>
      <c r="C53" s="169" t="s">
        <v>1577</v>
      </c>
      <c r="D53" s="169" t="s">
        <v>28</v>
      </c>
      <c r="E53" s="162"/>
      <c r="F53" s="169" t="s">
        <v>1578</v>
      </c>
      <c r="G53" s="169" t="b">
        <v>1</v>
      </c>
      <c r="H53" s="162"/>
      <c r="I53" s="162"/>
      <c r="J53" s="16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</row>
    <row r="54">
      <c r="A54" s="162"/>
      <c r="B54" s="162"/>
      <c r="C54" s="162"/>
      <c r="D54" s="162"/>
      <c r="E54" s="162"/>
      <c r="F54" s="169" t="s">
        <v>1565</v>
      </c>
      <c r="G54" s="169" t="b">
        <v>1</v>
      </c>
      <c r="H54" s="162"/>
      <c r="I54" s="162"/>
      <c r="J54" s="16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</row>
    <row r="55">
      <c r="A55" s="162"/>
      <c r="B55" s="162"/>
      <c r="C55" s="162"/>
      <c r="D55" s="162"/>
      <c r="E55" s="162"/>
      <c r="F55" s="169" t="s">
        <v>1579</v>
      </c>
      <c r="G55" s="169" t="b">
        <v>1</v>
      </c>
      <c r="H55" s="162"/>
      <c r="I55" s="162"/>
      <c r="J55" s="16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</row>
    <row r="56">
      <c r="A56" s="162"/>
      <c r="B56" s="162"/>
      <c r="C56" s="162"/>
      <c r="D56" s="162"/>
      <c r="E56" s="162"/>
      <c r="F56" s="169" t="s">
        <v>1197</v>
      </c>
      <c r="G56" s="169" t="b">
        <v>1</v>
      </c>
      <c r="H56" s="162"/>
      <c r="I56" s="162"/>
      <c r="J56" s="16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</row>
    <row r="57">
      <c r="A57" s="162"/>
      <c r="B57" s="162"/>
      <c r="C57" s="162"/>
      <c r="D57" s="162"/>
      <c r="E57" s="162"/>
      <c r="F57" s="169" t="s">
        <v>1580</v>
      </c>
      <c r="G57" s="169" t="b">
        <v>0</v>
      </c>
      <c r="H57" s="162"/>
      <c r="I57" s="162"/>
      <c r="J57" s="16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</row>
    <row r="58">
      <c r="A58" s="162"/>
      <c r="B58" s="162"/>
      <c r="C58" s="162"/>
      <c r="D58" s="162"/>
      <c r="E58" s="162"/>
      <c r="F58" s="169" t="s">
        <v>1581</v>
      </c>
      <c r="G58" s="169" t="b">
        <v>0</v>
      </c>
      <c r="H58" s="162"/>
      <c r="I58" s="162"/>
      <c r="J58" s="16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</row>
    <row r="59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</row>
    <row r="60">
      <c r="A60" s="171">
        <v>45505.0</v>
      </c>
      <c r="B60" s="169" t="s">
        <v>1582</v>
      </c>
      <c r="C60" s="169" t="s">
        <v>1583</v>
      </c>
      <c r="D60" s="169" t="s">
        <v>28</v>
      </c>
      <c r="E60" s="169">
        <v>7.7663879E8</v>
      </c>
      <c r="F60" s="169" t="s">
        <v>1584</v>
      </c>
      <c r="G60" s="162" t="b">
        <v>0</v>
      </c>
      <c r="H60" s="162"/>
      <c r="I60" s="162"/>
      <c r="J60" s="16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</row>
    <row r="61">
      <c r="A61" s="162"/>
      <c r="B61" s="162"/>
      <c r="C61" s="162"/>
      <c r="D61" s="169"/>
      <c r="E61" s="169" t="s">
        <v>1585</v>
      </c>
      <c r="F61" s="169" t="s">
        <v>1586</v>
      </c>
      <c r="G61" s="162" t="b">
        <v>0</v>
      </c>
      <c r="H61" s="162"/>
      <c r="I61" s="162"/>
      <c r="J61" s="16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</row>
    <row r="62">
      <c r="A62" s="162"/>
      <c r="B62" s="162"/>
      <c r="C62" s="162"/>
      <c r="D62" s="162"/>
      <c r="E62" s="162"/>
      <c r="F62" s="162"/>
      <c r="G62" s="162" t="b">
        <v>0</v>
      </c>
      <c r="H62" s="162"/>
      <c r="I62" s="162"/>
      <c r="J62" s="16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</row>
    <row r="63">
      <c r="A63" s="162"/>
      <c r="B63" s="162"/>
      <c r="C63" s="162"/>
      <c r="D63" s="162"/>
      <c r="E63" s="162"/>
      <c r="F63" s="162"/>
      <c r="G63" s="162" t="b">
        <v>0</v>
      </c>
      <c r="H63" s="162"/>
      <c r="I63" s="162"/>
      <c r="J63" s="16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</row>
    <row r="64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</row>
    <row r="6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</row>
    <row r="66">
      <c r="A66" s="171">
        <v>45505.0</v>
      </c>
      <c r="B66" s="169" t="s">
        <v>1587</v>
      </c>
      <c r="C66" s="162"/>
      <c r="D66" s="169" t="s">
        <v>28</v>
      </c>
      <c r="E66" s="162"/>
      <c r="F66" s="169" t="s">
        <v>1588</v>
      </c>
      <c r="G66" s="162" t="b">
        <v>0</v>
      </c>
      <c r="H66" s="162"/>
      <c r="I66" s="162"/>
      <c r="J66" s="16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</row>
    <row r="67">
      <c r="A67" s="162"/>
      <c r="B67" s="162"/>
      <c r="C67" s="162"/>
      <c r="D67" s="162"/>
      <c r="E67" s="162"/>
      <c r="F67" s="169" t="s">
        <v>1562</v>
      </c>
      <c r="G67" s="162" t="b">
        <v>0</v>
      </c>
      <c r="H67" s="162"/>
      <c r="I67" s="162"/>
      <c r="J67" s="16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</row>
    <row r="68">
      <c r="A68" s="162"/>
      <c r="B68" s="162"/>
      <c r="C68" s="162"/>
      <c r="D68" s="162"/>
      <c r="E68" s="162"/>
      <c r="F68" s="169" t="s">
        <v>1576</v>
      </c>
      <c r="G68" s="162" t="b">
        <v>0</v>
      </c>
      <c r="H68" s="162"/>
      <c r="I68" s="162"/>
      <c r="J68" s="16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</row>
    <row r="69">
      <c r="A69" s="162"/>
      <c r="B69" s="162"/>
      <c r="C69" s="162"/>
      <c r="D69" s="162"/>
      <c r="E69" s="162"/>
      <c r="F69" s="169" t="s">
        <v>2</v>
      </c>
      <c r="G69" s="162" t="b">
        <v>0</v>
      </c>
      <c r="H69" s="162"/>
      <c r="I69" s="162"/>
      <c r="J69" s="16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</row>
    <row r="70">
      <c r="A70" s="162"/>
      <c r="B70" s="162"/>
      <c r="C70" s="162"/>
      <c r="D70" s="162"/>
      <c r="E70" s="162"/>
      <c r="F70" s="169" t="s">
        <v>1589</v>
      </c>
      <c r="G70" s="162" t="b">
        <v>0</v>
      </c>
      <c r="H70" s="162"/>
      <c r="I70" s="162"/>
      <c r="J70" s="16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</row>
    <row r="7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</row>
    <row r="72">
      <c r="A72" s="171">
        <v>45505.0</v>
      </c>
      <c r="B72" s="169" t="s">
        <v>1590</v>
      </c>
      <c r="C72" s="169" t="s">
        <v>1591</v>
      </c>
      <c r="D72" s="169" t="s">
        <v>23</v>
      </c>
      <c r="E72" s="162"/>
      <c r="F72" s="169" t="s">
        <v>1592</v>
      </c>
      <c r="G72" s="162" t="b">
        <v>0</v>
      </c>
      <c r="H72" s="162"/>
      <c r="I72" s="162"/>
      <c r="J72" s="16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</row>
    <row r="73">
      <c r="A73" s="162"/>
      <c r="B73" s="162"/>
      <c r="C73" s="162"/>
      <c r="D73" s="162"/>
      <c r="E73" s="162"/>
      <c r="F73" s="169" t="s">
        <v>1593</v>
      </c>
      <c r="G73" s="162" t="b">
        <v>0</v>
      </c>
      <c r="H73" s="162"/>
      <c r="I73" s="162"/>
      <c r="J73" s="16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</row>
    <row r="74">
      <c r="A74" s="162"/>
      <c r="B74" s="162"/>
      <c r="C74" s="162"/>
      <c r="D74" s="162"/>
      <c r="E74" s="162"/>
      <c r="F74" s="169" t="s">
        <v>1594</v>
      </c>
      <c r="G74" s="162" t="b">
        <v>0</v>
      </c>
      <c r="H74" s="162"/>
      <c r="I74" s="162"/>
      <c r="J74" s="16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</row>
    <row r="75">
      <c r="A75" s="162"/>
      <c r="B75" s="162"/>
      <c r="C75" s="162"/>
      <c r="D75" s="162"/>
      <c r="E75" s="162"/>
      <c r="F75" s="169" t="s">
        <v>1595</v>
      </c>
      <c r="G75" s="169" t="b">
        <v>1</v>
      </c>
      <c r="H75" s="162"/>
      <c r="I75" s="162"/>
      <c r="J75" s="16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</row>
    <row r="76">
      <c r="A76" s="162"/>
      <c r="B76" s="162"/>
      <c r="C76" s="162"/>
      <c r="D76" s="162"/>
      <c r="E76" s="162"/>
      <c r="F76" s="169" t="s">
        <v>1596</v>
      </c>
      <c r="G76" s="169" t="b">
        <v>1</v>
      </c>
      <c r="H76" s="162"/>
      <c r="I76" s="162"/>
      <c r="J76" s="16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</row>
    <row r="77">
      <c r="A77" s="162"/>
      <c r="B77" s="162"/>
      <c r="C77" s="162"/>
      <c r="D77" s="162"/>
      <c r="E77" s="162"/>
      <c r="F77" s="169" t="s">
        <v>1597</v>
      </c>
      <c r="G77" s="162" t="b">
        <v>0</v>
      </c>
      <c r="H77" s="162"/>
      <c r="I77" s="162"/>
      <c r="J77" s="16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</row>
    <row r="78">
      <c r="A78" s="162"/>
      <c r="B78" s="162"/>
      <c r="C78" s="162"/>
      <c r="D78" s="162"/>
      <c r="E78" s="162"/>
      <c r="F78" s="169" t="s">
        <v>1562</v>
      </c>
      <c r="G78" s="162" t="b">
        <v>0</v>
      </c>
      <c r="H78" s="162"/>
      <c r="I78" s="162"/>
      <c r="J78" s="16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</row>
    <row r="79">
      <c r="A79" s="162"/>
      <c r="B79" s="162"/>
      <c r="C79" s="162"/>
      <c r="D79" s="162"/>
      <c r="E79" s="162"/>
      <c r="F79" s="169" t="s">
        <v>2</v>
      </c>
      <c r="G79" s="162" t="b">
        <v>0</v>
      </c>
      <c r="H79" s="162"/>
      <c r="I79" s="162"/>
      <c r="J79" s="16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</row>
    <row r="80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</row>
    <row r="81">
      <c r="A81" s="175">
        <v>45505.0</v>
      </c>
      <c r="B81" s="169" t="s">
        <v>1598</v>
      </c>
      <c r="C81" s="169" t="s">
        <v>1599</v>
      </c>
      <c r="D81" s="169" t="s">
        <v>1600</v>
      </c>
      <c r="E81" s="162"/>
      <c r="F81" s="169" t="s">
        <v>1601</v>
      </c>
      <c r="G81" s="162" t="b">
        <v>0</v>
      </c>
      <c r="H81" s="162"/>
      <c r="I81" s="162"/>
      <c r="J81" s="16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</row>
    <row r="82">
      <c r="A82" s="162"/>
      <c r="B82" s="162"/>
      <c r="C82" s="162"/>
      <c r="D82" s="162"/>
      <c r="E82" s="162"/>
      <c r="F82" s="169" t="s">
        <v>1602</v>
      </c>
      <c r="G82" s="162" t="b">
        <v>0</v>
      </c>
      <c r="H82" s="162"/>
      <c r="I82" s="162"/>
      <c r="J82" s="16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</row>
    <row r="83">
      <c r="A83" s="162"/>
      <c r="B83" s="162"/>
      <c r="C83" s="162"/>
      <c r="D83" s="162"/>
      <c r="E83" s="162"/>
      <c r="F83" s="169" t="s">
        <v>1603</v>
      </c>
      <c r="G83" s="169" t="b">
        <v>0</v>
      </c>
      <c r="H83" s="162"/>
      <c r="I83" s="162"/>
      <c r="J83" s="16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</row>
    <row r="84">
      <c r="A84" s="162"/>
      <c r="B84" s="162"/>
      <c r="C84" s="162"/>
      <c r="D84" s="162"/>
      <c r="E84" s="162"/>
      <c r="F84" s="169" t="s">
        <v>1562</v>
      </c>
      <c r="G84" s="169" t="b">
        <v>1</v>
      </c>
      <c r="H84" s="162"/>
      <c r="I84" s="162"/>
      <c r="J84" s="16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</row>
    <row r="85">
      <c r="A85" s="162"/>
      <c r="B85" s="162"/>
      <c r="C85" s="162"/>
      <c r="D85" s="162"/>
      <c r="E85" s="162"/>
      <c r="F85" s="169" t="s">
        <v>1604</v>
      </c>
      <c r="G85" s="169" t="b">
        <v>1</v>
      </c>
      <c r="H85" s="162"/>
      <c r="I85" s="162"/>
      <c r="J85" s="16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</row>
    <row r="86">
      <c r="A86" s="162"/>
      <c r="B86" s="162"/>
      <c r="C86" s="162"/>
      <c r="D86" s="162"/>
      <c r="E86" s="162"/>
      <c r="F86" s="169" t="s">
        <v>1605</v>
      </c>
      <c r="G86" s="162" t="b">
        <v>0</v>
      </c>
      <c r="H86" s="162"/>
      <c r="I86" s="162"/>
      <c r="J86" s="16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</row>
    <row r="87">
      <c r="A87" s="162"/>
      <c r="B87" s="162"/>
      <c r="C87" s="162"/>
      <c r="D87" s="162"/>
      <c r="E87" s="162"/>
      <c r="F87" s="169" t="s">
        <v>2</v>
      </c>
      <c r="G87" s="162" t="b">
        <v>0</v>
      </c>
      <c r="H87" s="162"/>
      <c r="I87" s="162"/>
      <c r="J87" s="16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</row>
    <row r="88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</row>
    <row r="89">
      <c r="A89" s="175">
        <v>45505.0</v>
      </c>
      <c r="B89" s="169" t="s">
        <v>1606</v>
      </c>
      <c r="C89" s="169" t="s">
        <v>27</v>
      </c>
      <c r="D89" s="162"/>
      <c r="E89" s="162"/>
      <c r="F89" s="162"/>
      <c r="G89" s="162"/>
      <c r="H89" s="162"/>
      <c r="I89" s="162"/>
      <c r="J89" s="16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</row>
    <row r="90">
      <c r="A90" s="162"/>
      <c r="B90" s="162"/>
      <c r="C90" s="162"/>
      <c r="D90" s="162"/>
      <c r="E90" s="162"/>
      <c r="F90" s="162"/>
      <c r="G90" s="162"/>
      <c r="H90" s="162"/>
      <c r="I90" s="162"/>
      <c r="J90" s="16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</row>
    <row r="91">
      <c r="A91" s="162"/>
      <c r="B91" s="162"/>
      <c r="C91" s="162"/>
      <c r="D91" s="162"/>
      <c r="E91" s="162"/>
      <c r="F91" s="162"/>
      <c r="G91" s="162"/>
      <c r="H91" s="162"/>
      <c r="I91" s="162"/>
      <c r="J91" s="16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</row>
    <row r="92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</row>
    <row r="9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</row>
    <row r="94">
      <c r="A94" s="171">
        <v>45505.0</v>
      </c>
      <c r="B94" s="169" t="s">
        <v>1607</v>
      </c>
      <c r="C94" s="169" t="s">
        <v>1608</v>
      </c>
      <c r="D94" s="169" t="s">
        <v>23</v>
      </c>
      <c r="E94" s="162"/>
      <c r="F94" s="169" t="s">
        <v>703</v>
      </c>
      <c r="G94" s="169" t="b">
        <v>1</v>
      </c>
      <c r="H94" s="162"/>
      <c r="I94" s="162"/>
      <c r="J94" s="16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</row>
    <row r="95">
      <c r="A95" s="162"/>
      <c r="B95" s="162"/>
      <c r="C95" s="162"/>
      <c r="D95" s="162"/>
      <c r="E95" s="162"/>
      <c r="F95" s="169" t="s">
        <v>1012</v>
      </c>
      <c r="G95" s="162" t="b">
        <v>0</v>
      </c>
      <c r="H95" s="162"/>
      <c r="I95" s="162"/>
      <c r="J95" s="16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</row>
    <row r="96">
      <c r="A96" s="162"/>
      <c r="B96" s="162"/>
      <c r="C96" s="162"/>
      <c r="D96" s="162"/>
      <c r="E96" s="162"/>
      <c r="F96" s="169" t="s">
        <v>1562</v>
      </c>
      <c r="G96" s="169" t="b">
        <v>1</v>
      </c>
      <c r="H96" s="162"/>
      <c r="I96" s="162"/>
      <c r="J96" s="16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</row>
    <row r="97">
      <c r="A97" s="162"/>
      <c r="B97" s="162"/>
      <c r="C97" s="162"/>
      <c r="D97" s="162"/>
      <c r="E97" s="162"/>
      <c r="F97" s="162"/>
      <c r="G97" s="162" t="b">
        <v>0</v>
      </c>
      <c r="H97" s="162"/>
      <c r="I97" s="162"/>
      <c r="J97" s="16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</row>
    <row r="98">
      <c r="A98" s="162"/>
      <c r="B98" s="162"/>
      <c r="C98" s="162"/>
      <c r="D98" s="162"/>
      <c r="E98" s="162"/>
      <c r="F98" s="162"/>
      <c r="G98" s="162" t="b">
        <v>0</v>
      </c>
      <c r="H98" s="162"/>
      <c r="I98" s="162"/>
      <c r="J98" s="16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</row>
    <row r="99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</row>
    <row r="100">
      <c r="A100" s="171">
        <v>45505.0</v>
      </c>
      <c r="B100" s="169" t="s">
        <v>1609</v>
      </c>
      <c r="C100" s="162"/>
      <c r="D100" s="169" t="s">
        <v>23</v>
      </c>
      <c r="E100" s="162"/>
      <c r="F100" s="169" t="s">
        <v>15</v>
      </c>
      <c r="G100" s="169" t="b">
        <v>1</v>
      </c>
      <c r="H100" s="162"/>
      <c r="I100" s="162"/>
      <c r="J100" s="16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</row>
    <row r="101">
      <c r="A101" s="162"/>
      <c r="B101" s="162"/>
      <c r="C101" s="162"/>
      <c r="D101" s="162"/>
      <c r="E101" s="162"/>
      <c r="F101" s="169" t="s">
        <v>1610</v>
      </c>
      <c r="G101" s="162" t="b">
        <v>0</v>
      </c>
      <c r="H101" s="162"/>
      <c r="I101" s="162"/>
      <c r="J101" s="16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</row>
    <row r="102">
      <c r="A102" s="162"/>
      <c r="B102" s="162"/>
      <c r="C102" s="162"/>
      <c r="D102" s="162"/>
      <c r="E102" s="162"/>
      <c r="F102" s="169" t="s">
        <v>1611</v>
      </c>
      <c r="G102" s="169" t="b">
        <v>0</v>
      </c>
      <c r="H102" s="162"/>
      <c r="I102" s="162"/>
      <c r="J102" s="16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</row>
    <row r="103">
      <c r="A103" s="162"/>
      <c r="B103" s="162"/>
      <c r="C103" s="162"/>
      <c r="D103" s="162"/>
      <c r="E103" s="162"/>
      <c r="F103" s="169" t="s">
        <v>20</v>
      </c>
      <c r="G103" s="169" t="b">
        <v>1</v>
      </c>
      <c r="H103" s="162"/>
      <c r="I103" s="162"/>
      <c r="J103" s="16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</row>
    <row r="104">
      <c r="A104" s="162"/>
      <c r="B104" s="162"/>
      <c r="C104" s="162"/>
      <c r="D104" s="162"/>
      <c r="E104" s="162"/>
      <c r="F104" s="169" t="s">
        <v>1612</v>
      </c>
      <c r="G104" s="162" t="b">
        <v>0</v>
      </c>
      <c r="H104" s="162"/>
      <c r="I104" s="162"/>
      <c r="J104" s="16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</row>
    <row r="10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</row>
    <row r="106">
      <c r="A106" s="171">
        <v>45505.0</v>
      </c>
      <c r="B106" s="169" t="s">
        <v>97</v>
      </c>
      <c r="C106" s="162"/>
      <c r="D106" s="169" t="s">
        <v>28</v>
      </c>
      <c r="E106" s="162"/>
      <c r="F106" s="169" t="s">
        <v>724</v>
      </c>
      <c r="G106" s="162"/>
      <c r="H106" s="162"/>
      <c r="I106" s="162"/>
      <c r="J106" s="16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</row>
    <row r="107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</row>
    <row r="108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</row>
    <row r="109">
      <c r="A109" s="162"/>
      <c r="B109" s="162"/>
      <c r="C109" s="162"/>
      <c r="D109" s="162"/>
      <c r="E109" s="162"/>
      <c r="F109" s="162"/>
      <c r="G109" s="162"/>
      <c r="H109" s="162"/>
      <c r="I109" s="162"/>
      <c r="J109" s="16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</row>
    <row r="110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</row>
    <row r="111">
      <c r="A111" s="171">
        <v>45505.0</v>
      </c>
      <c r="B111" s="169" t="s">
        <v>122</v>
      </c>
      <c r="C111" s="162"/>
      <c r="D111" s="169" t="s">
        <v>28</v>
      </c>
      <c r="E111" s="162"/>
      <c r="F111" s="169" t="s">
        <v>1613</v>
      </c>
      <c r="G111" s="169" t="b">
        <v>1</v>
      </c>
      <c r="H111" s="162"/>
      <c r="I111" s="162"/>
      <c r="J111" s="16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</row>
    <row r="112">
      <c r="A112" s="162"/>
      <c r="B112" s="162"/>
      <c r="C112" s="162"/>
      <c r="D112" s="162"/>
      <c r="E112" s="162"/>
      <c r="F112" s="169" t="s">
        <v>1614</v>
      </c>
      <c r="G112" s="162" t="b">
        <v>0</v>
      </c>
      <c r="H112" s="162"/>
      <c r="I112" s="162"/>
      <c r="J112" s="16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</row>
    <row r="113">
      <c r="A113" s="162"/>
      <c r="B113" s="162"/>
      <c r="C113" s="162"/>
      <c r="D113" s="162"/>
      <c r="E113" s="162"/>
      <c r="F113" s="169" t="s">
        <v>1615</v>
      </c>
      <c r="G113" s="162" t="b">
        <v>0</v>
      </c>
      <c r="H113" s="162"/>
      <c r="I113" s="162"/>
      <c r="J113" s="16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</row>
    <row r="114">
      <c r="A114" s="162"/>
      <c r="B114" s="162"/>
      <c r="C114" s="162"/>
      <c r="D114" s="162"/>
      <c r="E114" s="162"/>
      <c r="F114" s="169" t="s">
        <v>1616</v>
      </c>
      <c r="G114" s="162" t="b">
        <v>0</v>
      </c>
      <c r="H114" s="162"/>
      <c r="I114" s="162"/>
      <c r="J114" s="16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</row>
    <row r="115">
      <c r="A115" s="162"/>
      <c r="B115" s="162"/>
      <c r="C115" s="162"/>
      <c r="D115" s="162"/>
      <c r="E115" s="162"/>
      <c r="F115" s="169" t="s">
        <v>1565</v>
      </c>
      <c r="G115" s="169" t="b">
        <v>1</v>
      </c>
      <c r="H115" s="162"/>
      <c r="I115" s="162"/>
      <c r="J115" s="16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</row>
    <row r="116">
      <c r="A116" s="162"/>
      <c r="B116" s="162"/>
      <c r="C116" s="162"/>
      <c r="D116" s="162"/>
      <c r="E116" s="162"/>
      <c r="F116" s="169" t="s">
        <v>1197</v>
      </c>
      <c r="G116" s="162" t="b">
        <v>0</v>
      </c>
      <c r="H116" s="162"/>
      <c r="I116" s="162"/>
      <c r="J116" s="16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</row>
    <row r="117">
      <c r="A117" s="162"/>
      <c r="B117" s="162"/>
      <c r="C117" s="162"/>
      <c r="D117" s="162"/>
      <c r="E117" s="162"/>
      <c r="F117" s="169" t="s">
        <v>1579</v>
      </c>
      <c r="G117" s="162" t="b">
        <v>0</v>
      </c>
      <c r="H117" s="162"/>
      <c r="I117" s="162"/>
      <c r="J117" s="16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</row>
    <row r="118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</row>
    <row r="119">
      <c r="A119" s="171">
        <v>45505.0</v>
      </c>
      <c r="B119" s="169" t="s">
        <v>147</v>
      </c>
      <c r="C119" s="162"/>
      <c r="D119" s="169" t="s">
        <v>23</v>
      </c>
      <c r="E119" s="162"/>
      <c r="F119" s="169" t="s">
        <v>1617</v>
      </c>
      <c r="G119" s="169" t="b">
        <v>1</v>
      </c>
      <c r="H119" s="162"/>
      <c r="I119" s="162"/>
      <c r="J119" s="16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</row>
    <row r="120">
      <c r="A120" s="162"/>
      <c r="B120" s="162"/>
      <c r="C120" s="162"/>
      <c r="D120" s="162"/>
      <c r="E120" s="162"/>
      <c r="F120" s="169" t="s">
        <v>1618</v>
      </c>
      <c r="G120" s="169" t="b">
        <v>1</v>
      </c>
      <c r="H120" s="162"/>
      <c r="I120" s="162"/>
      <c r="J120" s="16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</row>
    <row r="121">
      <c r="A121" s="162"/>
      <c r="B121" s="162"/>
      <c r="C121" s="162"/>
      <c r="D121" s="162"/>
      <c r="E121" s="162"/>
      <c r="F121" s="169" t="s">
        <v>1619</v>
      </c>
      <c r="G121" s="162" t="b">
        <v>0</v>
      </c>
      <c r="H121" s="162"/>
      <c r="I121" s="162"/>
      <c r="J121" s="16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</row>
    <row r="122">
      <c r="A122" s="162"/>
      <c r="B122" s="162"/>
      <c r="C122" s="162"/>
      <c r="D122" s="162"/>
      <c r="E122" s="162"/>
      <c r="F122" s="169" t="s">
        <v>1576</v>
      </c>
      <c r="G122" s="162" t="b">
        <v>0</v>
      </c>
      <c r="H122" s="162"/>
      <c r="I122" s="162"/>
      <c r="J122" s="16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</row>
    <row r="123">
      <c r="A123" s="162"/>
      <c r="B123" s="162"/>
      <c r="C123" s="162"/>
      <c r="D123" s="162"/>
      <c r="E123" s="162"/>
      <c r="F123" s="169" t="s">
        <v>1565</v>
      </c>
      <c r="G123" s="169" t="b">
        <v>1</v>
      </c>
      <c r="H123" s="162"/>
      <c r="I123" s="162"/>
      <c r="J123" s="16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</row>
    <row r="124">
      <c r="A124" s="162"/>
      <c r="B124" s="162"/>
      <c r="C124" s="162"/>
      <c r="D124" s="162"/>
      <c r="E124" s="162"/>
      <c r="F124" s="169" t="s">
        <v>1197</v>
      </c>
      <c r="G124" s="162" t="b">
        <v>0</v>
      </c>
      <c r="H124" s="162"/>
      <c r="I124" s="162"/>
      <c r="J124" s="16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</row>
    <row r="1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</row>
    <row r="126">
      <c r="A126" s="171">
        <v>45505.0</v>
      </c>
      <c r="B126" s="169" t="s">
        <v>1620</v>
      </c>
      <c r="C126" s="162"/>
      <c r="D126" s="169" t="s">
        <v>23</v>
      </c>
      <c r="E126" s="162"/>
      <c r="F126" s="169" t="s">
        <v>1621</v>
      </c>
      <c r="G126" s="162" t="b">
        <v>0</v>
      </c>
      <c r="H126" s="162"/>
      <c r="I126" s="162"/>
      <c r="J126" s="16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</row>
    <row r="127">
      <c r="A127" s="162"/>
      <c r="B127" s="162"/>
      <c r="C127" s="162"/>
      <c r="D127" s="162"/>
      <c r="E127" s="162"/>
      <c r="F127" s="169" t="s">
        <v>1622</v>
      </c>
      <c r="G127" s="162" t="b">
        <v>0</v>
      </c>
      <c r="H127" s="162"/>
      <c r="I127" s="162"/>
      <c r="J127" s="16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</row>
    <row r="128">
      <c r="A128" s="162"/>
      <c r="B128" s="162"/>
      <c r="C128" s="162"/>
      <c r="D128" s="162"/>
      <c r="E128" s="162"/>
      <c r="F128" s="169" t="s">
        <v>1562</v>
      </c>
      <c r="G128" s="169" t="b">
        <v>1</v>
      </c>
      <c r="H128" s="162"/>
      <c r="I128" s="162"/>
      <c r="J128" s="16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</row>
    <row r="129">
      <c r="A129" s="162"/>
      <c r="B129" s="162"/>
      <c r="C129" s="162"/>
      <c r="D129" s="162"/>
      <c r="E129" s="162"/>
      <c r="F129" s="162"/>
      <c r="G129" s="162" t="b">
        <v>0</v>
      </c>
      <c r="H129" s="162"/>
      <c r="I129" s="162"/>
      <c r="J129" s="16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</row>
    <row r="130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</row>
    <row r="131">
      <c r="A131" s="171">
        <v>45505.0</v>
      </c>
      <c r="B131" s="169" t="s">
        <v>1623</v>
      </c>
      <c r="C131" s="162"/>
      <c r="D131" s="169" t="s">
        <v>28</v>
      </c>
      <c r="E131" s="169" t="s">
        <v>1624</v>
      </c>
      <c r="F131" s="169" t="s">
        <v>1322</v>
      </c>
      <c r="G131" s="162" t="b">
        <v>0</v>
      </c>
      <c r="H131" s="162"/>
      <c r="I131" s="162"/>
      <c r="J131" s="16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</row>
    <row r="132">
      <c r="A132" s="162"/>
      <c r="B132" s="162"/>
      <c r="C132" s="162"/>
      <c r="D132" s="162"/>
      <c r="E132" s="162"/>
      <c r="F132" s="162"/>
      <c r="G132" s="162" t="b">
        <v>0</v>
      </c>
      <c r="H132" s="162"/>
      <c r="I132" s="162"/>
      <c r="J132" s="16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</row>
    <row r="133">
      <c r="A133" s="162"/>
      <c r="B133" s="162"/>
      <c r="C133" s="162"/>
      <c r="D133" s="162"/>
      <c r="E133" s="162"/>
      <c r="F133" s="162"/>
      <c r="G133" s="162" t="b">
        <v>0</v>
      </c>
      <c r="H133" s="162"/>
      <c r="I133" s="162"/>
      <c r="J133" s="16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</row>
    <row r="134">
      <c r="A134" s="162"/>
      <c r="B134" s="162"/>
      <c r="C134" s="162"/>
      <c r="D134" s="162"/>
      <c r="E134" s="162"/>
      <c r="F134" s="162"/>
      <c r="G134" s="162" t="b">
        <v>0</v>
      </c>
      <c r="H134" s="162"/>
      <c r="I134" s="162"/>
      <c r="J134" s="16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</row>
    <row r="1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</row>
    <row r="136">
      <c r="A136" s="171">
        <v>45505.0</v>
      </c>
      <c r="B136" s="169" t="s">
        <v>1625</v>
      </c>
      <c r="C136" s="169" t="s">
        <v>80</v>
      </c>
      <c r="D136" s="169" t="s">
        <v>28</v>
      </c>
      <c r="E136" s="162"/>
      <c r="F136" s="169" t="s">
        <v>1626</v>
      </c>
      <c r="G136" s="162" t="b">
        <v>0</v>
      </c>
      <c r="H136" s="162"/>
      <c r="I136" s="162"/>
      <c r="J136" s="16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</row>
    <row r="137">
      <c r="A137" s="162"/>
      <c r="B137" s="162"/>
      <c r="C137" s="169">
        <v>7.74168948E8</v>
      </c>
      <c r="D137" s="162"/>
      <c r="E137" s="162"/>
      <c r="F137" s="169" t="s">
        <v>1627</v>
      </c>
      <c r="G137" s="162" t="b">
        <v>0</v>
      </c>
      <c r="H137" s="162"/>
      <c r="I137" s="162"/>
      <c r="J137" s="16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</row>
    <row r="138">
      <c r="A138" s="162"/>
      <c r="B138" s="162"/>
      <c r="C138" s="162"/>
      <c r="D138" s="162"/>
      <c r="E138" s="162"/>
      <c r="F138" s="169" t="s">
        <v>1628</v>
      </c>
      <c r="G138" s="162" t="b">
        <v>0</v>
      </c>
      <c r="H138" s="162"/>
      <c r="I138" s="162"/>
      <c r="J138" s="16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</row>
    <row r="139">
      <c r="A139" s="162"/>
      <c r="B139" s="162"/>
      <c r="C139" s="162"/>
      <c r="D139" s="162"/>
      <c r="E139" s="162"/>
      <c r="F139" s="169" t="s">
        <v>15</v>
      </c>
      <c r="G139" s="169" t="b">
        <v>1</v>
      </c>
      <c r="H139" s="162"/>
      <c r="I139" s="162"/>
      <c r="J139" s="16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</row>
    <row r="140">
      <c r="A140" s="162"/>
      <c r="B140" s="162"/>
      <c r="C140" s="162"/>
      <c r="D140" s="162"/>
      <c r="E140" s="162"/>
      <c r="F140" s="169" t="s">
        <v>1197</v>
      </c>
      <c r="G140" s="162" t="b">
        <v>0</v>
      </c>
      <c r="H140" s="162"/>
      <c r="I140" s="162"/>
      <c r="J140" s="16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</row>
    <row r="141">
      <c r="A141" s="162"/>
      <c r="B141" s="162"/>
      <c r="C141" s="162"/>
      <c r="D141" s="162"/>
      <c r="E141" s="162"/>
      <c r="F141" s="169" t="s">
        <v>1579</v>
      </c>
      <c r="G141" s="162" t="b">
        <v>0</v>
      </c>
      <c r="H141" s="162"/>
      <c r="I141" s="162"/>
      <c r="J141" s="16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</row>
    <row r="14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</row>
    <row r="143">
      <c r="A143" s="171">
        <v>45505.0</v>
      </c>
      <c r="B143" s="169" t="s">
        <v>1629</v>
      </c>
      <c r="C143" s="162"/>
      <c r="D143" s="162"/>
      <c r="E143" s="162"/>
      <c r="F143" s="169" t="s">
        <v>1630</v>
      </c>
      <c r="G143" s="169" t="b">
        <v>1</v>
      </c>
      <c r="H143" s="162"/>
      <c r="I143" s="162"/>
      <c r="J143" s="16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</row>
    <row r="144">
      <c r="A144" s="162"/>
      <c r="B144" s="162"/>
      <c r="C144" s="162"/>
      <c r="D144" s="162"/>
      <c r="E144" s="162"/>
      <c r="F144" s="169" t="s">
        <v>1197</v>
      </c>
      <c r="G144" s="169" t="b">
        <v>1</v>
      </c>
      <c r="H144" s="162"/>
      <c r="I144" s="162"/>
      <c r="J144" s="16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</row>
    <row r="145">
      <c r="A145" s="162"/>
      <c r="B145" s="162"/>
      <c r="C145" s="162"/>
      <c r="D145" s="162"/>
      <c r="E145" s="162"/>
      <c r="F145" s="162"/>
      <c r="G145" s="162" t="b">
        <v>0</v>
      </c>
      <c r="H145" s="162"/>
      <c r="I145" s="162"/>
      <c r="J145" s="16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</row>
    <row r="146">
      <c r="A146" s="162"/>
      <c r="B146" s="162"/>
      <c r="C146" s="162"/>
      <c r="D146" s="162"/>
      <c r="E146" s="162"/>
      <c r="F146" s="162"/>
      <c r="G146" s="162" t="b">
        <v>0</v>
      </c>
      <c r="H146" s="162"/>
      <c r="I146" s="162"/>
      <c r="J146" s="16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</row>
    <row r="147">
      <c r="A147" s="162"/>
      <c r="B147" s="162"/>
      <c r="C147" s="162"/>
      <c r="D147" s="162"/>
      <c r="E147" s="162"/>
      <c r="F147" s="162"/>
      <c r="G147" s="162" t="b">
        <v>0</v>
      </c>
      <c r="H147" s="162"/>
      <c r="I147" s="162"/>
      <c r="J147" s="16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</row>
    <row r="148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</row>
    <row r="149">
      <c r="A149" s="162"/>
      <c r="B149" s="169" t="s">
        <v>1631</v>
      </c>
      <c r="C149" s="162"/>
      <c r="D149" s="162"/>
      <c r="E149" s="162"/>
      <c r="F149" s="169" t="s">
        <v>1632</v>
      </c>
      <c r="G149" s="162"/>
      <c r="H149" s="162"/>
      <c r="I149" s="162"/>
      <c r="J149" s="16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</row>
    <row r="150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</row>
    <row r="15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</row>
    <row r="152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</row>
    <row r="15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</row>
    <row r="154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</row>
    <row r="15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</row>
    <row r="157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</row>
    <row r="158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</row>
    <row r="160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</row>
    <row r="16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</row>
    <row r="16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</row>
    <row r="16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</row>
    <row r="164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</row>
    <row r="16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</row>
    <row r="16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</row>
    <row r="167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</row>
    <row r="168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</row>
    <row r="170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</row>
    <row r="17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</row>
    <row r="17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</row>
    <row r="17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</row>
    <row r="174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</row>
    <row r="17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</row>
    <row r="17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</row>
    <row r="177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</row>
    <row r="178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</row>
    <row r="179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</row>
    <row r="180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</row>
    <row r="18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</row>
    <row r="18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</row>
    <row r="18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</row>
    <row r="184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</row>
    <row r="18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</row>
    <row r="18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</row>
    <row r="187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</row>
    <row r="188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</row>
    <row r="189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</row>
    <row r="190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</row>
    <row r="19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</row>
    <row r="19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</row>
    <row r="19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</row>
    <row r="198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</row>
    <row r="200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</row>
    <row r="20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</row>
    <row r="20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</row>
    <row r="204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6"/>
      <c r="B1" s="42"/>
      <c r="C1" s="42"/>
      <c r="D1" s="42"/>
      <c r="E1" s="42"/>
      <c r="F1" s="42"/>
      <c r="G1" s="128" t="b">
        <v>0</v>
      </c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</row>
    <row r="2">
      <c r="A2" s="176">
        <v>45352.0</v>
      </c>
      <c r="B2" s="42" t="s">
        <v>1633</v>
      </c>
      <c r="C2" s="42" t="s">
        <v>1634</v>
      </c>
      <c r="D2" s="42"/>
      <c r="E2" s="42" t="s">
        <v>1635</v>
      </c>
      <c r="F2" s="42" t="s">
        <v>1636</v>
      </c>
      <c r="G2" s="128" t="b">
        <v>1</v>
      </c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>
      <c r="A3" s="42"/>
      <c r="B3" s="42"/>
      <c r="C3" s="42"/>
      <c r="D3" s="42"/>
      <c r="E3" s="42" t="s">
        <v>1637</v>
      </c>
      <c r="F3" s="42" t="s">
        <v>1638</v>
      </c>
      <c r="G3" s="128" t="b">
        <v>1</v>
      </c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</row>
    <row r="4">
      <c r="A4" s="42"/>
      <c r="B4" s="42"/>
      <c r="C4" s="42"/>
      <c r="D4" s="42"/>
      <c r="E4" s="42" t="s">
        <v>1639</v>
      </c>
      <c r="F4" s="42"/>
      <c r="G4" s="128" t="b">
        <v>1</v>
      </c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>
      <c r="A5" s="42"/>
      <c r="B5" s="42"/>
      <c r="C5" s="42"/>
      <c r="D5" s="42"/>
      <c r="E5" s="42" t="s">
        <v>1640</v>
      </c>
      <c r="F5" s="42"/>
      <c r="G5" s="123" t="b">
        <v>1</v>
      </c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</row>
    <row r="6">
      <c r="A6" s="42"/>
      <c r="B6" s="42"/>
      <c r="C6" s="42"/>
      <c r="D6" s="42"/>
      <c r="E6" s="42" t="s">
        <v>1641</v>
      </c>
      <c r="F6" s="42" t="s">
        <v>1642</v>
      </c>
      <c r="G6" s="128" t="b">
        <v>1</v>
      </c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</row>
    <row r="7">
      <c r="A7" s="42"/>
      <c r="B7" s="42"/>
      <c r="C7" s="42"/>
      <c r="D7" s="42"/>
      <c r="E7" s="42" t="s">
        <v>1643</v>
      </c>
      <c r="F7" s="42"/>
      <c r="G7" s="128" t="b">
        <v>1</v>
      </c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</row>
    <row r="8">
      <c r="A8" s="42"/>
      <c r="B8" s="42"/>
      <c r="C8" s="42"/>
      <c r="D8" s="42"/>
      <c r="E8" s="42" t="s">
        <v>1644</v>
      </c>
      <c r="F8" s="42"/>
      <c r="G8" s="128" t="b">
        <v>1</v>
      </c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</row>
    <row r="9">
      <c r="A9" s="42"/>
      <c r="B9" s="42"/>
      <c r="C9" s="42"/>
      <c r="D9" s="42"/>
      <c r="E9" s="42" t="s">
        <v>1645</v>
      </c>
      <c r="F9" s="42" t="s">
        <v>1646</v>
      </c>
      <c r="G9" s="123" t="b">
        <v>1</v>
      </c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</row>
    <row r="10">
      <c r="A10" s="42"/>
      <c r="B10" s="42"/>
      <c r="C10" s="42"/>
      <c r="D10" s="42"/>
      <c r="E10" s="42" t="s">
        <v>1647</v>
      </c>
      <c r="F10" s="42"/>
      <c r="G10" s="128" t="b">
        <v>1</v>
      </c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</row>
    <row r="11">
      <c r="A11" s="177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</row>
    <row r="12">
      <c r="A12" s="178">
        <v>45474.0</v>
      </c>
      <c r="B12" s="42" t="s">
        <v>1648</v>
      </c>
      <c r="C12" s="83" t="s">
        <v>1649</v>
      </c>
      <c r="D12" s="42"/>
      <c r="E12" s="83" t="s">
        <v>1650</v>
      </c>
      <c r="F12" s="123" t="b">
        <v>1</v>
      </c>
      <c r="G12" s="83" t="s">
        <v>28</v>
      </c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</row>
    <row r="13">
      <c r="A13" s="42"/>
      <c r="B13" s="42"/>
      <c r="C13" s="83">
        <v>7.75702777E8</v>
      </c>
      <c r="D13" s="42"/>
      <c r="E13" s="42" t="s">
        <v>1651</v>
      </c>
      <c r="F13" s="128" t="b">
        <v>1</v>
      </c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</row>
    <row r="14">
      <c r="A14" s="42"/>
      <c r="B14" s="42"/>
      <c r="C14" s="42"/>
      <c r="D14" s="42"/>
      <c r="E14" s="42" t="s">
        <v>1565</v>
      </c>
      <c r="F14" s="128" t="b">
        <v>1</v>
      </c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</row>
    <row r="15">
      <c r="A15" s="42"/>
      <c r="B15" s="42"/>
      <c r="C15" s="42"/>
      <c r="D15" s="42"/>
      <c r="E15" s="42" t="s">
        <v>1197</v>
      </c>
      <c r="F15" s="128" t="b">
        <v>1</v>
      </c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</row>
    <row r="16">
      <c r="A16" s="42"/>
      <c r="B16" s="42"/>
      <c r="C16" s="42"/>
      <c r="D16" s="42"/>
      <c r="E16" s="83" t="s">
        <v>1652</v>
      </c>
      <c r="F16" s="123" t="b">
        <v>1</v>
      </c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</row>
    <row r="17">
      <c r="A17" s="42"/>
      <c r="B17" s="42"/>
      <c r="C17" s="42"/>
      <c r="D17" s="42"/>
      <c r="E17" s="42" t="s">
        <v>1579</v>
      </c>
      <c r="F17" s="128" t="b">
        <v>1</v>
      </c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</row>
    <row r="18">
      <c r="A18" s="164"/>
      <c r="B18" s="164"/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77"/>
    </row>
    <row r="20">
      <c r="A20" s="179">
        <v>45474.0</v>
      </c>
      <c r="B20" s="83" t="s">
        <v>1653</v>
      </c>
      <c r="C20" s="83" t="s">
        <v>1654</v>
      </c>
      <c r="D20" s="42"/>
      <c r="E20" s="83" t="s">
        <v>1655</v>
      </c>
      <c r="F20" s="83" t="b">
        <v>1</v>
      </c>
      <c r="G20" s="83" t="s">
        <v>28</v>
      </c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</row>
    <row r="21">
      <c r="A21" s="42"/>
      <c r="B21" s="42"/>
      <c r="C21" s="42"/>
      <c r="D21" s="42"/>
      <c r="E21" s="83" t="s">
        <v>1656</v>
      </c>
      <c r="F21" s="83" t="b">
        <v>1</v>
      </c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</row>
    <row r="22">
      <c r="A22" s="42"/>
      <c r="B22" s="42"/>
      <c r="C22" s="42"/>
      <c r="D22" s="42"/>
      <c r="E22" s="83" t="s">
        <v>1657</v>
      </c>
      <c r="F22" s="83" t="b">
        <v>1</v>
      </c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</row>
    <row r="23">
      <c r="A23" s="42"/>
      <c r="B23" s="42"/>
      <c r="C23" s="42"/>
      <c r="D23" s="42"/>
      <c r="E23" s="83" t="s">
        <v>1658</v>
      </c>
      <c r="F23" s="83" t="b">
        <v>1</v>
      </c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</row>
    <row r="24">
      <c r="A24" s="42"/>
      <c r="B24" s="42"/>
      <c r="C24" s="42"/>
      <c r="D24" s="42"/>
      <c r="E24" s="83" t="s">
        <v>1562</v>
      </c>
      <c r="F24" s="83" t="b">
        <v>1</v>
      </c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</row>
    <row r="25">
      <c r="A25" s="42"/>
      <c r="B25" s="42"/>
      <c r="C25" s="42"/>
      <c r="D25" s="42"/>
      <c r="E25" s="83" t="s">
        <v>2</v>
      </c>
      <c r="F25" s="83" t="b">
        <v>1</v>
      </c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</row>
    <row r="27">
      <c r="A27" s="177"/>
      <c r="B27" s="177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</row>
    <row r="29">
      <c r="A29" s="178">
        <v>45474.0</v>
      </c>
      <c r="B29" s="42" t="s">
        <v>658</v>
      </c>
      <c r="C29" s="42" t="s">
        <v>1659</v>
      </c>
      <c r="D29" s="42"/>
      <c r="E29" s="42" t="s">
        <v>1660</v>
      </c>
      <c r="F29" s="128" t="b">
        <v>1</v>
      </c>
      <c r="G29" s="83" t="s">
        <v>45</v>
      </c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</row>
    <row r="30">
      <c r="A30" s="42"/>
      <c r="B30" s="42"/>
      <c r="C30" s="42"/>
      <c r="D30" s="42"/>
      <c r="E30" s="42" t="s">
        <v>1661</v>
      </c>
      <c r="F30" s="128" t="b">
        <v>1</v>
      </c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</row>
    <row r="31">
      <c r="A31" s="42"/>
      <c r="B31" s="42"/>
      <c r="C31" s="42"/>
      <c r="D31" s="42"/>
      <c r="E31" s="42" t="s">
        <v>1562</v>
      </c>
      <c r="F31" s="128" t="b">
        <v>1</v>
      </c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</row>
    <row r="32">
      <c r="A32" s="42"/>
      <c r="B32" s="42"/>
      <c r="C32" s="42"/>
      <c r="D32" s="42"/>
      <c r="E32" s="42" t="s">
        <v>2</v>
      </c>
      <c r="F32" s="128" t="b">
        <v>1</v>
      </c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</row>
    <row r="33">
      <c r="A33" s="42"/>
      <c r="B33" s="42"/>
      <c r="C33" s="42"/>
      <c r="D33" s="42"/>
      <c r="E33" s="42" t="s">
        <v>1563</v>
      </c>
      <c r="F33" s="128" t="b">
        <v>1</v>
      </c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</row>
    <row r="34">
      <c r="A34" s="42"/>
      <c r="B34" s="42"/>
      <c r="C34" s="42"/>
      <c r="D34" s="42"/>
      <c r="E34" s="42" t="s">
        <v>1662</v>
      </c>
      <c r="F34" s="123" t="b">
        <v>1</v>
      </c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</row>
    <row r="35">
      <c r="A35" s="164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77"/>
    </row>
    <row r="36">
      <c r="A36" s="178">
        <v>45444.0</v>
      </c>
      <c r="B36" s="42" t="s">
        <v>1663</v>
      </c>
      <c r="C36" s="42" t="s">
        <v>157</v>
      </c>
      <c r="D36" s="42"/>
      <c r="E36" s="42" t="s">
        <v>1664</v>
      </c>
      <c r="F36" s="80" t="b">
        <v>1</v>
      </c>
      <c r="G36" s="83" t="s">
        <v>45</v>
      </c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</row>
    <row r="37">
      <c r="A37" s="42"/>
      <c r="B37" s="42"/>
      <c r="C37" s="42"/>
      <c r="D37" s="42"/>
      <c r="E37" s="42" t="s">
        <v>1665</v>
      </c>
      <c r="F37" s="80" t="b">
        <v>1</v>
      </c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</row>
    <row r="38">
      <c r="A38" s="42"/>
      <c r="B38" s="42"/>
      <c r="C38" s="42"/>
      <c r="D38" s="42"/>
      <c r="E38" s="42" t="s">
        <v>1565</v>
      </c>
      <c r="F38" s="80" t="b">
        <v>1</v>
      </c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</row>
    <row r="39">
      <c r="A39" s="42"/>
      <c r="B39" s="42"/>
      <c r="C39" s="42"/>
      <c r="D39" s="42"/>
      <c r="E39" s="42" t="s">
        <v>1666</v>
      </c>
      <c r="F39" s="80" t="b">
        <v>1</v>
      </c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</row>
    <row r="40">
      <c r="A40" s="42"/>
      <c r="B40" s="42"/>
      <c r="C40" s="42"/>
      <c r="D40" s="42"/>
      <c r="E40" s="42" t="s">
        <v>20</v>
      </c>
      <c r="F40" s="86" t="b">
        <v>1</v>
      </c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</row>
    <row r="41">
      <c r="A41" s="42"/>
      <c r="B41" s="42"/>
      <c r="C41" s="42"/>
      <c r="D41" s="42"/>
      <c r="E41" s="42" t="s">
        <v>19</v>
      </c>
      <c r="F41" s="86" t="b">
        <v>1</v>
      </c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</row>
    <row r="4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</row>
    <row r="43">
      <c r="A43" s="177"/>
      <c r="B43" s="177"/>
      <c r="C43" s="177"/>
      <c r="D43" s="177"/>
      <c r="E43" s="177"/>
      <c r="F43" s="177"/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</row>
    <row r="44">
      <c r="A44" s="179">
        <v>45474.0</v>
      </c>
      <c r="B44" s="83" t="s">
        <v>1667</v>
      </c>
      <c r="C44" s="83" t="s">
        <v>1668</v>
      </c>
      <c r="D44" s="42"/>
      <c r="E44" s="83" t="s">
        <v>1562</v>
      </c>
      <c r="F44" s="83" t="b">
        <v>1</v>
      </c>
      <c r="G44" s="83" t="s">
        <v>28</v>
      </c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</row>
    <row r="45">
      <c r="A45" s="42"/>
      <c r="B45" s="83" t="s">
        <v>1669</v>
      </c>
      <c r="C45" s="42"/>
      <c r="D45" s="42"/>
      <c r="E45" s="83" t="s">
        <v>1670</v>
      </c>
      <c r="F45" s="83" t="b">
        <v>1</v>
      </c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</row>
    <row r="46">
      <c r="A46" s="42"/>
      <c r="B46" s="42"/>
      <c r="C46" s="42"/>
      <c r="D46" s="42"/>
      <c r="E46" s="83" t="s">
        <v>1671</v>
      </c>
      <c r="F46" s="83" t="b">
        <v>1</v>
      </c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</row>
    <row r="47">
      <c r="A47" s="42"/>
      <c r="B47" s="42"/>
      <c r="C47" s="42"/>
      <c r="D47" s="42"/>
      <c r="E47" s="83" t="s">
        <v>1672</v>
      </c>
      <c r="F47" s="83" t="b">
        <v>1</v>
      </c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</row>
    <row r="48">
      <c r="A48" s="42"/>
      <c r="B48" s="42"/>
      <c r="C48" s="42"/>
      <c r="D48" s="42"/>
      <c r="E48" s="83" t="s">
        <v>1673</v>
      </c>
      <c r="F48" s="83" t="b">
        <v>1</v>
      </c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</row>
    <row r="49">
      <c r="A49" s="177"/>
      <c r="B49" s="177"/>
      <c r="C49" s="177"/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</row>
    <row r="50">
      <c r="A50" s="179">
        <v>45474.0</v>
      </c>
      <c r="B50" s="83" t="s">
        <v>1674</v>
      </c>
      <c r="C50" s="83" t="s">
        <v>981</v>
      </c>
      <c r="D50" s="180">
        <v>45504.0</v>
      </c>
      <c r="E50" s="83" t="s">
        <v>1675</v>
      </c>
      <c r="F50" s="83" t="b">
        <v>1</v>
      </c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</row>
    <row r="51">
      <c r="A51" s="42"/>
      <c r="B51" s="42"/>
      <c r="C51" s="42"/>
      <c r="D51" s="42"/>
      <c r="E51" s="83" t="s">
        <v>703</v>
      </c>
      <c r="F51" s="83" t="b">
        <v>1</v>
      </c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</row>
    <row r="52">
      <c r="A52" s="42"/>
      <c r="B52" s="42"/>
      <c r="C52" s="42"/>
      <c r="D52" s="42"/>
      <c r="E52" s="83" t="s">
        <v>1565</v>
      </c>
      <c r="F52" s="83" t="b">
        <v>1</v>
      </c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</row>
    <row r="53">
      <c r="A53" s="42"/>
      <c r="B53" s="42"/>
      <c r="C53" s="42"/>
      <c r="D53" s="42"/>
      <c r="E53" s="83" t="s">
        <v>1197</v>
      </c>
      <c r="F53" s="83" t="b">
        <v>1</v>
      </c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</row>
    <row r="54">
      <c r="A54" s="42"/>
      <c r="B54" s="42"/>
      <c r="C54" s="42"/>
      <c r="D54" s="42"/>
      <c r="E54" s="83" t="s">
        <v>1676</v>
      </c>
      <c r="F54" s="83" t="b">
        <v>1</v>
      </c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</row>
    <row r="55">
      <c r="A55" s="42"/>
      <c r="B55" s="42"/>
      <c r="C55" s="42"/>
      <c r="D55" s="42"/>
      <c r="E55" s="83" t="s">
        <v>19</v>
      </c>
      <c r="F55" s="42" t="b">
        <v>0</v>
      </c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</row>
    <row r="56">
      <c r="A56" s="42"/>
      <c r="B56" s="42"/>
      <c r="C56" s="42"/>
      <c r="D56" s="42"/>
      <c r="E56" s="83"/>
      <c r="F56" s="42" t="b">
        <v>0</v>
      </c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</row>
    <row r="57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77"/>
    </row>
    <row r="58">
      <c r="A58" s="179">
        <v>45474.0</v>
      </c>
      <c r="B58" s="83" t="s">
        <v>1677</v>
      </c>
      <c r="C58" s="42"/>
      <c r="D58" s="42"/>
      <c r="E58" s="83" t="s">
        <v>1678</v>
      </c>
      <c r="F58" s="83" t="b">
        <v>1</v>
      </c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</row>
    <row r="59">
      <c r="A59" s="42"/>
      <c r="B59" s="42"/>
      <c r="C59" s="42"/>
      <c r="D59" s="42"/>
      <c r="E59" s="83" t="s">
        <v>1679</v>
      </c>
      <c r="F59" s="83" t="b">
        <v>1</v>
      </c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</row>
    <row r="60">
      <c r="A60" s="42"/>
      <c r="B60" s="42"/>
      <c r="C60" s="42"/>
      <c r="D60" s="42"/>
      <c r="E60" s="83" t="s">
        <v>1676</v>
      </c>
      <c r="F60" s="83" t="b">
        <v>1</v>
      </c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</row>
    <row r="61">
      <c r="A61" s="42"/>
      <c r="B61" s="42"/>
      <c r="C61" s="42"/>
      <c r="D61" s="42"/>
      <c r="E61" s="83" t="s">
        <v>1197</v>
      </c>
      <c r="F61" s="83" t="b">
        <v>1</v>
      </c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</row>
    <row r="62">
      <c r="A62" s="42"/>
      <c r="B62" s="42"/>
      <c r="C62" s="42"/>
      <c r="D62" s="42"/>
      <c r="E62" s="83" t="s">
        <v>1579</v>
      </c>
      <c r="F62" s="83" t="b">
        <v>1</v>
      </c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</row>
    <row r="63">
      <c r="A63" s="164"/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77"/>
    </row>
    <row r="64">
      <c r="A64" s="178">
        <v>45474.0</v>
      </c>
      <c r="B64" s="42" t="s">
        <v>1680</v>
      </c>
      <c r="C64" s="83" t="s">
        <v>1681</v>
      </c>
      <c r="D64" s="42"/>
      <c r="E64" s="42" t="s">
        <v>1682</v>
      </c>
      <c r="F64" s="128" t="b">
        <v>1</v>
      </c>
      <c r="G64" s="83" t="s">
        <v>28</v>
      </c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</row>
    <row r="65">
      <c r="A65" s="42"/>
      <c r="B65" s="42"/>
      <c r="C65" s="42"/>
      <c r="D65" s="42"/>
      <c r="E65" s="83" t="s">
        <v>1683</v>
      </c>
      <c r="F65" s="128" t="b">
        <v>1</v>
      </c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</row>
    <row r="66">
      <c r="A66" s="42"/>
      <c r="B66" s="42"/>
      <c r="C66" s="42"/>
      <c r="D66" s="42"/>
      <c r="E66" s="42" t="s">
        <v>1612</v>
      </c>
      <c r="F66" s="128" t="b">
        <v>1</v>
      </c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</row>
    <row r="67">
      <c r="A67" s="42"/>
      <c r="B67" s="42"/>
      <c r="C67" s="42"/>
      <c r="D67" s="42"/>
      <c r="E67" s="42" t="s">
        <v>1684</v>
      </c>
      <c r="F67" s="128" t="b">
        <v>1</v>
      </c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</row>
    <row r="68">
      <c r="A68" s="42"/>
      <c r="B68" s="42"/>
      <c r="C68" s="42"/>
      <c r="D68" s="42"/>
      <c r="E68" s="42" t="s">
        <v>1197</v>
      </c>
      <c r="F68" s="128" t="b">
        <v>1</v>
      </c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</row>
    <row r="69">
      <c r="A69" s="164"/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77"/>
    </row>
    <row r="70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</row>
    <row r="71">
      <c r="A71" s="179">
        <v>45474.0</v>
      </c>
      <c r="B71" s="83" t="s">
        <v>1685</v>
      </c>
      <c r="C71" s="83" t="s">
        <v>157</v>
      </c>
      <c r="D71" s="42"/>
      <c r="E71" s="83" t="s">
        <v>1686</v>
      </c>
      <c r="F71" s="83" t="b">
        <v>1</v>
      </c>
      <c r="G71" s="83" t="s">
        <v>28</v>
      </c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</row>
    <row r="72">
      <c r="A72" s="42"/>
      <c r="B72" s="83" t="s">
        <v>1663</v>
      </c>
      <c r="C72" s="42"/>
      <c r="D72" s="42"/>
      <c r="E72" s="83" t="s">
        <v>1562</v>
      </c>
      <c r="F72" s="83" t="b">
        <v>1</v>
      </c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</row>
    <row r="73">
      <c r="A73" s="42"/>
      <c r="B73" s="42"/>
      <c r="C73" s="42"/>
      <c r="D73" s="42"/>
      <c r="E73" s="83" t="s">
        <v>1575</v>
      </c>
      <c r="F73" s="83" t="b">
        <v>1</v>
      </c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</row>
    <row r="74">
      <c r="A74" s="42"/>
      <c r="B74" s="42"/>
      <c r="C74" s="42"/>
      <c r="D74" s="42"/>
      <c r="E74" s="83" t="s">
        <v>2</v>
      </c>
      <c r="F74" s="83" t="b">
        <v>1</v>
      </c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</row>
    <row r="75">
      <c r="A75" s="42"/>
      <c r="B75" s="42"/>
      <c r="C75" s="42"/>
      <c r="D75" s="42"/>
      <c r="E75" s="83" t="s">
        <v>1687</v>
      </c>
      <c r="F75" s="83" t="b">
        <v>1</v>
      </c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</row>
    <row r="76">
      <c r="A76" s="42"/>
      <c r="B76" s="42"/>
      <c r="C76" s="42"/>
      <c r="D76" s="42"/>
      <c r="E76" s="83" t="s">
        <v>1688</v>
      </c>
      <c r="F76" s="83" t="b">
        <v>1</v>
      </c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</row>
    <row r="77">
      <c r="A77" s="42"/>
      <c r="B77" s="42"/>
      <c r="C77" s="42"/>
      <c r="D77" s="42"/>
      <c r="E77" s="83" t="s">
        <v>1689</v>
      </c>
      <c r="F77" s="83" t="b">
        <v>1</v>
      </c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</row>
    <row r="78">
      <c r="A78" s="177"/>
      <c r="B78" s="177"/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</row>
    <row r="80">
      <c r="A80" s="129">
        <v>45505.0</v>
      </c>
      <c r="B80" s="55" t="s">
        <v>1690</v>
      </c>
      <c r="C80" s="55" t="s">
        <v>1691</v>
      </c>
      <c r="E80" s="55" t="s">
        <v>1692</v>
      </c>
      <c r="F80" s="55" t="b">
        <v>1</v>
      </c>
    </row>
    <row r="81">
      <c r="E81" s="55" t="s">
        <v>15</v>
      </c>
      <c r="F81" s="55" t="b">
        <v>1</v>
      </c>
    </row>
    <row r="82">
      <c r="E82" s="55" t="s">
        <v>20</v>
      </c>
      <c r="F82" s="55" t="b">
        <v>1</v>
      </c>
    </row>
    <row r="83">
      <c r="E83" s="55" t="s">
        <v>1693</v>
      </c>
      <c r="F83" s="55" t="b">
        <v>1</v>
      </c>
    </row>
    <row r="84">
      <c r="E84" s="55" t="s">
        <v>1694</v>
      </c>
      <c r="F84" s="55" t="b">
        <v>1</v>
      </c>
    </row>
    <row r="85">
      <c r="A85" s="177"/>
      <c r="B85" s="177"/>
      <c r="C85" s="177"/>
      <c r="D85" s="177"/>
      <c r="E85" s="177"/>
      <c r="F85" s="177"/>
      <c r="G85" s="177"/>
      <c r="H85" s="177"/>
      <c r="I85" s="177"/>
      <c r="J85" s="177"/>
      <c r="K85" s="177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</row>
    <row r="86">
      <c r="A86" s="178">
        <v>45474.0</v>
      </c>
      <c r="B86" s="42" t="s">
        <v>1598</v>
      </c>
      <c r="C86" s="42"/>
      <c r="D86" s="83" t="s">
        <v>28</v>
      </c>
      <c r="E86" s="42"/>
      <c r="F86" s="42" t="s">
        <v>1695</v>
      </c>
      <c r="G86" s="123" t="b">
        <v>1</v>
      </c>
      <c r="H86" s="83" t="s">
        <v>28</v>
      </c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</row>
    <row r="87">
      <c r="A87" s="42"/>
      <c r="B87" s="42"/>
      <c r="C87" s="42"/>
      <c r="D87" s="42"/>
      <c r="E87" s="42"/>
      <c r="F87" s="83" t="s">
        <v>1696</v>
      </c>
      <c r="G87" s="123" t="b">
        <v>1</v>
      </c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</row>
    <row r="88">
      <c r="A88" s="42"/>
      <c r="B88" s="42"/>
      <c r="C88" s="42"/>
      <c r="D88" s="42"/>
      <c r="E88" s="42"/>
      <c r="F88" s="55" t="s">
        <v>1697</v>
      </c>
      <c r="G88" s="123" t="b">
        <v>1</v>
      </c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</row>
    <row r="89">
      <c r="A89" s="42"/>
      <c r="B89" s="42"/>
      <c r="C89" s="42"/>
      <c r="D89" s="42"/>
      <c r="E89" s="42"/>
      <c r="F89" s="42" t="s">
        <v>1565</v>
      </c>
      <c r="G89" s="128" t="b">
        <v>1</v>
      </c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</row>
    <row r="90">
      <c r="A90" s="42"/>
      <c r="B90" s="42"/>
      <c r="C90" s="42"/>
      <c r="D90" s="42"/>
      <c r="E90" s="42"/>
      <c r="F90" s="83" t="s">
        <v>20</v>
      </c>
      <c r="G90" s="123" t="b">
        <v>1</v>
      </c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</row>
    <row r="91">
      <c r="A91" s="42"/>
      <c r="B91" s="42"/>
      <c r="C91" s="42"/>
      <c r="D91" s="42"/>
      <c r="E91" s="42"/>
      <c r="F91" s="83" t="s">
        <v>19</v>
      </c>
      <c r="G91" s="123" t="b">
        <v>1</v>
      </c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</row>
    <row r="92">
      <c r="A92" s="164"/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</row>
    <row r="9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</row>
    <row r="94">
      <c r="A94" s="178">
        <v>45444.0</v>
      </c>
      <c r="B94" s="42" t="s">
        <v>1698</v>
      </c>
      <c r="C94" s="42" t="s">
        <v>1699</v>
      </c>
      <c r="D94" s="83" t="s">
        <v>28</v>
      </c>
      <c r="E94" s="42"/>
      <c r="F94" s="83" t="s">
        <v>1700</v>
      </c>
      <c r="G94" s="83" t="b">
        <v>1</v>
      </c>
      <c r="H94" s="83" t="s">
        <v>28</v>
      </c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</row>
    <row r="95">
      <c r="A95" s="42"/>
      <c r="B95" s="42"/>
      <c r="C95" s="42"/>
      <c r="D95" s="42"/>
      <c r="E95" s="42"/>
      <c r="F95" s="83" t="s">
        <v>1701</v>
      </c>
      <c r="G95" s="83" t="b">
        <v>1</v>
      </c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</row>
    <row r="96">
      <c r="A96" s="42"/>
      <c r="B96" s="42"/>
      <c r="C96" s="42"/>
      <c r="D96" s="42"/>
      <c r="E96" s="42"/>
      <c r="F96" s="83" t="s">
        <v>15</v>
      </c>
      <c r="G96" s="83" t="b">
        <v>1</v>
      </c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</row>
    <row r="97">
      <c r="A97" s="42"/>
      <c r="B97" s="42"/>
      <c r="C97" s="42"/>
      <c r="D97" s="42"/>
      <c r="E97" s="42"/>
      <c r="F97" s="83" t="s">
        <v>19</v>
      </c>
      <c r="G97" s="83" t="b">
        <v>0</v>
      </c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</row>
    <row r="98">
      <c r="A98" s="42"/>
      <c r="B98" s="42"/>
      <c r="C98" s="42"/>
      <c r="D98" s="42"/>
      <c r="E98" s="42"/>
      <c r="F98" s="83" t="s">
        <v>20</v>
      </c>
      <c r="G98" s="42" t="b">
        <v>0</v>
      </c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</row>
    <row r="99">
      <c r="A99" s="164"/>
      <c r="B99" s="164"/>
      <c r="C99" s="164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  <c r="AA99" s="164"/>
      <c r="AB99" s="164"/>
      <c r="AC99" s="164"/>
      <c r="AD99" s="164"/>
    </row>
    <row r="100">
      <c r="A100" s="178">
        <v>45444.0</v>
      </c>
      <c r="B100" s="42" t="s">
        <v>1702</v>
      </c>
      <c r="C100" s="42"/>
      <c r="D100" s="83" t="s">
        <v>28</v>
      </c>
      <c r="E100" s="42"/>
      <c r="F100" s="83" t="s">
        <v>1703</v>
      </c>
      <c r="G100" s="80" t="b">
        <v>1</v>
      </c>
      <c r="H100" s="83" t="s">
        <v>28</v>
      </c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</row>
    <row r="101">
      <c r="A101" s="42"/>
      <c r="B101" s="42"/>
      <c r="C101" s="42"/>
      <c r="D101" s="42"/>
      <c r="E101" s="42"/>
      <c r="F101" s="42" t="s">
        <v>15</v>
      </c>
      <c r="G101" s="80" t="b">
        <v>1</v>
      </c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</row>
    <row r="102">
      <c r="A102" s="42"/>
      <c r="B102" s="42"/>
      <c r="C102" s="42"/>
      <c r="D102" s="42"/>
      <c r="E102" s="42"/>
      <c r="F102" s="42" t="s">
        <v>2</v>
      </c>
      <c r="G102" s="80" t="b">
        <v>1</v>
      </c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</row>
    <row r="103">
      <c r="A103" s="42"/>
      <c r="B103" s="42"/>
      <c r="C103" s="42"/>
      <c r="D103" s="42"/>
      <c r="E103" s="42"/>
      <c r="F103" s="42" t="s">
        <v>1563</v>
      </c>
      <c r="G103" s="80" t="b">
        <v>0</v>
      </c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</row>
    <row r="104">
      <c r="A104" s="42"/>
      <c r="B104" s="42"/>
      <c r="C104" s="42"/>
      <c r="D104" s="42"/>
      <c r="E104" s="42"/>
      <c r="F104" s="83" t="s">
        <v>1704</v>
      </c>
      <c r="G104" s="86" t="b">
        <v>1</v>
      </c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</row>
    <row r="105">
      <c r="A105" s="164"/>
      <c r="B105" s="164"/>
      <c r="C105" s="164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  <c r="AD105" s="164"/>
    </row>
    <row r="106">
      <c r="A106" s="179">
        <v>45505.0</v>
      </c>
      <c r="B106" s="83" t="s">
        <v>1607</v>
      </c>
      <c r="C106" s="83" t="s">
        <v>1608</v>
      </c>
      <c r="D106" s="83" t="s">
        <v>45</v>
      </c>
      <c r="E106" s="42"/>
      <c r="F106" s="83" t="s">
        <v>1705</v>
      </c>
      <c r="G106" s="83" t="b">
        <v>1</v>
      </c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</row>
    <row r="107">
      <c r="A107" s="42"/>
      <c r="B107" s="42"/>
      <c r="C107" s="42"/>
      <c r="D107" s="42"/>
      <c r="E107" s="42"/>
      <c r="F107" s="83" t="s">
        <v>1706</v>
      </c>
      <c r="G107" s="83" t="b">
        <v>1</v>
      </c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</row>
    <row r="108">
      <c r="A108" s="42"/>
      <c r="B108" s="42"/>
      <c r="C108" s="42"/>
      <c r="D108" s="42"/>
      <c r="E108" s="42"/>
      <c r="F108" s="83" t="s">
        <v>1707</v>
      </c>
      <c r="G108" s="83" t="b">
        <v>1</v>
      </c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</row>
    <row r="109">
      <c r="A109" s="42"/>
      <c r="B109" s="42"/>
      <c r="C109" s="42"/>
      <c r="D109" s="42"/>
      <c r="E109" s="42"/>
      <c r="F109" s="83" t="s">
        <v>1708</v>
      </c>
      <c r="G109" s="83" t="b">
        <v>1</v>
      </c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</row>
    <row r="110">
      <c r="A110" s="42"/>
      <c r="B110" s="42"/>
      <c r="C110" s="42"/>
      <c r="D110" s="42"/>
      <c r="E110" s="42"/>
      <c r="F110" s="83" t="s">
        <v>1562</v>
      </c>
      <c r="G110" s="83" t="b">
        <v>1</v>
      </c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</row>
    <row r="111">
      <c r="A111" s="42"/>
      <c r="B111" s="42"/>
      <c r="C111" s="42"/>
      <c r="D111" s="42"/>
      <c r="E111" s="42"/>
      <c r="F111" s="83" t="s">
        <v>2</v>
      </c>
      <c r="G111" s="83" t="b">
        <v>1</v>
      </c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</row>
    <row r="112">
      <c r="A112" s="42"/>
      <c r="B112" s="42"/>
      <c r="C112" s="42"/>
      <c r="D112" s="42"/>
      <c r="E112" s="42"/>
      <c r="F112" s="83" t="s">
        <v>1576</v>
      </c>
      <c r="G112" s="83" t="b">
        <v>1</v>
      </c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</row>
    <row r="113">
      <c r="A113" s="42"/>
      <c r="B113" s="42"/>
      <c r="C113" s="42"/>
      <c r="D113" s="42"/>
      <c r="E113" s="42"/>
      <c r="F113" s="83" t="s">
        <v>1563</v>
      </c>
      <c r="G113" s="42" t="b">
        <v>0</v>
      </c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</row>
    <row r="114">
      <c r="A114" s="164"/>
      <c r="B114" s="164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  <c r="AC114" s="164"/>
      <c r="AD114" s="164"/>
    </row>
    <row r="115">
      <c r="A115" s="179">
        <v>45505.0</v>
      </c>
      <c r="B115" s="83" t="s">
        <v>1607</v>
      </c>
      <c r="C115" s="83" t="s">
        <v>458</v>
      </c>
      <c r="D115" s="83" t="s">
        <v>45</v>
      </c>
      <c r="E115" s="42"/>
      <c r="F115" s="83" t="s">
        <v>1705</v>
      </c>
      <c r="G115" s="83" t="b">
        <v>1</v>
      </c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</row>
    <row r="116">
      <c r="A116" s="42"/>
      <c r="B116" s="42"/>
      <c r="C116" s="42"/>
      <c r="D116" s="42"/>
      <c r="E116" s="42"/>
      <c r="F116" s="83" t="s">
        <v>1709</v>
      </c>
      <c r="G116" s="83" t="b">
        <v>1</v>
      </c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</row>
    <row r="117">
      <c r="A117" s="42"/>
      <c r="B117" s="42"/>
      <c r="C117" s="42"/>
      <c r="D117" s="42"/>
      <c r="E117" s="42"/>
      <c r="F117" s="83" t="s">
        <v>1710</v>
      </c>
      <c r="G117" s="83" t="b">
        <v>1</v>
      </c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</row>
    <row r="118">
      <c r="A118" s="42"/>
      <c r="B118" s="42"/>
      <c r="C118" s="42"/>
      <c r="D118" s="42"/>
      <c r="E118" s="42"/>
      <c r="G118" s="83" t="b">
        <v>1</v>
      </c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</row>
    <row r="119">
      <c r="A119" s="42"/>
      <c r="B119" s="42"/>
      <c r="C119" s="42"/>
      <c r="D119" s="42"/>
      <c r="E119" s="42"/>
      <c r="F119" s="83" t="s">
        <v>1562</v>
      </c>
      <c r="G119" s="83" t="b">
        <v>1</v>
      </c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</row>
    <row r="120">
      <c r="A120" s="42"/>
      <c r="B120" s="42"/>
      <c r="C120" s="42"/>
      <c r="D120" s="42"/>
      <c r="E120" s="42"/>
      <c r="F120" s="83" t="s">
        <v>2</v>
      </c>
      <c r="G120" s="42" t="b">
        <v>0</v>
      </c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</row>
    <row r="121">
      <c r="A121" s="42"/>
      <c r="B121" s="42"/>
      <c r="C121" s="42"/>
      <c r="D121" s="42"/>
      <c r="E121" s="42"/>
      <c r="F121" s="83" t="s">
        <v>1576</v>
      </c>
      <c r="G121" s="42" t="b">
        <v>0</v>
      </c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</row>
    <row r="122">
      <c r="A122" s="42"/>
      <c r="B122" s="42"/>
      <c r="C122" s="42"/>
      <c r="D122" s="42"/>
      <c r="E122" s="42"/>
      <c r="F122" s="83" t="s">
        <v>1563</v>
      </c>
      <c r="G122" s="42" t="b">
        <v>0</v>
      </c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</row>
    <row r="123">
      <c r="A123" s="177"/>
      <c r="B123" s="177"/>
      <c r="C123" s="177"/>
      <c r="D123" s="177"/>
      <c r="E123" s="177"/>
      <c r="F123" s="177"/>
      <c r="G123" s="177"/>
      <c r="H123" s="177"/>
      <c r="I123" s="177"/>
      <c r="J123" s="177"/>
      <c r="K123" s="177"/>
      <c r="L123" s="177"/>
      <c r="M123" s="177"/>
      <c r="N123" s="177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  <c r="Y123" s="177"/>
      <c r="Z123" s="177"/>
      <c r="AA123" s="177"/>
      <c r="AB123" s="177"/>
      <c r="AC123" s="177"/>
      <c r="AD123" s="177"/>
    </row>
    <row r="124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</row>
    <row r="125">
      <c r="A125" s="178">
        <v>45474.0</v>
      </c>
      <c r="B125" s="42" t="s">
        <v>610</v>
      </c>
      <c r="C125" s="42"/>
      <c r="D125" s="83" t="s">
        <v>28</v>
      </c>
      <c r="E125" s="42"/>
      <c r="F125" s="42" t="s">
        <v>1711</v>
      </c>
      <c r="G125" s="123" t="b">
        <v>1</v>
      </c>
      <c r="H125" s="83" t="s">
        <v>28</v>
      </c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</row>
    <row r="126">
      <c r="A126" s="42"/>
      <c r="B126" s="42"/>
      <c r="C126" s="42"/>
      <c r="D126" s="42"/>
      <c r="E126" s="42"/>
      <c r="F126" s="42" t="s">
        <v>15</v>
      </c>
      <c r="G126" s="128" t="b">
        <v>1</v>
      </c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</row>
    <row r="127">
      <c r="A127" s="42"/>
      <c r="B127" s="42"/>
      <c r="C127" s="42"/>
      <c r="D127" s="42"/>
      <c r="E127" s="42"/>
      <c r="F127" s="42" t="s">
        <v>1566</v>
      </c>
      <c r="G127" s="123" t="b">
        <v>1</v>
      </c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</row>
    <row r="128">
      <c r="A128" s="42"/>
      <c r="B128" s="42"/>
      <c r="C128" s="42"/>
      <c r="D128" s="42"/>
      <c r="E128" s="42"/>
      <c r="F128" s="42" t="s">
        <v>1197</v>
      </c>
      <c r="G128" s="123" t="b">
        <v>1</v>
      </c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</row>
    <row r="129">
      <c r="A129" s="42"/>
      <c r="B129" s="42"/>
      <c r="C129" s="42"/>
      <c r="D129" s="42"/>
      <c r="E129" s="42"/>
      <c r="F129" s="42" t="s">
        <v>1579</v>
      </c>
      <c r="G129" s="128" t="b">
        <v>0</v>
      </c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</row>
    <row r="130">
      <c r="A130" s="164"/>
      <c r="B130" s="164"/>
      <c r="C130" s="164"/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  <c r="AC130" s="164"/>
      <c r="AD130" s="164"/>
    </row>
    <row r="13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</row>
    <row r="132">
      <c r="A132" s="178">
        <v>45383.0</v>
      </c>
      <c r="B132" s="42" t="s">
        <v>1712</v>
      </c>
      <c r="C132" s="42" t="s">
        <v>1713</v>
      </c>
      <c r="D132" s="83" t="s">
        <v>28</v>
      </c>
      <c r="E132" s="42"/>
      <c r="F132" s="42" t="s">
        <v>1714</v>
      </c>
      <c r="G132" s="128" t="b">
        <v>1</v>
      </c>
      <c r="H132" s="83" t="s">
        <v>28</v>
      </c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</row>
    <row r="133">
      <c r="A133" s="42"/>
      <c r="B133" s="42"/>
      <c r="C133" s="42"/>
      <c r="D133" s="42"/>
      <c r="E133" s="42"/>
      <c r="F133" s="42" t="s">
        <v>1715</v>
      </c>
      <c r="G133" s="128" t="b">
        <v>1</v>
      </c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</row>
    <row r="134">
      <c r="A134" s="42"/>
      <c r="B134" s="42"/>
      <c r="C134" s="42"/>
      <c r="D134" s="42"/>
      <c r="E134" s="42"/>
      <c r="F134" s="42" t="s">
        <v>1716</v>
      </c>
      <c r="G134" s="128" t="b">
        <v>1</v>
      </c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</row>
    <row r="135">
      <c r="A135" s="42"/>
      <c r="B135" s="42"/>
      <c r="C135" s="42"/>
      <c r="D135" s="42"/>
      <c r="E135" s="42"/>
      <c r="F135" s="42"/>
      <c r="G135" s="128" t="b">
        <v>1</v>
      </c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</row>
    <row r="136">
      <c r="A136" s="42"/>
      <c r="B136" s="42"/>
      <c r="C136" s="42"/>
      <c r="D136" s="42"/>
      <c r="E136" s="42"/>
      <c r="F136" s="42" t="s">
        <v>1717</v>
      </c>
      <c r="G136" s="128" t="b">
        <v>1</v>
      </c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</row>
    <row r="137">
      <c r="A137" s="42"/>
      <c r="B137" s="42"/>
      <c r="C137" s="42"/>
      <c r="D137" s="42"/>
      <c r="E137" s="42"/>
      <c r="F137" s="42" t="s">
        <v>1718</v>
      </c>
      <c r="G137" s="128" t="b">
        <v>1</v>
      </c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</row>
    <row r="138">
      <c r="A138" s="42"/>
      <c r="B138" s="42"/>
      <c r="C138" s="42"/>
      <c r="D138" s="42"/>
      <c r="E138" s="42"/>
      <c r="F138" s="42" t="s">
        <v>1719</v>
      </c>
      <c r="G138" s="123" t="b">
        <v>1</v>
      </c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</row>
    <row r="139">
      <c r="A139" s="42"/>
      <c r="B139" s="42"/>
      <c r="C139" s="42"/>
      <c r="D139" s="42"/>
      <c r="E139" s="42"/>
      <c r="F139" s="83" t="s">
        <v>1720</v>
      </c>
      <c r="G139" s="128" t="b">
        <v>0</v>
      </c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</row>
    <row r="140">
      <c r="A140" s="42"/>
      <c r="B140" s="42"/>
      <c r="C140" s="42"/>
      <c r="D140" s="42"/>
      <c r="E140" s="42"/>
      <c r="F140" s="42" t="s">
        <v>2</v>
      </c>
      <c r="G140" s="128" t="b">
        <v>1</v>
      </c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</row>
    <row r="141">
      <c r="A141" s="42"/>
      <c r="B141" s="42"/>
      <c r="C141" s="42"/>
      <c r="D141" s="42"/>
      <c r="E141" s="42"/>
      <c r="F141" s="42" t="s">
        <v>1563</v>
      </c>
      <c r="G141" s="128" t="b">
        <v>1</v>
      </c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</row>
    <row r="142">
      <c r="A142" s="164"/>
      <c r="B142" s="164"/>
      <c r="C142" s="164"/>
      <c r="D142" s="164"/>
      <c r="E142" s="164"/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  <c r="AA142" s="164"/>
      <c r="AB142" s="164"/>
      <c r="AC142" s="164"/>
      <c r="AD142" s="164"/>
    </row>
    <row r="144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</row>
    <row r="145">
      <c r="A145" s="179">
        <v>45505.0</v>
      </c>
      <c r="B145" s="83" t="s">
        <v>189</v>
      </c>
      <c r="C145" s="83" t="s">
        <v>1721</v>
      </c>
      <c r="D145" s="83" t="s">
        <v>28</v>
      </c>
      <c r="E145" s="180">
        <v>45534.0</v>
      </c>
      <c r="F145" s="83" t="s">
        <v>1722</v>
      </c>
      <c r="G145" s="83" t="b">
        <v>1</v>
      </c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</row>
    <row r="146">
      <c r="A146" s="42"/>
      <c r="B146" s="42"/>
      <c r="C146" s="42"/>
      <c r="D146" s="42"/>
      <c r="E146" s="42"/>
      <c r="F146" s="83" t="s">
        <v>1723</v>
      </c>
      <c r="G146" s="83" t="b">
        <v>1</v>
      </c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</row>
    <row r="147">
      <c r="A147" s="42"/>
      <c r="B147" s="42"/>
      <c r="C147" s="42"/>
      <c r="D147" s="42"/>
      <c r="E147" s="42"/>
      <c r="F147" s="83" t="s">
        <v>1724</v>
      </c>
      <c r="G147" s="83" t="b">
        <v>1</v>
      </c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</row>
    <row r="148">
      <c r="A148" s="42"/>
      <c r="B148" s="42"/>
      <c r="C148" s="42"/>
      <c r="D148" s="42"/>
      <c r="E148" s="42"/>
      <c r="F148" s="83" t="s">
        <v>1725</v>
      </c>
      <c r="G148" s="83" t="b">
        <v>1</v>
      </c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</row>
    <row r="149">
      <c r="A149" s="42"/>
      <c r="B149" s="42"/>
      <c r="C149" s="42"/>
      <c r="D149" s="42"/>
      <c r="E149" s="42"/>
      <c r="F149" s="83" t="s">
        <v>1726</v>
      </c>
      <c r="G149" s="83" t="b">
        <v>1</v>
      </c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</row>
    <row r="150">
      <c r="A150" s="42"/>
      <c r="B150" s="42"/>
      <c r="C150" s="42"/>
      <c r="D150" s="42"/>
      <c r="E150" s="42"/>
      <c r="F150" s="83" t="s">
        <v>1727</v>
      </c>
      <c r="G150" s="83" t="b">
        <v>1</v>
      </c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</row>
    <row r="151">
      <c r="A151" s="42"/>
      <c r="B151" s="42"/>
      <c r="C151" s="42"/>
      <c r="D151" s="42"/>
      <c r="E151" s="42"/>
      <c r="F151" s="83" t="s">
        <v>1728</v>
      </c>
      <c r="G151" s="83" t="b">
        <v>1</v>
      </c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</row>
    <row r="152">
      <c r="A152" s="42"/>
      <c r="B152" s="42"/>
      <c r="C152" s="42"/>
      <c r="D152" s="42"/>
      <c r="E152" s="42"/>
      <c r="F152" s="83" t="s">
        <v>1562</v>
      </c>
      <c r="G152" s="83" t="b">
        <v>1</v>
      </c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</row>
    <row r="153">
      <c r="A153" s="42"/>
      <c r="B153" s="42"/>
      <c r="C153" s="42"/>
      <c r="D153" s="42"/>
      <c r="E153" s="42"/>
      <c r="F153" s="83" t="s">
        <v>1729</v>
      </c>
      <c r="G153" s="83" t="b">
        <v>1</v>
      </c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</row>
    <row r="154">
      <c r="A154" s="42"/>
      <c r="B154" s="42"/>
      <c r="C154" s="42"/>
      <c r="D154" s="42"/>
      <c r="E154" s="42"/>
      <c r="F154" s="83" t="s">
        <v>2</v>
      </c>
      <c r="G154" s="42" t="b">
        <v>0</v>
      </c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</row>
    <row r="155">
      <c r="A155" s="42"/>
      <c r="B155" s="42"/>
      <c r="C155" s="42"/>
      <c r="D155" s="42"/>
      <c r="E155" s="42"/>
      <c r="F155" s="83" t="s">
        <v>1563</v>
      </c>
      <c r="G155" s="83" t="b">
        <v>1</v>
      </c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</row>
    <row r="156">
      <c r="A156" s="42"/>
      <c r="B156" s="42"/>
      <c r="C156" s="42"/>
      <c r="D156" s="42"/>
      <c r="E156" s="42"/>
      <c r="F156" s="42"/>
      <c r="G156" s="42" t="b">
        <v>0</v>
      </c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</row>
    <row r="157">
      <c r="A157" s="177"/>
      <c r="B157" s="177"/>
      <c r="C157" s="177"/>
      <c r="D157" s="177"/>
      <c r="E157" s="177"/>
      <c r="F157" s="177"/>
      <c r="G157" s="177"/>
      <c r="H157" s="177"/>
      <c r="I157" s="177"/>
      <c r="J157" s="177"/>
      <c r="K157" s="177"/>
      <c r="L157" s="177"/>
      <c r="M157" s="177"/>
      <c r="N157" s="177"/>
      <c r="O157" s="177"/>
      <c r="P157" s="177"/>
      <c r="Q157" s="177"/>
      <c r="R157" s="177"/>
      <c r="S157" s="177"/>
      <c r="T157" s="177"/>
      <c r="U157" s="177"/>
      <c r="V157" s="177"/>
      <c r="W157" s="177"/>
      <c r="X157" s="177"/>
      <c r="Y157" s="177"/>
      <c r="Z157" s="177"/>
      <c r="AA157" s="177"/>
      <c r="AB157" s="177"/>
      <c r="AC157" s="177"/>
      <c r="AD157" s="177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</row>
    <row r="160">
      <c r="A160" s="179">
        <v>45505.0</v>
      </c>
      <c r="B160" s="83" t="s">
        <v>666</v>
      </c>
      <c r="C160" s="42"/>
      <c r="D160" s="83" t="s">
        <v>28</v>
      </c>
      <c r="E160" s="180">
        <v>45532.0</v>
      </c>
      <c r="F160" s="83" t="s">
        <v>1730</v>
      </c>
      <c r="G160" s="83" t="b">
        <v>1</v>
      </c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</row>
    <row r="161">
      <c r="A161" s="42"/>
      <c r="B161" s="42"/>
      <c r="C161" s="42"/>
      <c r="D161" s="42"/>
      <c r="E161" s="42"/>
      <c r="F161" s="83" t="s">
        <v>1576</v>
      </c>
      <c r="G161" s="83" t="b">
        <v>1</v>
      </c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</row>
    <row r="162">
      <c r="A162" s="42"/>
      <c r="B162" s="42"/>
      <c r="C162" s="42"/>
      <c r="D162" s="42"/>
      <c r="E162" s="42"/>
      <c r="F162" s="83" t="s">
        <v>1562</v>
      </c>
      <c r="G162" s="83" t="b">
        <v>1</v>
      </c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</row>
    <row r="163">
      <c r="A163" s="42"/>
      <c r="B163" s="42"/>
      <c r="C163" s="42"/>
      <c r="D163" s="42"/>
      <c r="E163" s="42"/>
      <c r="F163" s="83" t="s">
        <v>2</v>
      </c>
      <c r="G163" s="83" t="b">
        <v>1</v>
      </c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</row>
    <row r="164">
      <c r="A164" s="42"/>
      <c r="B164" s="42"/>
      <c r="C164" s="42"/>
      <c r="D164" s="42"/>
      <c r="E164" s="42"/>
      <c r="F164" s="83" t="s">
        <v>1563</v>
      </c>
      <c r="G164" s="42" t="b">
        <v>0</v>
      </c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</row>
    <row r="165">
      <c r="A165" s="164"/>
      <c r="B165" s="164"/>
      <c r="C165" s="164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  <c r="AA165" s="164"/>
      <c r="AB165" s="164"/>
      <c r="AC165" s="164"/>
      <c r="AD165" s="164"/>
    </row>
    <row r="166">
      <c r="A166" s="179">
        <v>45505.0</v>
      </c>
      <c r="B166" s="83" t="s">
        <v>1731</v>
      </c>
      <c r="C166" s="83" t="s">
        <v>1732</v>
      </c>
      <c r="D166" s="83" t="s">
        <v>23</v>
      </c>
      <c r="E166" s="180">
        <v>45533.0</v>
      </c>
      <c r="F166" s="83" t="s">
        <v>1733</v>
      </c>
      <c r="G166" s="83" t="b">
        <v>1</v>
      </c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</row>
    <row r="167">
      <c r="A167" s="42"/>
      <c r="B167" s="42"/>
      <c r="C167" s="42"/>
      <c r="D167" s="42"/>
      <c r="E167" s="42"/>
      <c r="F167" s="83" t="s">
        <v>1734</v>
      </c>
      <c r="G167" s="83" t="b">
        <v>1</v>
      </c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</row>
    <row r="168">
      <c r="A168" s="42"/>
      <c r="B168" s="42"/>
      <c r="C168" s="42"/>
      <c r="D168" s="42"/>
      <c r="E168" s="42"/>
      <c r="F168" s="83" t="s">
        <v>1562</v>
      </c>
      <c r="G168" s="83" t="b">
        <v>1</v>
      </c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</row>
    <row r="169">
      <c r="A169" s="42"/>
      <c r="B169" s="42"/>
      <c r="C169" s="42"/>
      <c r="D169" s="42"/>
      <c r="E169" s="42"/>
      <c r="F169" s="83" t="s">
        <v>2</v>
      </c>
      <c r="G169" s="42" t="b">
        <v>0</v>
      </c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</row>
    <row r="170">
      <c r="A170" s="42"/>
      <c r="B170" s="42"/>
      <c r="C170" s="42"/>
      <c r="D170" s="42"/>
      <c r="E170" s="42"/>
      <c r="F170" s="83" t="s">
        <v>1563</v>
      </c>
      <c r="G170" s="42" t="b">
        <v>0</v>
      </c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</row>
    <row r="171">
      <c r="A171" s="177"/>
      <c r="B171" s="177"/>
      <c r="C171" s="177"/>
      <c r="D171" s="177"/>
      <c r="E171" s="177"/>
      <c r="F171" s="177"/>
      <c r="G171" s="177"/>
      <c r="H171" s="177"/>
      <c r="I171" s="177"/>
      <c r="J171" s="177"/>
      <c r="K171" s="177"/>
      <c r="L171" s="177"/>
      <c r="M171" s="177"/>
      <c r="N171" s="177"/>
      <c r="O171" s="177"/>
      <c r="P171" s="177"/>
      <c r="Q171" s="177"/>
      <c r="R171" s="177"/>
      <c r="S171" s="177"/>
      <c r="T171" s="177"/>
      <c r="U171" s="177"/>
      <c r="V171" s="177"/>
      <c r="W171" s="177"/>
      <c r="X171" s="177"/>
      <c r="Y171" s="177"/>
      <c r="Z171" s="177"/>
      <c r="AA171" s="177"/>
      <c r="AB171" s="177"/>
      <c r="AC171" s="177"/>
      <c r="AD171" s="177"/>
    </row>
    <row r="172">
      <c r="A172" s="179">
        <v>45505.0</v>
      </c>
      <c r="B172" s="83" t="s">
        <v>1735</v>
      </c>
      <c r="C172" s="42"/>
      <c r="D172" s="83" t="s">
        <v>28</v>
      </c>
      <c r="E172" s="42"/>
      <c r="F172" s="83" t="s">
        <v>1736</v>
      </c>
      <c r="G172" s="83" t="b">
        <v>1</v>
      </c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</row>
    <row r="173">
      <c r="A173" s="42"/>
      <c r="B173" s="42"/>
      <c r="C173" s="42"/>
      <c r="D173" s="42"/>
      <c r="E173" s="42"/>
      <c r="F173" s="83" t="s">
        <v>1565</v>
      </c>
      <c r="G173" s="83" t="b">
        <v>1</v>
      </c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</row>
    <row r="174">
      <c r="A174" s="42"/>
      <c r="B174" s="42"/>
      <c r="C174" s="42"/>
      <c r="D174" s="42"/>
      <c r="E174" s="42"/>
      <c r="F174" s="83" t="s">
        <v>1197</v>
      </c>
      <c r="G174" s="83" t="b">
        <v>1</v>
      </c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</row>
    <row r="175">
      <c r="A175" s="42"/>
      <c r="B175" s="42"/>
      <c r="C175" s="42"/>
      <c r="D175" s="42"/>
      <c r="E175" s="42"/>
      <c r="F175" s="83" t="s">
        <v>1612</v>
      </c>
      <c r="G175" s="83" t="b">
        <v>1</v>
      </c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</row>
    <row r="176">
      <c r="A176" s="164"/>
      <c r="B176" s="164"/>
      <c r="C176" s="164"/>
      <c r="D176" s="164"/>
      <c r="E176" s="164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  <c r="AA176" s="164"/>
      <c r="AB176" s="164"/>
      <c r="AC176" s="164"/>
      <c r="AD176" s="164"/>
    </row>
    <row r="177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</row>
    <row r="178">
      <c r="A178" s="179">
        <v>45474.0</v>
      </c>
      <c r="B178" s="42" t="s">
        <v>1737</v>
      </c>
      <c r="C178" s="83" t="s">
        <v>1738</v>
      </c>
      <c r="D178" s="83" t="s">
        <v>23</v>
      </c>
      <c r="E178" s="42"/>
      <c r="F178" s="83" t="s">
        <v>1739</v>
      </c>
      <c r="G178" s="83" t="b">
        <v>1</v>
      </c>
      <c r="H178" s="83" t="s">
        <v>23</v>
      </c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</row>
    <row r="179">
      <c r="A179" s="42"/>
      <c r="B179" s="42"/>
      <c r="C179" s="83">
        <v>7.12980826E8</v>
      </c>
      <c r="D179" s="42"/>
      <c r="E179" s="42"/>
      <c r="F179" s="83" t="s">
        <v>1740</v>
      </c>
      <c r="G179" s="83" t="b">
        <v>1</v>
      </c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</row>
    <row r="180">
      <c r="A180" s="42"/>
      <c r="B180" s="42"/>
      <c r="C180" s="42"/>
      <c r="D180" s="42"/>
      <c r="E180" s="42"/>
      <c r="F180" s="83" t="s">
        <v>1741</v>
      </c>
      <c r="G180" s="83" t="b">
        <v>1</v>
      </c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</row>
    <row r="181">
      <c r="A181" s="42"/>
      <c r="B181" s="42"/>
      <c r="C181" s="42"/>
      <c r="D181" s="42"/>
      <c r="E181" s="42"/>
      <c r="F181" s="83" t="s">
        <v>1742</v>
      </c>
      <c r="G181" s="83" t="b">
        <v>1</v>
      </c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</row>
    <row r="182">
      <c r="A182" s="42"/>
      <c r="B182" s="42"/>
      <c r="C182" s="42"/>
      <c r="D182" s="42"/>
      <c r="E182" s="42"/>
      <c r="F182" s="83" t="s">
        <v>1688</v>
      </c>
      <c r="G182" s="83" t="b">
        <v>1</v>
      </c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</row>
    <row r="183">
      <c r="A183" s="42"/>
      <c r="B183" s="42"/>
      <c r="C183" s="42"/>
      <c r="D183" s="42"/>
      <c r="E183" s="42"/>
      <c r="F183" s="83" t="s">
        <v>1743</v>
      </c>
      <c r="G183" s="83" t="b">
        <v>1</v>
      </c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</row>
    <row r="184">
      <c r="A184" s="42"/>
      <c r="B184" s="42"/>
      <c r="C184" s="42"/>
      <c r="D184" s="42"/>
      <c r="E184" s="42"/>
      <c r="F184" s="83" t="s">
        <v>1563</v>
      </c>
      <c r="G184" s="83" t="b">
        <v>1</v>
      </c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</row>
    <row r="185">
      <c r="A185" s="42"/>
      <c r="B185" s="42"/>
      <c r="C185" s="42"/>
      <c r="D185" s="42"/>
      <c r="E185" s="42"/>
      <c r="F185" s="83" t="s">
        <v>2</v>
      </c>
      <c r="G185" s="42" t="b">
        <v>0</v>
      </c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</row>
    <row r="186">
      <c r="A186" s="177"/>
      <c r="B186" s="177"/>
      <c r="C186" s="177"/>
      <c r="D186" s="177"/>
      <c r="E186" s="177"/>
      <c r="F186" s="177"/>
      <c r="G186" s="177"/>
      <c r="H186" s="177"/>
      <c r="I186" s="177"/>
      <c r="J186" s="177"/>
      <c r="K186" s="177"/>
      <c r="L186" s="177"/>
      <c r="M186" s="177"/>
      <c r="N186" s="177"/>
      <c r="O186" s="177"/>
      <c r="P186" s="177"/>
      <c r="Q186" s="177"/>
      <c r="R186" s="177"/>
      <c r="S186" s="177"/>
      <c r="T186" s="177"/>
      <c r="U186" s="177"/>
      <c r="V186" s="177"/>
      <c r="W186" s="177"/>
      <c r="X186" s="177"/>
      <c r="Y186" s="177"/>
      <c r="Z186" s="177"/>
      <c r="AA186" s="177"/>
      <c r="AB186" s="177"/>
      <c r="AC186" s="177"/>
      <c r="AD186" s="177"/>
    </row>
    <row r="187">
      <c r="A187" s="179">
        <v>45505.0</v>
      </c>
      <c r="B187" s="83" t="s">
        <v>1648</v>
      </c>
      <c r="C187" s="83" t="s">
        <v>1649</v>
      </c>
      <c r="D187" s="83" t="s">
        <v>45</v>
      </c>
      <c r="E187" s="83">
        <v>7.75702777E8</v>
      </c>
      <c r="F187" s="83" t="s">
        <v>1744</v>
      </c>
      <c r="G187" s="83" t="b">
        <v>1</v>
      </c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</row>
    <row r="188">
      <c r="A188" s="179"/>
      <c r="B188" s="83"/>
      <c r="C188" s="83"/>
      <c r="D188" s="83"/>
      <c r="E188" s="83"/>
      <c r="F188" s="83" t="s">
        <v>1745</v>
      </c>
      <c r="G188" s="83" t="b">
        <v>1</v>
      </c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</row>
    <row r="189">
      <c r="A189" s="42"/>
      <c r="B189" s="42"/>
      <c r="C189" s="42"/>
      <c r="D189" s="42"/>
      <c r="E189" s="42"/>
      <c r="F189" s="83" t="s">
        <v>1746</v>
      </c>
      <c r="G189" s="83" t="b">
        <v>1</v>
      </c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</row>
    <row r="190">
      <c r="A190" s="42"/>
      <c r="B190" s="42"/>
      <c r="C190" s="42"/>
      <c r="D190" s="42"/>
      <c r="E190" s="42"/>
      <c r="F190" s="83" t="s">
        <v>1747</v>
      </c>
      <c r="G190" s="83" t="b">
        <v>1</v>
      </c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</row>
    <row r="191">
      <c r="A191" s="42"/>
      <c r="B191" s="42"/>
      <c r="C191" s="42"/>
      <c r="D191" s="42"/>
      <c r="E191" s="42"/>
      <c r="F191" s="83"/>
      <c r="G191" s="83" t="b">
        <v>1</v>
      </c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</row>
    <row r="192">
      <c r="A192" s="42"/>
      <c r="B192" s="42"/>
      <c r="C192" s="42"/>
      <c r="D192" s="42"/>
      <c r="E192" s="42"/>
      <c r="F192" s="83" t="s">
        <v>1748</v>
      </c>
      <c r="G192" s="83" t="b">
        <v>1</v>
      </c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</row>
    <row r="193">
      <c r="A193" s="42"/>
      <c r="B193" s="42"/>
      <c r="C193" s="42"/>
      <c r="D193" s="42"/>
      <c r="E193" s="42"/>
      <c r="F193" s="83" t="s">
        <v>1562</v>
      </c>
      <c r="G193" s="83" t="b">
        <v>1</v>
      </c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</row>
    <row r="194">
      <c r="A194" s="42"/>
      <c r="B194" s="42"/>
      <c r="C194" s="42"/>
      <c r="D194" s="42"/>
      <c r="E194" s="42"/>
      <c r="F194" s="83" t="s">
        <v>2</v>
      </c>
      <c r="G194" s="83" t="b">
        <v>1</v>
      </c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</row>
    <row r="195">
      <c r="A195" s="42"/>
      <c r="B195" s="42"/>
      <c r="C195" s="42"/>
      <c r="D195" s="42"/>
      <c r="E195" s="42"/>
      <c r="F195" s="83" t="s">
        <v>1563</v>
      </c>
      <c r="G195" s="42" t="b">
        <v>0</v>
      </c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6.88"/>
    <col customWidth="1" min="2" max="2" width="20.75"/>
    <col customWidth="1" min="4" max="4" width="34.88"/>
    <col customWidth="1" min="7" max="7" width="17.13"/>
  </cols>
  <sheetData>
    <row r="1">
      <c r="A1" s="134"/>
      <c r="B1" s="133" t="s">
        <v>1749</v>
      </c>
      <c r="C1" s="181" t="s">
        <v>1750</v>
      </c>
      <c r="D1" s="133" t="s">
        <v>1751</v>
      </c>
      <c r="E1" s="133" t="s">
        <v>1752</v>
      </c>
      <c r="F1" s="133" t="s">
        <v>1298</v>
      </c>
      <c r="G1" s="133" t="s">
        <v>1753</v>
      </c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</row>
    <row r="2">
      <c r="A2" s="55" t="s">
        <v>1754</v>
      </c>
      <c r="B2" s="152" t="s">
        <v>1755</v>
      </c>
      <c r="C2" s="182"/>
      <c r="D2" s="135"/>
      <c r="E2" s="135"/>
      <c r="F2" s="135"/>
      <c r="G2" s="135"/>
    </row>
    <row r="3">
      <c r="A3" s="55" t="s">
        <v>1756</v>
      </c>
      <c r="B3" s="152" t="s">
        <v>1757</v>
      </c>
      <c r="C3" s="183" t="s">
        <v>1758</v>
      </c>
      <c r="D3" s="152" t="s">
        <v>1759</v>
      </c>
      <c r="E3" s="152">
        <v>2.000012373E9</v>
      </c>
      <c r="F3" s="135"/>
      <c r="G3" s="152" t="s">
        <v>1105</v>
      </c>
    </row>
    <row r="4">
      <c r="A4" s="55" t="s">
        <v>1760</v>
      </c>
      <c r="B4" s="152" t="s">
        <v>1761</v>
      </c>
      <c r="C4" s="182"/>
      <c r="D4" s="135"/>
      <c r="E4" s="135"/>
      <c r="F4" s="135"/>
      <c r="G4" s="135"/>
    </row>
    <row r="5">
      <c r="A5" s="55" t="s">
        <v>1762</v>
      </c>
      <c r="B5" s="152" t="s">
        <v>802</v>
      </c>
      <c r="C5" s="182"/>
      <c r="D5" s="135"/>
      <c r="E5" s="135"/>
      <c r="F5" s="135"/>
      <c r="G5" s="135"/>
    </row>
    <row r="6">
      <c r="A6" s="55" t="s">
        <v>1763</v>
      </c>
      <c r="B6" s="135"/>
      <c r="C6" s="182"/>
      <c r="D6" s="135"/>
      <c r="E6" s="135"/>
      <c r="F6" s="135"/>
      <c r="G6" s="135"/>
    </row>
    <row r="7">
      <c r="A7" s="55" t="s">
        <v>1764</v>
      </c>
      <c r="B7" s="135"/>
      <c r="C7" s="182"/>
      <c r="D7" s="135"/>
      <c r="E7" s="135"/>
      <c r="F7" s="135"/>
      <c r="G7" s="135"/>
    </row>
    <row r="8">
      <c r="A8" s="55" t="s">
        <v>1765</v>
      </c>
      <c r="B8" s="152" t="s">
        <v>1766</v>
      </c>
      <c r="C8" s="182"/>
      <c r="D8" s="135"/>
      <c r="E8" s="135"/>
      <c r="F8" s="135"/>
      <c r="G8" s="135"/>
    </row>
    <row r="9">
      <c r="A9" s="55" t="s">
        <v>174</v>
      </c>
      <c r="B9" s="152" t="s">
        <v>1767</v>
      </c>
      <c r="C9" s="182"/>
      <c r="D9" s="135"/>
      <c r="E9" s="135"/>
      <c r="F9" s="135"/>
      <c r="G9" s="135"/>
    </row>
    <row r="10">
      <c r="A10" s="55" t="s">
        <v>1768</v>
      </c>
      <c r="B10" s="152" t="s">
        <v>1769</v>
      </c>
      <c r="C10" s="182"/>
      <c r="D10" s="135"/>
      <c r="E10" s="135"/>
      <c r="F10" s="135"/>
      <c r="G10" s="152" t="s">
        <v>1105</v>
      </c>
    </row>
    <row r="11">
      <c r="A11" s="55" t="s">
        <v>1770</v>
      </c>
      <c r="B11" s="152" t="s">
        <v>281</v>
      </c>
      <c r="C11" s="182"/>
      <c r="D11" s="135"/>
      <c r="E11" s="135"/>
      <c r="F11" s="135"/>
      <c r="G11" s="135"/>
    </row>
    <row r="12">
      <c r="A12" s="55" t="s">
        <v>353</v>
      </c>
      <c r="B12" s="152" t="s">
        <v>157</v>
      </c>
      <c r="C12" s="183" t="s">
        <v>1771</v>
      </c>
      <c r="D12" s="135"/>
      <c r="E12" s="152">
        <v>2.001314317E9</v>
      </c>
      <c r="F12" s="152">
        <v>2.20089001E8</v>
      </c>
      <c r="G12" s="152" t="s">
        <v>1105</v>
      </c>
    </row>
    <row r="13">
      <c r="A13" s="55" t="s">
        <v>1772</v>
      </c>
      <c r="B13" s="135"/>
      <c r="C13" s="182"/>
      <c r="D13" s="135"/>
      <c r="E13" s="135"/>
      <c r="F13" s="135"/>
      <c r="G13" s="135"/>
    </row>
    <row r="14">
      <c r="A14" s="55" t="s">
        <v>1773</v>
      </c>
      <c r="B14" s="135"/>
      <c r="C14" s="182"/>
      <c r="D14" s="135"/>
      <c r="E14" s="135"/>
      <c r="F14" s="135"/>
      <c r="G14" s="152" t="s">
        <v>1105</v>
      </c>
    </row>
    <row r="15">
      <c r="A15" s="55" t="s">
        <v>1607</v>
      </c>
      <c r="B15" s="152" t="s">
        <v>458</v>
      </c>
      <c r="C15" s="183" t="s">
        <v>1774</v>
      </c>
      <c r="D15" s="135"/>
      <c r="E15" s="135"/>
      <c r="F15" s="135"/>
      <c r="G15" s="135"/>
    </row>
    <row r="16">
      <c r="A16" s="55" t="s">
        <v>1775</v>
      </c>
      <c r="B16" s="152" t="s">
        <v>1776</v>
      </c>
      <c r="C16" s="183" t="s">
        <v>1777</v>
      </c>
      <c r="D16" s="135"/>
      <c r="E16" s="135"/>
      <c r="F16" s="135"/>
      <c r="G16" s="135"/>
    </row>
    <row r="17">
      <c r="A17" s="55" t="s">
        <v>1778</v>
      </c>
      <c r="B17" s="135"/>
      <c r="C17" s="182"/>
      <c r="D17" s="135"/>
      <c r="E17" s="135"/>
      <c r="F17" s="135"/>
      <c r="G17" s="135"/>
    </row>
    <row r="18">
      <c r="A18" s="55" t="s">
        <v>1779</v>
      </c>
      <c r="B18" s="135"/>
      <c r="C18" s="182"/>
      <c r="D18" s="135"/>
      <c r="E18" s="135"/>
      <c r="F18" s="135"/>
      <c r="G18" s="135"/>
    </row>
    <row r="19">
      <c r="A19" s="55" t="s">
        <v>1712</v>
      </c>
      <c r="B19" s="152" t="s">
        <v>1713</v>
      </c>
      <c r="C19" s="182"/>
      <c r="D19" s="135"/>
      <c r="E19" s="135"/>
      <c r="F19" s="135"/>
      <c r="G19" s="135"/>
    </row>
    <row r="20">
      <c r="A20" s="55" t="s">
        <v>1780</v>
      </c>
      <c r="B20" s="152" t="s">
        <v>1781</v>
      </c>
      <c r="C20" s="182"/>
      <c r="D20" s="135"/>
      <c r="E20" s="135"/>
      <c r="F20" s="135"/>
      <c r="G20" s="135"/>
    </row>
    <row r="21">
      <c r="A21" s="55" t="s">
        <v>1782</v>
      </c>
      <c r="B21" s="135"/>
      <c r="C21" s="182"/>
      <c r="D21" s="135"/>
      <c r="E21" s="135"/>
      <c r="F21" s="135"/>
      <c r="G21" s="135"/>
    </row>
    <row r="22">
      <c r="A22" s="55" t="s">
        <v>1783</v>
      </c>
      <c r="B22" s="135"/>
      <c r="C22" s="182"/>
      <c r="D22" s="135"/>
      <c r="E22" s="135"/>
      <c r="F22" s="135"/>
      <c r="G22" s="135"/>
    </row>
    <row r="23">
      <c r="A23" s="55" t="s">
        <v>1674</v>
      </c>
      <c r="B23" s="152" t="s">
        <v>1784</v>
      </c>
      <c r="C23" s="183" t="s">
        <v>1785</v>
      </c>
      <c r="D23" s="152" t="s">
        <v>1786</v>
      </c>
      <c r="E23" s="152">
        <v>2.000964367E9</v>
      </c>
      <c r="F23" s="152">
        <v>2.20020997E8</v>
      </c>
      <c r="G23" s="152" t="s">
        <v>1013</v>
      </c>
    </row>
    <row r="24">
      <c r="A24" s="55" t="s">
        <v>220</v>
      </c>
      <c r="B24" s="152" t="s">
        <v>1787</v>
      </c>
      <c r="C24" s="183" t="s">
        <v>1788</v>
      </c>
      <c r="D24" s="135"/>
      <c r="E24" s="135"/>
      <c r="F24" s="135"/>
      <c r="G24" s="152" t="s">
        <v>1105</v>
      </c>
    </row>
    <row r="25">
      <c r="A25" s="55" t="s">
        <v>1789</v>
      </c>
      <c r="B25" s="135"/>
      <c r="C25" s="182"/>
      <c r="D25" s="135"/>
      <c r="E25" s="135"/>
      <c r="F25" s="135"/>
      <c r="G25" s="135"/>
    </row>
    <row r="26">
      <c r="A26" s="55" t="s">
        <v>1790</v>
      </c>
      <c r="B26" s="135"/>
      <c r="C26" s="182"/>
      <c r="D26" s="135"/>
      <c r="E26" s="135"/>
      <c r="F26" s="135"/>
      <c r="G26" s="135"/>
    </row>
    <row r="27">
      <c r="A27" s="55" t="s">
        <v>1791</v>
      </c>
      <c r="B27" s="135"/>
      <c r="C27" s="182"/>
      <c r="D27" s="135"/>
      <c r="E27" s="135"/>
      <c r="F27" s="135"/>
      <c r="G27" s="152" t="s">
        <v>1105</v>
      </c>
    </row>
    <row r="28">
      <c r="A28" s="55" t="s">
        <v>217</v>
      </c>
      <c r="B28" s="135"/>
      <c r="C28" s="182"/>
      <c r="D28" s="135"/>
      <c r="E28" s="135"/>
      <c r="F28" s="135"/>
      <c r="G28" s="135"/>
    </row>
    <row r="29">
      <c r="A29" s="55" t="s">
        <v>1792</v>
      </c>
      <c r="B29" s="135"/>
      <c r="C29" s="182"/>
      <c r="D29" s="135"/>
      <c r="E29" s="135"/>
      <c r="F29" s="135"/>
      <c r="G29" s="135"/>
    </row>
    <row r="30">
      <c r="A30" s="55" t="s">
        <v>1793</v>
      </c>
      <c r="B30" s="152" t="s">
        <v>1794</v>
      </c>
      <c r="C30" s="182"/>
      <c r="D30" s="135"/>
      <c r="E30" s="135"/>
      <c r="F30" s="135"/>
      <c r="G30" s="152" t="s">
        <v>1105</v>
      </c>
    </row>
    <row r="31">
      <c r="A31" s="55" t="s">
        <v>340</v>
      </c>
      <c r="B31" s="135"/>
      <c r="C31" s="182"/>
      <c r="D31" s="135"/>
      <c r="E31" s="135"/>
      <c r="F31" s="135"/>
      <c r="G31" s="135"/>
    </row>
    <row r="32">
      <c r="A32" s="55" t="s">
        <v>1795</v>
      </c>
      <c r="B32" s="152" t="s">
        <v>1796</v>
      </c>
      <c r="C32" s="182"/>
      <c r="D32" s="135"/>
      <c r="E32" s="135"/>
      <c r="F32" s="135"/>
      <c r="G32" s="135"/>
    </row>
    <row r="33">
      <c r="A33" s="55" t="s">
        <v>189</v>
      </c>
      <c r="B33" s="152" t="s">
        <v>1797</v>
      </c>
      <c r="C33" s="183" t="s">
        <v>1798</v>
      </c>
      <c r="D33" s="135"/>
      <c r="E33" s="135"/>
      <c r="F33" s="135"/>
      <c r="G33" s="135"/>
    </row>
    <row r="34">
      <c r="A34" s="55" t="s">
        <v>1799</v>
      </c>
      <c r="B34" s="135"/>
      <c r="C34" s="182"/>
      <c r="D34" s="135"/>
      <c r="E34" s="135"/>
      <c r="F34" s="135"/>
      <c r="G34" s="135"/>
    </row>
    <row r="35">
      <c r="B35" s="135"/>
      <c r="C35" s="182"/>
      <c r="D35" s="135"/>
      <c r="E35" s="135"/>
      <c r="F35" s="135"/>
      <c r="G35" s="135"/>
    </row>
    <row r="36">
      <c r="A36" s="55" t="s">
        <v>1648</v>
      </c>
      <c r="B36" s="152" t="s">
        <v>1800</v>
      </c>
      <c r="C36" s="183" t="s">
        <v>1801</v>
      </c>
      <c r="D36" s="135"/>
      <c r="E36" s="135"/>
      <c r="F36" s="135"/>
      <c r="G36" s="152" t="s">
        <v>1105</v>
      </c>
    </row>
    <row r="37">
      <c r="A37" s="55" t="s">
        <v>1802</v>
      </c>
      <c r="B37" s="152" t="s">
        <v>1803</v>
      </c>
      <c r="C37" s="183" t="s">
        <v>1804</v>
      </c>
      <c r="D37" s="135"/>
      <c r="E37" s="135"/>
      <c r="F37" s="135"/>
      <c r="G37" s="135"/>
    </row>
    <row r="38">
      <c r="A38" s="55" t="s">
        <v>1805</v>
      </c>
      <c r="B38" s="135"/>
      <c r="C38" s="182"/>
      <c r="D38" s="135"/>
      <c r="E38" s="135"/>
      <c r="F38" s="135"/>
      <c r="G38" s="135"/>
    </row>
    <row r="39">
      <c r="A39" s="55" t="s">
        <v>1806</v>
      </c>
      <c r="B39" s="135"/>
      <c r="C39" s="182"/>
      <c r="D39" s="135"/>
      <c r="E39" s="135"/>
      <c r="F39" s="135"/>
      <c r="G39" s="135"/>
    </row>
    <row r="40">
      <c r="A40" s="55" t="s">
        <v>1807</v>
      </c>
      <c r="B40" s="135"/>
      <c r="C40" s="182"/>
      <c r="D40" s="135"/>
      <c r="E40" s="135"/>
      <c r="F40" s="135"/>
      <c r="G40" s="135"/>
    </row>
    <row r="41">
      <c r="A41" s="55" t="s">
        <v>1808</v>
      </c>
      <c r="B41" s="152" t="s">
        <v>1809</v>
      </c>
      <c r="C41" s="183" t="s">
        <v>1810</v>
      </c>
      <c r="D41" s="135"/>
      <c r="E41" s="135"/>
      <c r="F41" s="135"/>
      <c r="G41" s="135"/>
    </row>
    <row r="42">
      <c r="A42" s="55" t="s">
        <v>1811</v>
      </c>
      <c r="B42" s="135"/>
      <c r="C42" s="182"/>
      <c r="D42" s="135"/>
      <c r="E42" s="135"/>
      <c r="F42" s="135"/>
      <c r="G42" s="135"/>
    </row>
    <row r="43">
      <c r="A43" s="55" t="s">
        <v>1812</v>
      </c>
      <c r="B43" s="135"/>
      <c r="C43" s="182"/>
      <c r="D43" s="135"/>
      <c r="E43" s="135"/>
      <c r="F43" s="135"/>
      <c r="G43" s="135"/>
    </row>
    <row r="44">
      <c r="A44" s="55" t="s">
        <v>1813</v>
      </c>
      <c r="B44" s="152" t="s">
        <v>1814</v>
      </c>
      <c r="C44" s="182"/>
      <c r="D44" s="135"/>
      <c r="E44" s="135"/>
      <c r="F44" s="135"/>
      <c r="G44" s="135"/>
    </row>
    <row r="45">
      <c r="A45" s="55" t="s">
        <v>1815</v>
      </c>
      <c r="B45" s="135"/>
      <c r="C45" s="182"/>
      <c r="D45" s="135"/>
      <c r="E45" s="135"/>
      <c r="F45" s="135"/>
      <c r="G45" s="135"/>
    </row>
    <row r="46">
      <c r="A46" s="55" t="s">
        <v>1816</v>
      </c>
      <c r="B46" s="135"/>
      <c r="C46" s="182"/>
      <c r="D46" s="135"/>
      <c r="E46" s="135"/>
      <c r="F46" s="135"/>
      <c r="G46" s="135"/>
    </row>
    <row r="47">
      <c r="A47" s="55" t="s">
        <v>1321</v>
      </c>
      <c r="B47" s="152" t="s">
        <v>1817</v>
      </c>
      <c r="C47" s="182"/>
      <c r="D47" s="135"/>
      <c r="E47" s="135"/>
      <c r="F47" s="135"/>
      <c r="G47" s="135"/>
    </row>
    <row r="48">
      <c r="A48" s="55" t="s">
        <v>1818</v>
      </c>
      <c r="B48" s="135"/>
      <c r="C48" s="182"/>
      <c r="D48" s="135"/>
      <c r="E48" s="135"/>
      <c r="F48" s="135"/>
      <c r="G48" s="135"/>
    </row>
    <row r="49">
      <c r="A49" s="55" t="s">
        <v>1690</v>
      </c>
      <c r="B49" s="152" t="s">
        <v>1691</v>
      </c>
      <c r="C49" s="182"/>
      <c r="D49" s="135"/>
      <c r="E49" s="135"/>
      <c r="F49" s="135"/>
      <c r="G49" s="135"/>
    </row>
    <row r="50">
      <c r="A50" s="55" t="s">
        <v>1819</v>
      </c>
      <c r="B50" s="135"/>
      <c r="C50" s="182"/>
      <c r="D50" s="135"/>
      <c r="E50" s="135"/>
      <c r="F50" s="135"/>
      <c r="G50" s="135"/>
    </row>
    <row r="51">
      <c r="A51" s="55" t="s">
        <v>1820</v>
      </c>
      <c r="B51" s="135"/>
      <c r="C51" s="182"/>
      <c r="D51" s="135"/>
      <c r="E51" s="135"/>
      <c r="F51" s="135"/>
      <c r="G51" s="152" t="s">
        <v>1105</v>
      </c>
    </row>
    <row r="52">
      <c r="A52" s="55" t="s">
        <v>1821</v>
      </c>
      <c r="B52" s="152" t="s">
        <v>1822</v>
      </c>
      <c r="C52" s="182"/>
      <c r="D52" s="135"/>
      <c r="E52" s="135"/>
      <c r="F52" s="135"/>
      <c r="G52" s="135"/>
    </row>
    <row r="53">
      <c r="A53" s="55" t="s">
        <v>209</v>
      </c>
      <c r="B53" s="135"/>
      <c r="C53" s="182"/>
      <c r="D53" s="135"/>
      <c r="E53" s="135"/>
      <c r="F53" s="135"/>
      <c r="G53" s="135"/>
    </row>
    <row r="54">
      <c r="A54" s="55" t="s">
        <v>666</v>
      </c>
      <c r="B54" s="135"/>
      <c r="C54" s="182"/>
      <c r="D54" s="135"/>
      <c r="E54" s="135"/>
      <c r="F54" s="135"/>
      <c r="G54" s="135"/>
    </row>
    <row r="55">
      <c r="A55" s="55" t="s">
        <v>1823</v>
      </c>
      <c r="B55" s="152" t="s">
        <v>1824</v>
      </c>
      <c r="C55" s="183" t="s">
        <v>1825</v>
      </c>
      <c r="D55" s="135"/>
      <c r="E55" s="135"/>
      <c r="F55" s="135"/>
      <c r="G55" s="135"/>
    </row>
    <row r="56">
      <c r="A56" s="55" t="s">
        <v>1826</v>
      </c>
      <c r="B56" s="152" t="s">
        <v>1827</v>
      </c>
      <c r="C56" s="183" t="s">
        <v>1828</v>
      </c>
      <c r="D56" s="135"/>
      <c r="E56" s="135"/>
      <c r="F56" s="135"/>
      <c r="G56" s="135"/>
    </row>
    <row r="57">
      <c r="A57" s="55" t="s">
        <v>1829</v>
      </c>
      <c r="D57" s="135"/>
      <c r="E57" s="135"/>
      <c r="F57" s="135"/>
      <c r="G57" s="135"/>
    </row>
    <row r="58">
      <c r="A58" s="55" t="s">
        <v>1830</v>
      </c>
      <c r="B58" s="152" t="s">
        <v>1831</v>
      </c>
      <c r="C58" s="183" t="s">
        <v>1832</v>
      </c>
      <c r="D58" s="135"/>
      <c r="E58" s="135"/>
      <c r="F58" s="135"/>
      <c r="G58" s="135"/>
    </row>
    <row r="59">
      <c r="A59" s="55" t="s">
        <v>1833</v>
      </c>
      <c r="B59" s="152" t="s">
        <v>1834</v>
      </c>
      <c r="C59" s="182"/>
      <c r="D59" s="135"/>
      <c r="E59" s="135"/>
      <c r="F59" s="135"/>
      <c r="G59" s="135"/>
    </row>
    <row r="60">
      <c r="A60" s="55" t="s">
        <v>1835</v>
      </c>
      <c r="B60" s="135"/>
      <c r="C60" s="182"/>
      <c r="D60" s="135"/>
      <c r="E60" s="135"/>
      <c r="F60" s="135"/>
      <c r="G60" s="135"/>
    </row>
    <row r="61">
      <c r="A61" s="55" t="s">
        <v>1836</v>
      </c>
      <c r="B61" s="152" t="s">
        <v>1837</v>
      </c>
      <c r="C61" s="182"/>
      <c r="D61" s="135"/>
      <c r="E61" s="135"/>
      <c r="F61" s="135"/>
      <c r="G61" s="135"/>
    </row>
    <row r="62">
      <c r="A62" s="55" t="s">
        <v>1838</v>
      </c>
      <c r="B62" s="135"/>
      <c r="C62" s="182"/>
      <c r="D62" s="135"/>
      <c r="E62" s="135"/>
      <c r="F62" s="135"/>
      <c r="G62" s="135"/>
    </row>
    <row r="63">
      <c r="A63" s="55" t="s">
        <v>1839</v>
      </c>
      <c r="B63" s="135"/>
      <c r="C63" s="182"/>
      <c r="D63" s="135"/>
      <c r="E63" s="135"/>
      <c r="F63" s="135"/>
      <c r="G63" s="135"/>
    </row>
    <row r="64">
      <c r="A64" s="55" t="s">
        <v>1840</v>
      </c>
      <c r="B64" s="152" t="s">
        <v>1841</v>
      </c>
      <c r="C64" s="182"/>
      <c r="D64" s="135"/>
      <c r="E64" s="135"/>
      <c r="F64" s="135"/>
      <c r="G64" s="135"/>
    </row>
    <row r="65">
      <c r="A65" s="55" t="s">
        <v>1842</v>
      </c>
      <c r="B65" s="135"/>
      <c r="C65" s="182"/>
      <c r="D65" s="135"/>
      <c r="E65" s="135"/>
      <c r="F65" s="135"/>
      <c r="G65" s="135"/>
    </row>
    <row r="66">
      <c r="A66" s="55" t="s">
        <v>1843</v>
      </c>
      <c r="B66" s="152" t="s">
        <v>1844</v>
      </c>
      <c r="C66" s="183" t="s">
        <v>1845</v>
      </c>
      <c r="D66" s="135"/>
      <c r="E66" s="152">
        <v>2.000752502E9</v>
      </c>
      <c r="F66" s="152">
        <v>2.20220504E8</v>
      </c>
      <c r="G66" s="135"/>
    </row>
    <row r="67">
      <c r="A67" s="55" t="s">
        <v>1846</v>
      </c>
      <c r="B67" s="135"/>
      <c r="C67" s="182"/>
      <c r="D67" s="135"/>
      <c r="E67" s="135"/>
      <c r="F67" s="135"/>
      <c r="G67" s="135"/>
    </row>
    <row r="68">
      <c r="A68" s="55" t="s">
        <v>1847</v>
      </c>
      <c r="B68" s="135"/>
      <c r="C68" s="182"/>
      <c r="D68" s="135"/>
      <c r="E68" s="135"/>
      <c r="F68" s="135"/>
      <c r="G68" s="135"/>
    </row>
    <row r="69">
      <c r="A69" s="55" t="s">
        <v>1848</v>
      </c>
      <c r="B69" s="135"/>
      <c r="C69" s="182"/>
      <c r="D69" s="135"/>
      <c r="E69" s="135"/>
      <c r="F69" s="135"/>
      <c r="G69" s="135"/>
    </row>
    <row r="70">
      <c r="A70" s="55" t="s">
        <v>1849</v>
      </c>
      <c r="B70" s="135"/>
      <c r="C70" s="182"/>
      <c r="D70" s="135"/>
      <c r="E70" s="135"/>
      <c r="F70" s="135"/>
      <c r="G70" s="135"/>
    </row>
    <row r="71">
      <c r="A71" s="55" t="s">
        <v>1850</v>
      </c>
      <c r="B71" s="135"/>
      <c r="C71" s="182"/>
      <c r="D71" s="135"/>
      <c r="E71" s="135"/>
      <c r="F71" s="135"/>
      <c r="G71" s="135"/>
    </row>
    <row r="72">
      <c r="A72" s="55" t="s">
        <v>1851</v>
      </c>
      <c r="B72" s="135"/>
      <c r="C72" s="182"/>
      <c r="D72" s="135"/>
      <c r="E72" s="135"/>
      <c r="F72" s="135"/>
      <c r="G72" s="135"/>
    </row>
    <row r="73">
      <c r="A73" s="55" t="s">
        <v>1852</v>
      </c>
      <c r="B73" s="135"/>
      <c r="C73" s="182"/>
      <c r="D73" s="135"/>
      <c r="E73" s="135"/>
      <c r="F73" s="135"/>
      <c r="G73" s="135"/>
    </row>
    <row r="74">
      <c r="A74" s="55" t="s">
        <v>1853</v>
      </c>
      <c r="B74" s="135"/>
      <c r="C74" s="182"/>
      <c r="D74" s="135"/>
      <c r="E74" s="135"/>
      <c r="F74" s="135"/>
      <c r="G74" s="135"/>
    </row>
    <row r="75">
      <c r="A75" s="55" t="s">
        <v>1854</v>
      </c>
      <c r="B75" s="135"/>
      <c r="C75" s="182"/>
      <c r="D75" s="135"/>
      <c r="E75" s="152">
        <v>2.00018039E9</v>
      </c>
      <c r="F75" s="152">
        <v>2.20063427E8</v>
      </c>
      <c r="G75" s="135"/>
    </row>
    <row r="76">
      <c r="A76" s="55" t="s">
        <v>1855</v>
      </c>
      <c r="B76" s="135"/>
      <c r="C76" s="182"/>
      <c r="D76" s="135"/>
      <c r="E76" s="135"/>
      <c r="F76" s="135"/>
      <c r="G76" s="135"/>
    </row>
    <row r="77">
      <c r="A77" s="55" t="s">
        <v>961</v>
      </c>
      <c r="B77" s="135"/>
      <c r="C77" s="182"/>
      <c r="D77" s="135"/>
      <c r="E77" s="135"/>
      <c r="F77" s="135"/>
      <c r="G77" s="135"/>
    </row>
    <row r="78">
      <c r="A78" s="55" t="s">
        <v>1856</v>
      </c>
      <c r="B78" s="135"/>
      <c r="C78" s="182"/>
      <c r="D78" s="152" t="s">
        <v>171</v>
      </c>
      <c r="E78" s="152">
        <v>2.001744501E9</v>
      </c>
      <c r="F78" s="135"/>
      <c r="G78" s="135"/>
    </row>
    <row r="79">
      <c r="A79" s="55" t="s">
        <v>1857</v>
      </c>
      <c r="B79" s="152" t="s">
        <v>1858</v>
      </c>
      <c r="C79" s="182"/>
      <c r="D79" s="135"/>
      <c r="E79" s="135"/>
      <c r="F79" s="135"/>
      <c r="G79" s="135"/>
    </row>
    <row r="80">
      <c r="A80" s="55" t="s">
        <v>1859</v>
      </c>
      <c r="B80" s="135"/>
      <c r="C80" s="182"/>
      <c r="D80" s="135"/>
      <c r="E80" s="135"/>
      <c r="F80" s="135"/>
      <c r="G80" s="135"/>
    </row>
    <row r="81">
      <c r="A81" s="55" t="s">
        <v>1860</v>
      </c>
      <c r="B81" s="135"/>
      <c r="C81" s="182"/>
      <c r="D81" s="135"/>
      <c r="E81" s="135"/>
      <c r="F81" s="135"/>
      <c r="G81" s="135"/>
    </row>
    <row r="82">
      <c r="A82" s="55" t="s">
        <v>1861</v>
      </c>
      <c r="B82" s="135"/>
      <c r="C82" s="182"/>
      <c r="D82" s="135"/>
      <c r="E82" s="135"/>
      <c r="F82" s="135"/>
      <c r="G82" s="135"/>
    </row>
    <row r="83">
      <c r="A83" s="55" t="s">
        <v>1862</v>
      </c>
      <c r="B83" s="152" t="s">
        <v>1863</v>
      </c>
      <c r="C83" s="182"/>
      <c r="D83" s="135"/>
      <c r="E83" s="135"/>
      <c r="F83" s="135"/>
      <c r="G83" s="135"/>
    </row>
    <row r="84">
      <c r="A84" s="55" t="s">
        <v>1864</v>
      </c>
      <c r="B84" s="135"/>
      <c r="C84" s="182"/>
      <c r="D84" s="135"/>
      <c r="E84" s="135"/>
      <c r="F84" s="135"/>
      <c r="G84" s="135"/>
    </row>
    <row r="85">
      <c r="A85" s="55" t="s">
        <v>1680</v>
      </c>
      <c r="B85" s="152" t="s">
        <v>1865</v>
      </c>
      <c r="C85" s="182"/>
      <c r="D85" s="135"/>
      <c r="E85" s="135"/>
      <c r="F85" s="135"/>
      <c r="G85" s="135"/>
    </row>
    <row r="86">
      <c r="A86" s="55" t="s">
        <v>1866</v>
      </c>
      <c r="B86" s="152" t="s">
        <v>1867</v>
      </c>
      <c r="C86" s="182"/>
      <c r="D86" s="135"/>
      <c r="E86" s="135"/>
      <c r="F86" s="135"/>
      <c r="G86" s="135"/>
    </row>
    <row r="87">
      <c r="A87" s="55" t="s">
        <v>1868</v>
      </c>
      <c r="B87" s="135"/>
      <c r="C87" s="182"/>
      <c r="D87" s="135"/>
      <c r="E87" s="135"/>
      <c r="F87" s="135"/>
      <c r="G87" s="152" t="s">
        <v>1105</v>
      </c>
    </row>
    <row r="88">
      <c r="A88" s="55" t="s">
        <v>1869</v>
      </c>
      <c r="B88" s="135"/>
      <c r="C88" s="182"/>
      <c r="D88" s="135"/>
      <c r="E88" s="135"/>
      <c r="F88" s="135"/>
      <c r="G88" s="135"/>
    </row>
    <row r="89">
      <c r="A89" s="55" t="s">
        <v>1870</v>
      </c>
      <c r="B89" s="135"/>
      <c r="C89" s="182"/>
      <c r="D89" s="135"/>
      <c r="E89" s="135"/>
      <c r="F89" s="135"/>
      <c r="G89" s="135"/>
    </row>
    <row r="90">
      <c r="A90" s="55" t="s">
        <v>1871</v>
      </c>
      <c r="B90" s="135"/>
      <c r="C90" s="182"/>
      <c r="D90" s="135"/>
      <c r="E90" s="135"/>
      <c r="F90" s="135"/>
      <c r="G90" s="135"/>
    </row>
    <row r="91">
      <c r="A91" s="55" t="s">
        <v>1872</v>
      </c>
      <c r="B91" s="152" t="s">
        <v>1699</v>
      </c>
      <c r="C91" s="182"/>
      <c r="D91" s="135"/>
      <c r="E91" s="135"/>
      <c r="F91" s="135"/>
      <c r="G91" s="135"/>
    </row>
    <row r="92">
      <c r="A92" s="55" t="s">
        <v>1873</v>
      </c>
      <c r="B92" s="135"/>
      <c r="C92" s="182"/>
      <c r="D92" s="135"/>
      <c r="E92" s="135"/>
      <c r="F92" s="135"/>
      <c r="G92" s="135"/>
    </row>
    <row r="93">
      <c r="A93" s="55" t="s">
        <v>1874</v>
      </c>
      <c r="B93" s="152"/>
      <c r="C93" s="182"/>
      <c r="D93" s="135"/>
      <c r="E93" s="135"/>
      <c r="F93" s="135"/>
      <c r="G93" s="135"/>
    </row>
    <row r="94">
      <c r="A94" s="55" t="s">
        <v>122</v>
      </c>
      <c r="B94" s="152" t="s">
        <v>1875</v>
      </c>
      <c r="C94" s="182"/>
      <c r="D94" s="135"/>
      <c r="E94" s="135"/>
      <c r="F94" s="135"/>
      <c r="G94" s="135"/>
    </row>
    <row r="95">
      <c r="A95" s="55" t="s">
        <v>1876</v>
      </c>
      <c r="B95" s="135"/>
      <c r="C95" s="182"/>
      <c r="D95" s="135"/>
      <c r="E95" s="135"/>
      <c r="F95" s="135"/>
      <c r="G95" s="135"/>
    </row>
    <row r="96">
      <c r="A96" s="55" t="s">
        <v>1877</v>
      </c>
      <c r="B96" s="152" t="s">
        <v>1878</v>
      </c>
      <c r="C96" s="182"/>
      <c r="D96" s="135"/>
      <c r="E96" s="135"/>
      <c r="F96" s="135"/>
      <c r="G96" s="135"/>
    </row>
    <row r="97">
      <c r="A97" s="55" t="s">
        <v>1879</v>
      </c>
      <c r="B97" s="152" t="s">
        <v>1880</v>
      </c>
      <c r="C97" s="182"/>
      <c r="D97" s="135"/>
      <c r="E97" s="135"/>
      <c r="F97" s="135"/>
      <c r="G97" s="152" t="s">
        <v>1105</v>
      </c>
    </row>
    <row r="98">
      <c r="A98" s="55" t="s">
        <v>1881</v>
      </c>
      <c r="B98" s="135"/>
      <c r="C98" s="182"/>
      <c r="D98" s="135"/>
      <c r="E98" s="135"/>
      <c r="F98" s="135"/>
      <c r="G98" s="135"/>
    </row>
    <row r="99">
      <c r="A99" s="55" t="s">
        <v>1882</v>
      </c>
      <c r="B99" s="135"/>
      <c r="C99" s="182"/>
      <c r="D99" s="135"/>
      <c r="E99" s="135"/>
      <c r="F99" s="135"/>
      <c r="G99" s="152" t="s">
        <v>1105</v>
      </c>
    </row>
    <row r="100">
      <c r="A100" s="55" t="s">
        <v>1883</v>
      </c>
      <c r="B100" s="135"/>
      <c r="C100" s="182"/>
      <c r="D100" s="135"/>
      <c r="E100" s="135"/>
      <c r="F100" s="135"/>
      <c r="G100" s="135"/>
    </row>
    <row r="101">
      <c r="A101" s="55" t="s">
        <v>1884</v>
      </c>
      <c r="B101" s="135"/>
      <c r="C101" s="182"/>
      <c r="D101" s="135"/>
      <c r="E101" s="135"/>
      <c r="F101" s="135"/>
      <c r="G101" s="135"/>
    </row>
    <row r="102">
      <c r="A102" s="55" t="s">
        <v>1885</v>
      </c>
      <c r="B102" s="135"/>
      <c r="C102" s="182"/>
      <c r="D102" s="135"/>
      <c r="E102" s="135"/>
      <c r="F102" s="135"/>
      <c r="G102" s="135"/>
    </row>
    <row r="103">
      <c r="A103" s="55" t="s">
        <v>1886</v>
      </c>
      <c r="B103" s="135"/>
      <c r="C103" s="182"/>
      <c r="D103" s="135"/>
      <c r="E103" s="135"/>
      <c r="F103" s="135"/>
      <c r="G103" s="135"/>
    </row>
    <row r="104">
      <c r="A104" s="55" t="s">
        <v>1887</v>
      </c>
      <c r="B104" s="135"/>
      <c r="C104" s="182"/>
      <c r="D104" s="135"/>
      <c r="E104" s="135"/>
      <c r="F104" s="135"/>
      <c r="G104" s="135"/>
    </row>
    <row r="105">
      <c r="A105" s="55" t="s">
        <v>1888</v>
      </c>
      <c r="B105" s="135"/>
      <c r="C105" s="182"/>
      <c r="D105" s="135"/>
      <c r="E105" s="135"/>
      <c r="F105" s="135"/>
      <c r="G105" s="135"/>
    </row>
    <row r="106">
      <c r="A106" s="55" t="s">
        <v>1889</v>
      </c>
      <c r="B106" s="135"/>
      <c r="C106" s="182"/>
      <c r="D106" s="135"/>
      <c r="E106" s="135"/>
      <c r="F106" s="135"/>
      <c r="G106" s="135"/>
    </row>
    <row r="107">
      <c r="A107" s="55" t="s">
        <v>1890</v>
      </c>
      <c r="B107" s="152" t="s">
        <v>1891</v>
      </c>
      <c r="C107" s="183" t="s">
        <v>1892</v>
      </c>
      <c r="D107" s="152" t="s">
        <v>1893</v>
      </c>
      <c r="E107" s="152">
        <v>2.000011341E9</v>
      </c>
      <c r="F107" s="152">
        <v>2.20023374E8</v>
      </c>
      <c r="G107" s="135"/>
    </row>
    <row r="108">
      <c r="A108" s="55" t="s">
        <v>1894</v>
      </c>
      <c r="B108" s="152" t="s">
        <v>1895</v>
      </c>
      <c r="C108" s="182"/>
      <c r="D108" s="135"/>
      <c r="E108" s="135"/>
      <c r="F108" s="135"/>
      <c r="G108" s="135"/>
    </row>
    <row r="109">
      <c r="A109" s="55" t="s">
        <v>1896</v>
      </c>
      <c r="B109" s="135"/>
      <c r="C109" s="182"/>
      <c r="D109" s="135"/>
      <c r="E109" s="135"/>
      <c r="F109" s="135"/>
      <c r="G109" s="135"/>
    </row>
    <row r="110">
      <c r="A110" s="55" t="s">
        <v>1897</v>
      </c>
      <c r="B110" s="135"/>
      <c r="C110" s="182"/>
      <c r="D110" s="135"/>
      <c r="E110" s="135"/>
      <c r="F110" s="135"/>
      <c r="G110" s="135"/>
    </row>
    <row r="111">
      <c r="A111" s="55" t="s">
        <v>1898</v>
      </c>
      <c r="B111" s="135"/>
      <c r="C111" s="182"/>
      <c r="D111" s="135"/>
      <c r="E111" s="135"/>
      <c r="F111" s="135"/>
      <c r="G111" s="135"/>
    </row>
    <row r="112">
      <c r="A112" s="55" t="s">
        <v>1899</v>
      </c>
      <c r="B112" s="135"/>
      <c r="C112" s="182"/>
      <c r="D112" s="135"/>
      <c r="E112" s="135"/>
      <c r="F112" s="135"/>
      <c r="G112" s="135"/>
    </row>
    <row r="113">
      <c r="A113" s="55" t="s">
        <v>1900</v>
      </c>
      <c r="B113" s="152" t="s">
        <v>1901</v>
      </c>
      <c r="C113" s="182"/>
      <c r="D113" s="135"/>
      <c r="E113" s="135"/>
      <c r="F113" s="135"/>
      <c r="G113" s="135"/>
    </row>
    <row r="114">
      <c r="A114" s="55" t="s">
        <v>1902</v>
      </c>
      <c r="D114" s="135"/>
      <c r="E114" s="135"/>
      <c r="F114" s="135"/>
      <c r="G114" s="135"/>
    </row>
    <row r="115">
      <c r="A115" s="55" t="s">
        <v>1903</v>
      </c>
      <c r="B115" s="135"/>
      <c r="C115" s="182"/>
      <c r="D115" s="135"/>
      <c r="E115" s="135"/>
      <c r="F115" s="135"/>
      <c r="G115" s="152" t="s">
        <v>1105</v>
      </c>
    </row>
    <row r="116">
      <c r="A116" s="55" t="s">
        <v>1598</v>
      </c>
      <c r="B116" s="152" t="s">
        <v>1599</v>
      </c>
      <c r="C116" s="183" t="s">
        <v>1904</v>
      </c>
      <c r="D116" s="135"/>
      <c r="E116" s="152">
        <v>2.0000328924E10</v>
      </c>
      <c r="F116" s="152">
        <v>2.200287403E9</v>
      </c>
      <c r="G116" s="152" t="s">
        <v>1013</v>
      </c>
    </row>
    <row r="117">
      <c r="A117" s="55" t="s">
        <v>1905</v>
      </c>
      <c r="B117" s="135"/>
      <c r="C117" s="182"/>
      <c r="D117" s="135"/>
      <c r="E117" s="135"/>
      <c r="F117" s="135"/>
      <c r="G117" s="135"/>
    </row>
    <row r="118">
      <c r="A118" s="55" t="s">
        <v>1906</v>
      </c>
      <c r="B118" s="135"/>
      <c r="C118" s="182"/>
      <c r="D118" s="135"/>
      <c r="E118" s="135"/>
      <c r="F118" s="135"/>
      <c r="G118" s="135"/>
    </row>
    <row r="119">
      <c r="A119" s="55" t="s">
        <v>1702</v>
      </c>
      <c r="B119" s="152" t="s">
        <v>1907</v>
      </c>
      <c r="C119" s="182"/>
      <c r="D119" s="135"/>
      <c r="E119" s="135"/>
      <c r="F119" s="135"/>
      <c r="G119" s="135"/>
    </row>
    <row r="120">
      <c r="A120" s="55" t="s">
        <v>1908</v>
      </c>
      <c r="B120" s="135"/>
      <c r="C120" s="182"/>
      <c r="D120" s="135"/>
      <c r="E120" s="135"/>
      <c r="F120" s="135"/>
      <c r="G120" s="135"/>
    </row>
    <row r="121">
      <c r="A121" s="55" t="s">
        <v>1909</v>
      </c>
      <c r="B121" s="135"/>
      <c r="C121" s="182"/>
      <c r="D121" s="135"/>
      <c r="E121" s="135"/>
      <c r="F121" s="135"/>
      <c r="G121" s="135"/>
    </row>
    <row r="122">
      <c r="A122" s="55" t="s">
        <v>1590</v>
      </c>
      <c r="B122" s="135"/>
      <c r="C122" s="182"/>
      <c r="D122" s="135"/>
      <c r="E122" s="135"/>
      <c r="F122" s="135"/>
      <c r="G122" s="135"/>
    </row>
    <row r="123">
      <c r="A123" s="55" t="s">
        <v>1910</v>
      </c>
      <c r="B123" s="135"/>
      <c r="C123" s="182"/>
      <c r="D123" s="135"/>
      <c r="E123" s="135"/>
      <c r="F123" s="135"/>
      <c r="G123" s="135"/>
    </row>
    <row r="124">
      <c r="B124" s="135"/>
      <c r="C124" s="182"/>
      <c r="D124" s="135"/>
      <c r="E124" s="135"/>
      <c r="F124" s="135"/>
      <c r="G124" s="135"/>
    </row>
    <row r="125">
      <c r="B125" s="135"/>
      <c r="C125" s="182"/>
      <c r="D125" s="135"/>
      <c r="E125" s="135"/>
      <c r="F125" s="135"/>
      <c r="G125" s="135"/>
    </row>
    <row r="126">
      <c r="B126" s="135"/>
      <c r="C126" s="182"/>
      <c r="D126" s="135"/>
      <c r="E126" s="135"/>
      <c r="F126" s="135"/>
      <c r="G126" s="135"/>
    </row>
    <row r="127">
      <c r="B127" s="135"/>
      <c r="C127" s="182"/>
      <c r="D127" s="135"/>
      <c r="E127" s="135"/>
      <c r="F127" s="135"/>
      <c r="G127" s="135"/>
    </row>
    <row r="128">
      <c r="B128" s="135"/>
      <c r="C128" s="182"/>
      <c r="D128" s="135"/>
      <c r="E128" s="135"/>
      <c r="F128" s="135"/>
      <c r="G128" s="135"/>
    </row>
    <row r="129">
      <c r="B129" s="135"/>
      <c r="C129" s="182"/>
      <c r="D129" s="135"/>
      <c r="E129" s="135"/>
      <c r="F129" s="135"/>
      <c r="G129" s="135"/>
    </row>
    <row r="130">
      <c r="B130" s="135"/>
      <c r="C130" s="182"/>
      <c r="D130" s="135"/>
      <c r="E130" s="135"/>
      <c r="F130" s="135"/>
      <c r="G130" s="135"/>
    </row>
    <row r="131">
      <c r="B131" s="135"/>
      <c r="C131" s="182"/>
      <c r="D131" s="135"/>
      <c r="E131" s="135"/>
      <c r="F131" s="135"/>
      <c r="G131" s="135"/>
    </row>
    <row r="132">
      <c r="B132" s="135"/>
      <c r="C132" s="182"/>
      <c r="D132" s="135"/>
      <c r="E132" s="135"/>
      <c r="F132" s="135"/>
      <c r="G132" s="135"/>
    </row>
    <row r="133">
      <c r="B133" s="135"/>
      <c r="C133" s="182"/>
      <c r="D133" s="135"/>
      <c r="E133" s="135"/>
      <c r="F133" s="135"/>
      <c r="G133" s="135"/>
    </row>
    <row r="134">
      <c r="B134" s="135"/>
      <c r="C134" s="182"/>
      <c r="D134" s="135"/>
      <c r="E134" s="135"/>
      <c r="F134" s="135"/>
      <c r="G134" s="135"/>
    </row>
    <row r="135">
      <c r="B135" s="135"/>
      <c r="C135" s="182"/>
      <c r="D135" s="135"/>
      <c r="E135" s="135"/>
      <c r="F135" s="135"/>
      <c r="G135" s="135"/>
    </row>
    <row r="136">
      <c r="B136" s="135"/>
      <c r="C136" s="182"/>
      <c r="D136" s="135"/>
      <c r="E136" s="135"/>
      <c r="F136" s="135"/>
      <c r="G136" s="135"/>
    </row>
    <row r="137">
      <c r="B137" s="135"/>
      <c r="C137" s="182"/>
      <c r="D137" s="135"/>
      <c r="E137" s="135"/>
      <c r="F137" s="135"/>
      <c r="G137" s="135"/>
    </row>
    <row r="138">
      <c r="B138" s="135"/>
      <c r="C138" s="182"/>
      <c r="D138" s="135"/>
      <c r="E138" s="135"/>
      <c r="F138" s="135"/>
      <c r="G138" s="135"/>
    </row>
    <row r="139">
      <c r="B139" s="135"/>
      <c r="C139" s="182"/>
      <c r="D139" s="135"/>
      <c r="E139" s="135"/>
      <c r="F139" s="135"/>
      <c r="G139" s="135"/>
    </row>
    <row r="140">
      <c r="B140" s="135"/>
      <c r="C140" s="182"/>
      <c r="D140" s="135"/>
      <c r="E140" s="135"/>
      <c r="F140" s="135"/>
      <c r="G140" s="135"/>
    </row>
    <row r="141">
      <c r="B141" s="135"/>
      <c r="C141" s="182"/>
      <c r="D141" s="135"/>
      <c r="E141" s="135"/>
      <c r="F141" s="135"/>
      <c r="G141" s="135"/>
    </row>
    <row r="142">
      <c r="B142" s="135"/>
      <c r="C142" s="182"/>
      <c r="D142" s="135"/>
      <c r="E142" s="135"/>
      <c r="F142" s="135"/>
      <c r="G142" s="135"/>
    </row>
    <row r="143">
      <c r="B143" s="135"/>
      <c r="C143" s="182"/>
      <c r="D143" s="135"/>
      <c r="E143" s="135"/>
      <c r="F143" s="135"/>
      <c r="G143" s="135"/>
    </row>
    <row r="144">
      <c r="B144" s="135"/>
      <c r="C144" s="182"/>
      <c r="D144" s="135"/>
      <c r="E144" s="135"/>
      <c r="F144" s="135"/>
      <c r="G144" s="135"/>
    </row>
    <row r="145">
      <c r="B145" s="135"/>
      <c r="C145" s="182"/>
      <c r="D145" s="135"/>
      <c r="E145" s="135"/>
      <c r="F145" s="135"/>
      <c r="G145" s="135"/>
    </row>
    <row r="146">
      <c r="B146" s="135"/>
      <c r="C146" s="182"/>
      <c r="D146" s="135"/>
      <c r="E146" s="135"/>
      <c r="F146" s="135"/>
      <c r="G146" s="135"/>
    </row>
    <row r="147">
      <c r="B147" s="135"/>
      <c r="C147" s="182"/>
      <c r="D147" s="135"/>
      <c r="E147" s="135"/>
      <c r="F147" s="135"/>
      <c r="G147" s="135"/>
    </row>
    <row r="148">
      <c r="B148" s="135"/>
      <c r="C148" s="182"/>
      <c r="D148" s="135"/>
      <c r="E148" s="135"/>
      <c r="F148" s="135"/>
      <c r="G148" s="135"/>
    </row>
    <row r="149">
      <c r="B149" s="135"/>
      <c r="C149" s="182"/>
      <c r="D149" s="135"/>
      <c r="E149" s="135"/>
      <c r="F149" s="135"/>
      <c r="G149" s="135"/>
    </row>
    <row r="150">
      <c r="B150" s="135"/>
      <c r="C150" s="182"/>
      <c r="D150" s="135"/>
      <c r="E150" s="135"/>
      <c r="F150" s="135"/>
      <c r="G150" s="135"/>
    </row>
    <row r="151">
      <c r="B151" s="135"/>
      <c r="C151" s="182"/>
      <c r="D151" s="135"/>
      <c r="E151" s="135"/>
      <c r="F151" s="135"/>
      <c r="G151" s="135"/>
    </row>
    <row r="152">
      <c r="B152" s="135"/>
      <c r="C152" s="182"/>
      <c r="D152" s="135"/>
      <c r="E152" s="135"/>
      <c r="F152" s="135"/>
      <c r="G152" s="135"/>
    </row>
    <row r="153">
      <c r="B153" s="135"/>
      <c r="C153" s="182"/>
      <c r="D153" s="135"/>
      <c r="E153" s="135"/>
      <c r="F153" s="135"/>
      <c r="G153" s="135"/>
    </row>
    <row r="154">
      <c r="B154" s="135"/>
      <c r="C154" s="182"/>
      <c r="D154" s="135"/>
      <c r="E154" s="135"/>
      <c r="F154" s="135"/>
      <c r="G154" s="135"/>
    </row>
    <row r="155">
      <c r="B155" s="135"/>
      <c r="C155" s="182"/>
      <c r="D155" s="135"/>
      <c r="E155" s="135"/>
      <c r="F155" s="135"/>
      <c r="G155" s="135"/>
    </row>
    <row r="156">
      <c r="B156" s="135"/>
      <c r="C156" s="182"/>
      <c r="D156" s="135"/>
      <c r="E156" s="135"/>
      <c r="F156" s="135"/>
      <c r="G156" s="135"/>
    </row>
    <row r="157">
      <c r="B157" s="135"/>
      <c r="C157" s="182"/>
      <c r="D157" s="135"/>
      <c r="E157" s="135"/>
      <c r="F157" s="135"/>
      <c r="G157" s="135"/>
    </row>
    <row r="158">
      <c r="B158" s="135"/>
      <c r="C158" s="182"/>
      <c r="D158" s="135"/>
      <c r="E158" s="135"/>
      <c r="F158" s="135"/>
      <c r="G158" s="135"/>
    </row>
    <row r="159">
      <c r="B159" s="135"/>
      <c r="C159" s="182"/>
      <c r="D159" s="135"/>
      <c r="E159" s="135"/>
      <c r="F159" s="135"/>
      <c r="G159" s="135"/>
    </row>
    <row r="160">
      <c r="B160" s="135"/>
      <c r="C160" s="182"/>
      <c r="D160" s="135"/>
      <c r="E160" s="135"/>
      <c r="F160" s="135"/>
      <c r="G160" s="135"/>
    </row>
    <row r="161">
      <c r="B161" s="135"/>
      <c r="C161" s="182"/>
      <c r="D161" s="135"/>
      <c r="E161" s="135"/>
      <c r="F161" s="135"/>
      <c r="G161" s="135"/>
    </row>
    <row r="162">
      <c r="B162" s="135"/>
      <c r="C162" s="182"/>
      <c r="D162" s="135"/>
      <c r="E162" s="135"/>
      <c r="F162" s="135"/>
      <c r="G162" s="135"/>
    </row>
    <row r="163">
      <c r="B163" s="135"/>
      <c r="C163" s="182"/>
      <c r="D163" s="135"/>
      <c r="E163" s="135"/>
      <c r="F163" s="135"/>
      <c r="G163" s="135"/>
    </row>
    <row r="164">
      <c r="B164" s="135"/>
      <c r="C164" s="182"/>
      <c r="D164" s="135"/>
      <c r="E164" s="135"/>
      <c r="F164" s="135"/>
      <c r="G164" s="135"/>
    </row>
    <row r="165">
      <c r="B165" s="135"/>
      <c r="C165" s="182"/>
      <c r="D165" s="135"/>
      <c r="E165" s="135"/>
      <c r="F165" s="135"/>
      <c r="G165" s="135"/>
    </row>
    <row r="166">
      <c r="B166" s="135"/>
      <c r="C166" s="182"/>
      <c r="D166" s="135"/>
      <c r="E166" s="135"/>
      <c r="F166" s="135"/>
      <c r="G166" s="135"/>
    </row>
    <row r="167">
      <c r="B167" s="135"/>
      <c r="C167" s="182"/>
      <c r="D167" s="135"/>
      <c r="E167" s="135"/>
      <c r="F167" s="135"/>
      <c r="G167" s="135"/>
    </row>
    <row r="168">
      <c r="B168" s="135"/>
      <c r="C168" s="182"/>
      <c r="D168" s="135"/>
      <c r="E168" s="135"/>
      <c r="F168" s="135"/>
      <c r="G168" s="135"/>
    </row>
    <row r="169">
      <c r="B169" s="135"/>
      <c r="C169" s="182"/>
      <c r="D169" s="135"/>
      <c r="E169" s="135"/>
      <c r="F169" s="135"/>
      <c r="G169" s="135"/>
    </row>
    <row r="170">
      <c r="B170" s="135"/>
      <c r="C170" s="182"/>
      <c r="D170" s="135"/>
      <c r="E170" s="135"/>
      <c r="F170" s="135"/>
      <c r="G170" s="135"/>
    </row>
    <row r="171">
      <c r="B171" s="135"/>
      <c r="C171" s="182"/>
      <c r="D171" s="135"/>
      <c r="E171" s="135"/>
      <c r="F171" s="135"/>
      <c r="G171" s="135"/>
    </row>
    <row r="172">
      <c r="B172" s="135"/>
      <c r="C172" s="182"/>
      <c r="D172" s="135"/>
      <c r="E172" s="135"/>
      <c r="F172" s="135"/>
      <c r="G172" s="135"/>
    </row>
    <row r="173">
      <c r="B173" s="135"/>
      <c r="C173" s="182"/>
      <c r="D173" s="135"/>
      <c r="E173" s="135"/>
      <c r="F173" s="135"/>
      <c r="G173" s="135"/>
    </row>
    <row r="174">
      <c r="B174" s="135"/>
      <c r="C174" s="182"/>
      <c r="D174" s="135"/>
      <c r="E174" s="135"/>
      <c r="F174" s="135"/>
      <c r="G174" s="135"/>
    </row>
    <row r="175">
      <c r="B175" s="135"/>
      <c r="C175" s="182"/>
      <c r="D175" s="135"/>
      <c r="E175" s="135"/>
      <c r="F175" s="135"/>
      <c r="G175" s="135"/>
    </row>
    <row r="176">
      <c r="B176" s="135"/>
      <c r="C176" s="182"/>
      <c r="D176" s="135"/>
      <c r="E176" s="135"/>
      <c r="F176" s="135"/>
      <c r="G176" s="135"/>
    </row>
    <row r="177">
      <c r="B177" s="135"/>
      <c r="C177" s="182"/>
      <c r="D177" s="135"/>
      <c r="E177" s="135"/>
      <c r="F177" s="135"/>
      <c r="G177" s="135"/>
    </row>
    <row r="178">
      <c r="B178" s="135"/>
      <c r="C178" s="182"/>
      <c r="D178" s="135"/>
      <c r="E178" s="135"/>
      <c r="F178" s="135"/>
      <c r="G178" s="135"/>
    </row>
    <row r="179">
      <c r="B179" s="135"/>
      <c r="C179" s="182"/>
      <c r="D179" s="135"/>
      <c r="E179" s="135"/>
      <c r="F179" s="135"/>
      <c r="G179" s="135"/>
    </row>
    <row r="180">
      <c r="B180" s="135"/>
      <c r="C180" s="182"/>
      <c r="D180" s="135"/>
      <c r="E180" s="135"/>
      <c r="F180" s="135"/>
      <c r="G180" s="135"/>
    </row>
    <row r="181">
      <c r="B181" s="135"/>
      <c r="C181" s="182"/>
      <c r="D181" s="135"/>
      <c r="E181" s="135"/>
      <c r="F181" s="135"/>
      <c r="G181" s="135"/>
    </row>
    <row r="182">
      <c r="B182" s="135"/>
      <c r="C182" s="182"/>
      <c r="D182" s="135"/>
      <c r="E182" s="135"/>
      <c r="F182" s="135"/>
      <c r="G182" s="135"/>
    </row>
    <row r="183">
      <c r="B183" s="135"/>
      <c r="C183" s="182"/>
      <c r="D183" s="135"/>
      <c r="E183" s="135"/>
      <c r="F183" s="135"/>
      <c r="G183" s="135"/>
    </row>
    <row r="184">
      <c r="B184" s="135"/>
      <c r="C184" s="182"/>
      <c r="D184" s="135"/>
      <c r="E184" s="135"/>
      <c r="F184" s="135"/>
      <c r="G184" s="135"/>
    </row>
    <row r="185">
      <c r="B185" s="135"/>
      <c r="C185" s="182"/>
      <c r="D185" s="135"/>
      <c r="E185" s="135"/>
      <c r="F185" s="135"/>
      <c r="G185" s="135"/>
    </row>
    <row r="186">
      <c r="B186" s="135"/>
      <c r="C186" s="182"/>
      <c r="D186" s="135"/>
      <c r="E186" s="135"/>
      <c r="F186" s="135"/>
      <c r="G186" s="135"/>
    </row>
    <row r="187">
      <c r="B187" s="135"/>
      <c r="C187" s="182"/>
      <c r="D187" s="135"/>
      <c r="E187" s="135"/>
      <c r="F187" s="135"/>
      <c r="G187" s="135"/>
    </row>
    <row r="188">
      <c r="B188" s="135"/>
      <c r="C188" s="182"/>
      <c r="D188" s="135"/>
      <c r="E188" s="135"/>
      <c r="F188" s="135"/>
      <c r="G188" s="135"/>
    </row>
    <row r="189">
      <c r="B189" s="135"/>
      <c r="C189" s="182"/>
      <c r="D189" s="135"/>
      <c r="E189" s="135"/>
      <c r="F189" s="135"/>
      <c r="G189" s="135"/>
    </row>
    <row r="190">
      <c r="B190" s="135"/>
      <c r="C190" s="182"/>
      <c r="D190" s="135"/>
      <c r="E190" s="135"/>
      <c r="F190" s="135"/>
      <c r="G190" s="135"/>
    </row>
    <row r="191">
      <c r="B191" s="135"/>
      <c r="C191" s="182"/>
      <c r="D191" s="135"/>
      <c r="E191" s="135"/>
      <c r="F191" s="135"/>
      <c r="G191" s="135"/>
    </row>
    <row r="192">
      <c r="B192" s="135"/>
      <c r="C192" s="182"/>
      <c r="D192" s="135"/>
      <c r="E192" s="135"/>
      <c r="F192" s="135"/>
      <c r="G192" s="135"/>
    </row>
    <row r="193">
      <c r="B193" s="135"/>
      <c r="C193" s="182"/>
      <c r="D193" s="135"/>
      <c r="E193" s="135"/>
      <c r="F193" s="135"/>
      <c r="G193" s="135"/>
    </row>
    <row r="194">
      <c r="B194" s="135"/>
      <c r="C194" s="182"/>
      <c r="D194" s="135"/>
      <c r="E194" s="135"/>
      <c r="F194" s="135"/>
      <c r="G194" s="135"/>
    </row>
    <row r="195">
      <c r="B195" s="135"/>
      <c r="C195" s="182"/>
      <c r="D195" s="135"/>
      <c r="E195" s="135"/>
      <c r="F195" s="135"/>
      <c r="G195" s="135"/>
    </row>
    <row r="196">
      <c r="B196" s="135"/>
      <c r="C196" s="182"/>
      <c r="D196" s="135"/>
      <c r="E196" s="135"/>
      <c r="F196" s="135"/>
      <c r="G196" s="135"/>
    </row>
    <row r="197">
      <c r="B197" s="135"/>
      <c r="C197" s="182"/>
      <c r="D197" s="135"/>
      <c r="E197" s="135"/>
      <c r="F197" s="135"/>
      <c r="G197" s="135"/>
    </row>
    <row r="198">
      <c r="B198" s="135"/>
      <c r="C198" s="182"/>
      <c r="D198" s="135"/>
      <c r="E198" s="135"/>
      <c r="F198" s="135"/>
      <c r="G198" s="135"/>
    </row>
    <row r="199">
      <c r="B199" s="135"/>
      <c r="C199" s="182"/>
      <c r="D199" s="135"/>
      <c r="E199" s="135"/>
      <c r="F199" s="135"/>
      <c r="G199" s="135"/>
    </row>
    <row r="200">
      <c r="B200" s="135"/>
      <c r="C200" s="182"/>
      <c r="D200" s="135"/>
      <c r="E200" s="135"/>
      <c r="F200" s="135"/>
      <c r="G200" s="135"/>
    </row>
    <row r="201">
      <c r="B201" s="135"/>
      <c r="C201" s="182"/>
      <c r="D201" s="135"/>
      <c r="E201" s="135"/>
      <c r="F201" s="135"/>
      <c r="G201" s="135"/>
    </row>
    <row r="202">
      <c r="B202" s="135"/>
      <c r="C202" s="182"/>
      <c r="D202" s="135"/>
      <c r="E202" s="135"/>
      <c r="F202" s="135"/>
      <c r="G202" s="135"/>
    </row>
    <row r="203">
      <c r="B203" s="135"/>
      <c r="C203" s="182"/>
      <c r="D203" s="135"/>
      <c r="E203" s="135"/>
      <c r="F203" s="135"/>
      <c r="G203" s="135"/>
    </row>
    <row r="204">
      <c r="B204" s="135"/>
      <c r="C204" s="182"/>
      <c r="D204" s="135"/>
      <c r="E204" s="135"/>
      <c r="F204" s="135"/>
      <c r="G204" s="135"/>
    </row>
    <row r="205">
      <c r="B205" s="135"/>
      <c r="C205" s="182"/>
      <c r="D205" s="135"/>
      <c r="E205" s="135"/>
      <c r="F205" s="135"/>
      <c r="G205" s="135"/>
    </row>
    <row r="206">
      <c r="B206" s="135"/>
      <c r="C206" s="182"/>
      <c r="D206" s="135"/>
      <c r="E206" s="135"/>
      <c r="F206" s="135"/>
      <c r="G206" s="135"/>
    </row>
    <row r="207">
      <c r="B207" s="135"/>
      <c r="C207" s="182"/>
      <c r="D207" s="135"/>
      <c r="E207" s="135"/>
      <c r="F207" s="135"/>
      <c r="G207" s="135"/>
    </row>
    <row r="208">
      <c r="B208" s="135"/>
      <c r="C208" s="182"/>
      <c r="D208" s="135"/>
      <c r="E208" s="135"/>
      <c r="F208" s="135"/>
      <c r="G208" s="135"/>
    </row>
    <row r="209">
      <c r="B209" s="135"/>
      <c r="C209" s="182"/>
      <c r="D209" s="135"/>
      <c r="E209" s="135"/>
      <c r="F209" s="135"/>
      <c r="G209" s="135"/>
    </row>
    <row r="210">
      <c r="B210" s="135"/>
      <c r="C210" s="182"/>
      <c r="D210" s="135"/>
      <c r="E210" s="135"/>
      <c r="F210" s="135"/>
      <c r="G210" s="135"/>
    </row>
    <row r="211">
      <c r="B211" s="135"/>
      <c r="C211" s="182"/>
      <c r="D211" s="135"/>
      <c r="E211" s="135"/>
      <c r="F211" s="135"/>
      <c r="G211" s="135"/>
    </row>
    <row r="212">
      <c r="B212" s="135"/>
      <c r="C212" s="182"/>
      <c r="D212" s="135"/>
      <c r="E212" s="135"/>
      <c r="F212" s="135"/>
      <c r="G212" s="135"/>
    </row>
    <row r="213">
      <c r="B213" s="135"/>
      <c r="C213" s="182"/>
      <c r="D213" s="135"/>
      <c r="E213" s="135"/>
      <c r="F213" s="135"/>
      <c r="G213" s="135"/>
    </row>
    <row r="214">
      <c r="B214" s="135"/>
      <c r="C214" s="182"/>
      <c r="D214" s="135"/>
      <c r="E214" s="135"/>
      <c r="F214" s="135"/>
      <c r="G214" s="135"/>
    </row>
    <row r="215">
      <c r="B215" s="135"/>
      <c r="C215" s="182"/>
      <c r="D215" s="135"/>
      <c r="E215" s="135"/>
      <c r="F215" s="135"/>
      <c r="G215" s="135"/>
    </row>
    <row r="216">
      <c r="B216" s="135"/>
      <c r="C216" s="182"/>
      <c r="D216" s="135"/>
      <c r="E216" s="135"/>
      <c r="F216" s="135"/>
      <c r="G216" s="135"/>
    </row>
    <row r="217">
      <c r="B217" s="135"/>
      <c r="C217" s="182"/>
      <c r="D217" s="135"/>
      <c r="E217" s="135"/>
      <c r="F217" s="135"/>
      <c r="G217" s="135"/>
    </row>
    <row r="218">
      <c r="B218" s="135"/>
      <c r="C218" s="182"/>
      <c r="D218" s="135"/>
      <c r="E218" s="135"/>
      <c r="F218" s="135"/>
      <c r="G218" s="135"/>
    </row>
    <row r="219">
      <c r="B219" s="135"/>
      <c r="C219" s="182"/>
      <c r="D219" s="135"/>
      <c r="E219" s="135"/>
      <c r="F219" s="135"/>
      <c r="G219" s="135"/>
    </row>
    <row r="220">
      <c r="B220" s="135"/>
      <c r="C220" s="182"/>
      <c r="D220" s="135"/>
      <c r="E220" s="135"/>
      <c r="F220" s="135"/>
      <c r="G220" s="135"/>
    </row>
    <row r="221">
      <c r="B221" s="135"/>
      <c r="C221" s="182"/>
      <c r="D221" s="135"/>
      <c r="E221" s="135"/>
      <c r="F221" s="135"/>
      <c r="G221" s="135"/>
    </row>
    <row r="222">
      <c r="B222" s="135"/>
      <c r="C222" s="182"/>
      <c r="D222" s="135"/>
      <c r="E222" s="135"/>
      <c r="F222" s="135"/>
      <c r="G222" s="135"/>
    </row>
    <row r="223">
      <c r="B223" s="135"/>
      <c r="C223" s="182"/>
      <c r="D223" s="135"/>
      <c r="E223" s="135"/>
      <c r="F223" s="135"/>
      <c r="G223" s="135"/>
    </row>
    <row r="224">
      <c r="B224" s="135"/>
      <c r="C224" s="182"/>
      <c r="D224" s="135"/>
      <c r="E224" s="135"/>
      <c r="F224" s="135"/>
      <c r="G224" s="135"/>
    </row>
    <row r="225">
      <c r="B225" s="135"/>
      <c r="C225" s="182"/>
      <c r="D225" s="135"/>
      <c r="E225" s="135"/>
      <c r="F225" s="135"/>
      <c r="G225" s="135"/>
    </row>
    <row r="226">
      <c r="B226" s="135"/>
      <c r="C226" s="182"/>
      <c r="D226" s="135"/>
      <c r="E226" s="135"/>
      <c r="F226" s="135"/>
      <c r="G226" s="135"/>
    </row>
    <row r="227">
      <c r="B227" s="135"/>
      <c r="C227" s="182"/>
      <c r="D227" s="135"/>
      <c r="E227" s="135"/>
      <c r="F227" s="135"/>
      <c r="G227" s="135"/>
    </row>
    <row r="228">
      <c r="B228" s="135"/>
      <c r="C228" s="182"/>
      <c r="D228" s="135"/>
      <c r="E228" s="135"/>
      <c r="F228" s="135"/>
      <c r="G228" s="135"/>
    </row>
    <row r="229">
      <c r="B229" s="135"/>
      <c r="C229" s="182"/>
      <c r="D229" s="135"/>
      <c r="E229" s="135"/>
      <c r="F229" s="135"/>
      <c r="G229" s="135"/>
    </row>
    <row r="230">
      <c r="B230" s="135"/>
      <c r="C230" s="182"/>
      <c r="D230" s="135"/>
      <c r="E230" s="135"/>
      <c r="F230" s="135"/>
      <c r="G230" s="135"/>
    </row>
    <row r="231">
      <c r="B231" s="135"/>
      <c r="C231" s="182"/>
      <c r="D231" s="135"/>
      <c r="E231" s="135"/>
      <c r="F231" s="135"/>
      <c r="G231" s="135"/>
    </row>
    <row r="232">
      <c r="B232" s="135"/>
      <c r="C232" s="182"/>
      <c r="D232" s="135"/>
      <c r="E232" s="135"/>
      <c r="F232" s="135"/>
      <c r="G232" s="135"/>
    </row>
    <row r="233">
      <c r="B233" s="135"/>
      <c r="C233" s="182"/>
      <c r="D233" s="135"/>
      <c r="E233" s="135"/>
      <c r="F233" s="135"/>
      <c r="G233" s="135"/>
    </row>
    <row r="234">
      <c r="B234" s="135"/>
      <c r="C234" s="182"/>
      <c r="D234" s="135"/>
      <c r="E234" s="135"/>
      <c r="F234" s="135"/>
      <c r="G234" s="135"/>
    </row>
    <row r="235">
      <c r="B235" s="135"/>
      <c r="C235" s="182"/>
      <c r="D235" s="135"/>
      <c r="E235" s="135"/>
      <c r="F235" s="135"/>
      <c r="G235" s="135"/>
    </row>
    <row r="236">
      <c r="B236" s="135"/>
      <c r="C236" s="182"/>
      <c r="D236" s="135"/>
      <c r="E236" s="135"/>
      <c r="F236" s="135"/>
      <c r="G236" s="135"/>
    </row>
    <row r="237">
      <c r="B237" s="135"/>
      <c r="C237" s="182"/>
      <c r="D237" s="135"/>
      <c r="E237" s="135"/>
      <c r="F237" s="135"/>
      <c r="G237" s="135"/>
    </row>
    <row r="238">
      <c r="B238" s="135"/>
      <c r="C238" s="182"/>
      <c r="D238" s="135"/>
      <c r="E238" s="135"/>
      <c r="F238" s="135"/>
      <c r="G238" s="135"/>
    </row>
    <row r="239">
      <c r="B239" s="135"/>
      <c r="C239" s="182"/>
      <c r="D239" s="135"/>
      <c r="E239" s="135"/>
      <c r="F239" s="135"/>
      <c r="G239" s="135"/>
    </row>
    <row r="240">
      <c r="B240" s="135"/>
      <c r="C240" s="182"/>
      <c r="D240" s="135"/>
      <c r="E240" s="135"/>
      <c r="F240" s="135"/>
      <c r="G240" s="135"/>
    </row>
    <row r="241">
      <c r="B241" s="135"/>
      <c r="C241" s="182"/>
      <c r="D241" s="135"/>
      <c r="E241" s="135"/>
      <c r="F241" s="135"/>
      <c r="G241" s="135"/>
    </row>
    <row r="242">
      <c r="B242" s="135"/>
      <c r="C242" s="182"/>
      <c r="D242" s="135"/>
      <c r="E242" s="135"/>
      <c r="F242" s="135"/>
      <c r="G242" s="135"/>
    </row>
    <row r="243">
      <c r="B243" s="135"/>
      <c r="C243" s="182"/>
      <c r="D243" s="135"/>
      <c r="E243" s="135"/>
      <c r="F243" s="135"/>
      <c r="G243" s="135"/>
    </row>
    <row r="244">
      <c r="B244" s="135"/>
      <c r="C244" s="182"/>
      <c r="D244" s="135"/>
      <c r="E244" s="135"/>
      <c r="F244" s="135"/>
      <c r="G244" s="135"/>
    </row>
    <row r="245">
      <c r="B245" s="135"/>
      <c r="C245" s="182"/>
      <c r="D245" s="135"/>
      <c r="E245" s="135"/>
      <c r="F245" s="135"/>
      <c r="G245" s="135"/>
    </row>
    <row r="246">
      <c r="B246" s="135"/>
      <c r="C246" s="182"/>
      <c r="D246" s="135"/>
      <c r="E246" s="135"/>
      <c r="F246" s="135"/>
      <c r="G246" s="135"/>
    </row>
    <row r="247">
      <c r="B247" s="135"/>
      <c r="C247" s="182"/>
      <c r="D247" s="135"/>
      <c r="E247" s="135"/>
      <c r="F247" s="135"/>
      <c r="G247" s="135"/>
    </row>
    <row r="248">
      <c r="B248" s="135"/>
      <c r="C248" s="182"/>
      <c r="D248" s="135"/>
      <c r="E248" s="135"/>
      <c r="F248" s="135"/>
      <c r="G248" s="135"/>
    </row>
    <row r="249">
      <c r="B249" s="135"/>
      <c r="C249" s="182"/>
      <c r="D249" s="135"/>
      <c r="E249" s="135"/>
      <c r="F249" s="135"/>
      <c r="G249" s="135"/>
    </row>
    <row r="250">
      <c r="B250" s="135"/>
      <c r="C250" s="182"/>
      <c r="D250" s="135"/>
      <c r="E250" s="135"/>
      <c r="F250" s="135"/>
      <c r="G250" s="135"/>
    </row>
    <row r="251">
      <c r="B251" s="135"/>
      <c r="C251" s="182"/>
      <c r="D251" s="135"/>
      <c r="E251" s="135"/>
      <c r="F251" s="135"/>
      <c r="G251" s="135"/>
    </row>
    <row r="252">
      <c r="B252" s="135"/>
      <c r="C252" s="182"/>
      <c r="D252" s="135"/>
      <c r="E252" s="135"/>
      <c r="F252" s="135"/>
      <c r="G252" s="135"/>
    </row>
    <row r="253">
      <c r="B253" s="135"/>
      <c r="C253" s="182"/>
      <c r="D253" s="135"/>
      <c r="E253" s="135"/>
      <c r="F253" s="135"/>
      <c r="G253" s="135"/>
    </row>
    <row r="254">
      <c r="B254" s="135"/>
      <c r="C254" s="182"/>
      <c r="D254" s="135"/>
      <c r="E254" s="135"/>
      <c r="F254" s="135"/>
      <c r="G254" s="135"/>
    </row>
    <row r="255">
      <c r="B255" s="135"/>
      <c r="C255" s="182"/>
      <c r="D255" s="135"/>
      <c r="E255" s="135"/>
      <c r="F255" s="135"/>
      <c r="G255" s="135"/>
    </row>
    <row r="256">
      <c r="B256" s="135"/>
      <c r="C256" s="182"/>
      <c r="D256" s="135"/>
      <c r="E256" s="135"/>
      <c r="F256" s="135"/>
      <c r="G256" s="135"/>
    </row>
    <row r="257">
      <c r="B257" s="135"/>
      <c r="C257" s="182"/>
      <c r="D257" s="135"/>
      <c r="E257" s="135"/>
      <c r="F257" s="135"/>
      <c r="G257" s="135"/>
    </row>
    <row r="258">
      <c r="B258" s="135"/>
      <c r="C258" s="182"/>
      <c r="D258" s="135"/>
      <c r="E258" s="135"/>
      <c r="F258" s="135"/>
      <c r="G258" s="135"/>
    </row>
    <row r="259">
      <c r="B259" s="135"/>
      <c r="C259" s="182"/>
      <c r="D259" s="135"/>
      <c r="E259" s="135"/>
      <c r="F259" s="135"/>
      <c r="G259" s="135"/>
    </row>
    <row r="260">
      <c r="B260" s="135"/>
      <c r="C260" s="182"/>
      <c r="D260" s="135"/>
      <c r="E260" s="135"/>
      <c r="F260" s="135"/>
      <c r="G260" s="135"/>
    </row>
    <row r="261">
      <c r="B261" s="135"/>
      <c r="C261" s="182"/>
      <c r="D261" s="135"/>
      <c r="E261" s="135"/>
      <c r="F261" s="135"/>
      <c r="G261" s="135"/>
    </row>
    <row r="262">
      <c r="B262" s="135"/>
      <c r="C262" s="182"/>
      <c r="D262" s="135"/>
      <c r="E262" s="135"/>
      <c r="F262" s="135"/>
      <c r="G262" s="135"/>
    </row>
    <row r="263">
      <c r="B263" s="135"/>
      <c r="C263" s="182"/>
      <c r="D263" s="135"/>
      <c r="E263" s="135"/>
      <c r="F263" s="135"/>
      <c r="G263" s="135"/>
    </row>
    <row r="264">
      <c r="B264" s="135"/>
      <c r="C264" s="182"/>
      <c r="D264" s="135"/>
      <c r="E264" s="135"/>
      <c r="F264" s="135"/>
      <c r="G264" s="135"/>
    </row>
    <row r="265">
      <c r="B265" s="135"/>
      <c r="C265" s="182"/>
      <c r="D265" s="135"/>
      <c r="E265" s="135"/>
      <c r="F265" s="135"/>
      <c r="G265" s="135"/>
    </row>
    <row r="266">
      <c r="B266" s="135"/>
      <c r="C266" s="182"/>
      <c r="D266" s="135"/>
      <c r="E266" s="135"/>
      <c r="F266" s="135"/>
      <c r="G266" s="135"/>
    </row>
    <row r="267">
      <c r="B267" s="135"/>
      <c r="C267" s="182"/>
      <c r="D267" s="135"/>
      <c r="E267" s="135"/>
      <c r="F267" s="135"/>
      <c r="G267" s="135"/>
    </row>
    <row r="268">
      <c r="B268" s="135"/>
      <c r="C268" s="182"/>
      <c r="D268" s="135"/>
      <c r="E268" s="135"/>
      <c r="F268" s="135"/>
      <c r="G268" s="135"/>
    </row>
    <row r="269">
      <c r="B269" s="135"/>
      <c r="C269" s="182"/>
      <c r="D269" s="135"/>
      <c r="E269" s="135"/>
      <c r="F269" s="135"/>
      <c r="G269" s="135"/>
    </row>
    <row r="270">
      <c r="B270" s="135"/>
      <c r="C270" s="182"/>
      <c r="D270" s="135"/>
      <c r="E270" s="135"/>
      <c r="F270" s="135"/>
      <c r="G270" s="135"/>
    </row>
    <row r="271">
      <c r="B271" s="135"/>
      <c r="C271" s="182"/>
      <c r="D271" s="135"/>
      <c r="E271" s="135"/>
      <c r="F271" s="135"/>
      <c r="G271" s="135"/>
    </row>
    <row r="272">
      <c r="B272" s="135"/>
      <c r="C272" s="182"/>
      <c r="D272" s="135"/>
      <c r="E272" s="135"/>
      <c r="F272" s="135"/>
      <c r="G272" s="135"/>
    </row>
    <row r="273">
      <c r="B273" s="135"/>
      <c r="C273" s="182"/>
      <c r="D273" s="135"/>
      <c r="E273" s="135"/>
      <c r="F273" s="135"/>
      <c r="G273" s="135"/>
    </row>
    <row r="274">
      <c r="B274" s="135"/>
      <c r="C274" s="182"/>
      <c r="D274" s="135"/>
      <c r="E274" s="135"/>
      <c r="F274" s="135"/>
      <c r="G274" s="135"/>
    </row>
    <row r="275">
      <c r="B275" s="135"/>
      <c r="C275" s="182"/>
      <c r="D275" s="135"/>
      <c r="E275" s="135"/>
      <c r="F275" s="135"/>
      <c r="G275" s="135"/>
    </row>
    <row r="276">
      <c r="B276" s="135"/>
      <c r="C276" s="182"/>
      <c r="D276" s="135"/>
      <c r="E276" s="135"/>
      <c r="F276" s="135"/>
      <c r="G276" s="135"/>
    </row>
    <row r="277">
      <c r="B277" s="135"/>
      <c r="C277" s="182"/>
      <c r="D277" s="135"/>
      <c r="E277" s="135"/>
      <c r="F277" s="135"/>
      <c r="G277" s="135"/>
    </row>
    <row r="278">
      <c r="B278" s="135"/>
      <c r="C278" s="182"/>
      <c r="D278" s="135"/>
      <c r="E278" s="135"/>
      <c r="F278" s="135"/>
      <c r="G278" s="135"/>
    </row>
    <row r="279">
      <c r="B279" s="135"/>
      <c r="C279" s="182"/>
      <c r="D279" s="135"/>
      <c r="E279" s="135"/>
      <c r="F279" s="135"/>
      <c r="G279" s="135"/>
    </row>
    <row r="280">
      <c r="B280" s="135"/>
      <c r="C280" s="182"/>
      <c r="D280" s="135"/>
      <c r="E280" s="135"/>
      <c r="F280" s="135"/>
      <c r="G280" s="135"/>
    </row>
    <row r="281">
      <c r="B281" s="135"/>
      <c r="C281" s="182"/>
      <c r="D281" s="135"/>
      <c r="E281" s="135"/>
      <c r="F281" s="135"/>
      <c r="G281" s="135"/>
    </row>
    <row r="282">
      <c r="B282" s="135"/>
      <c r="C282" s="182"/>
      <c r="D282" s="135"/>
      <c r="E282" s="135"/>
      <c r="F282" s="135"/>
      <c r="G282" s="135"/>
    </row>
    <row r="283">
      <c r="B283" s="135"/>
      <c r="C283" s="182"/>
      <c r="D283" s="135"/>
      <c r="E283" s="135"/>
      <c r="F283" s="135"/>
      <c r="G283" s="135"/>
    </row>
    <row r="284">
      <c r="B284" s="135"/>
      <c r="C284" s="182"/>
      <c r="D284" s="135"/>
      <c r="E284" s="135"/>
      <c r="F284" s="135"/>
      <c r="G284" s="135"/>
    </row>
    <row r="285">
      <c r="B285" s="135"/>
      <c r="C285" s="182"/>
      <c r="D285" s="135"/>
      <c r="E285" s="135"/>
      <c r="F285" s="135"/>
      <c r="G285" s="135"/>
    </row>
    <row r="286">
      <c r="B286" s="135"/>
      <c r="C286" s="182"/>
      <c r="D286" s="135"/>
      <c r="E286" s="135"/>
      <c r="F286" s="135"/>
      <c r="G286" s="135"/>
    </row>
    <row r="287">
      <c r="B287" s="135"/>
      <c r="C287" s="182"/>
      <c r="D287" s="135"/>
      <c r="E287" s="135"/>
      <c r="F287" s="135"/>
      <c r="G287" s="135"/>
    </row>
    <row r="288">
      <c r="B288" s="135"/>
      <c r="C288" s="182"/>
      <c r="D288" s="135"/>
      <c r="E288" s="135"/>
      <c r="F288" s="135"/>
      <c r="G288" s="135"/>
    </row>
    <row r="289">
      <c r="B289" s="135"/>
      <c r="C289" s="182"/>
      <c r="D289" s="135"/>
      <c r="E289" s="135"/>
      <c r="F289" s="135"/>
      <c r="G289" s="135"/>
    </row>
    <row r="290">
      <c r="B290" s="135"/>
      <c r="C290" s="182"/>
      <c r="D290" s="135"/>
      <c r="E290" s="135"/>
      <c r="F290" s="135"/>
      <c r="G290" s="135"/>
    </row>
    <row r="291">
      <c r="B291" s="135"/>
      <c r="C291" s="182"/>
      <c r="D291" s="135"/>
      <c r="E291" s="135"/>
      <c r="F291" s="135"/>
      <c r="G291" s="135"/>
    </row>
    <row r="292">
      <c r="B292" s="135"/>
      <c r="C292" s="182"/>
      <c r="D292" s="135"/>
      <c r="E292" s="135"/>
      <c r="F292" s="135"/>
      <c r="G292" s="135"/>
    </row>
    <row r="293">
      <c r="B293" s="135"/>
      <c r="C293" s="182"/>
      <c r="D293" s="135"/>
      <c r="E293" s="135"/>
      <c r="F293" s="135"/>
      <c r="G293" s="135"/>
    </row>
    <row r="294">
      <c r="B294" s="135"/>
      <c r="C294" s="182"/>
      <c r="D294" s="135"/>
      <c r="E294" s="135"/>
      <c r="F294" s="135"/>
      <c r="G294" s="135"/>
    </row>
    <row r="295">
      <c r="B295" s="135"/>
      <c r="C295" s="182"/>
      <c r="D295" s="135"/>
      <c r="E295" s="135"/>
      <c r="F295" s="135"/>
      <c r="G295" s="135"/>
    </row>
    <row r="296">
      <c r="B296" s="135"/>
      <c r="C296" s="182"/>
      <c r="D296" s="135"/>
      <c r="E296" s="135"/>
      <c r="F296" s="135"/>
      <c r="G296" s="135"/>
    </row>
    <row r="297">
      <c r="B297" s="135"/>
      <c r="C297" s="182"/>
      <c r="D297" s="135"/>
      <c r="E297" s="135"/>
      <c r="F297" s="135"/>
      <c r="G297" s="135"/>
    </row>
    <row r="298">
      <c r="B298" s="135"/>
      <c r="C298" s="182"/>
      <c r="D298" s="135"/>
      <c r="E298" s="135"/>
      <c r="F298" s="135"/>
      <c r="G298" s="135"/>
    </row>
    <row r="299">
      <c r="B299" s="135"/>
      <c r="C299" s="182"/>
      <c r="D299" s="135"/>
      <c r="E299" s="135"/>
      <c r="F299" s="135"/>
      <c r="G299" s="135"/>
    </row>
    <row r="300">
      <c r="B300" s="135"/>
      <c r="C300" s="182"/>
      <c r="D300" s="135"/>
      <c r="E300" s="135"/>
      <c r="F300" s="135"/>
      <c r="G300" s="135"/>
    </row>
    <row r="301">
      <c r="B301" s="135"/>
      <c r="C301" s="182"/>
      <c r="D301" s="135"/>
      <c r="E301" s="135"/>
      <c r="F301" s="135"/>
      <c r="G301" s="135"/>
    </row>
    <row r="302">
      <c r="B302" s="135"/>
      <c r="C302" s="182"/>
      <c r="D302" s="135"/>
      <c r="E302" s="135"/>
      <c r="F302" s="135"/>
      <c r="G302" s="135"/>
    </row>
    <row r="303">
      <c r="B303" s="135"/>
      <c r="C303" s="182"/>
      <c r="D303" s="135"/>
      <c r="E303" s="135"/>
      <c r="F303" s="135"/>
      <c r="G303" s="135"/>
    </row>
    <row r="304">
      <c r="B304" s="135"/>
      <c r="C304" s="182"/>
      <c r="D304" s="135"/>
      <c r="E304" s="135"/>
      <c r="F304" s="135"/>
      <c r="G304" s="135"/>
    </row>
    <row r="305">
      <c r="B305" s="135"/>
      <c r="C305" s="182"/>
      <c r="D305" s="135"/>
      <c r="E305" s="135"/>
      <c r="F305" s="135"/>
      <c r="G305" s="135"/>
    </row>
    <row r="306">
      <c r="B306" s="135"/>
      <c r="C306" s="182"/>
      <c r="D306" s="135"/>
      <c r="E306" s="135"/>
      <c r="F306" s="135"/>
      <c r="G306" s="135"/>
    </row>
    <row r="307">
      <c r="B307" s="135"/>
      <c r="C307" s="182"/>
      <c r="D307" s="135"/>
      <c r="E307" s="135"/>
      <c r="F307" s="135"/>
      <c r="G307" s="135"/>
    </row>
    <row r="308">
      <c r="B308" s="135"/>
      <c r="C308" s="182"/>
      <c r="D308" s="135"/>
      <c r="E308" s="135"/>
      <c r="F308" s="135"/>
      <c r="G308" s="135"/>
    </row>
    <row r="309">
      <c r="B309" s="135"/>
      <c r="C309" s="182"/>
      <c r="D309" s="135"/>
      <c r="E309" s="135"/>
      <c r="F309" s="135"/>
      <c r="G309" s="135"/>
    </row>
    <row r="310">
      <c r="B310" s="135"/>
      <c r="C310" s="182"/>
      <c r="D310" s="135"/>
      <c r="E310" s="135"/>
      <c r="F310" s="135"/>
      <c r="G310" s="135"/>
    </row>
    <row r="311">
      <c r="B311" s="135"/>
      <c r="C311" s="182"/>
      <c r="D311" s="135"/>
      <c r="E311" s="135"/>
      <c r="F311" s="135"/>
      <c r="G311" s="135"/>
    </row>
    <row r="312">
      <c r="B312" s="135"/>
      <c r="C312" s="182"/>
      <c r="D312" s="135"/>
      <c r="E312" s="135"/>
      <c r="F312" s="135"/>
      <c r="G312" s="135"/>
    </row>
    <row r="313">
      <c r="B313" s="135"/>
      <c r="C313" s="182"/>
      <c r="D313" s="135"/>
      <c r="E313" s="135"/>
      <c r="F313" s="135"/>
      <c r="G313" s="135"/>
    </row>
    <row r="314">
      <c r="B314" s="135"/>
      <c r="C314" s="182"/>
      <c r="D314" s="135"/>
      <c r="E314" s="135"/>
      <c r="F314" s="135"/>
      <c r="G314" s="135"/>
    </row>
    <row r="315">
      <c r="B315" s="135"/>
      <c r="C315" s="182"/>
      <c r="D315" s="135"/>
      <c r="E315" s="135"/>
      <c r="F315" s="135"/>
      <c r="G315" s="135"/>
    </row>
    <row r="316">
      <c r="B316" s="135"/>
      <c r="C316" s="182"/>
      <c r="D316" s="135"/>
      <c r="E316" s="135"/>
      <c r="F316" s="135"/>
      <c r="G316" s="135"/>
    </row>
    <row r="317">
      <c r="B317" s="135"/>
      <c r="C317" s="182"/>
      <c r="D317" s="135"/>
      <c r="E317" s="135"/>
      <c r="F317" s="135"/>
      <c r="G317" s="135"/>
    </row>
    <row r="318">
      <c r="B318" s="135"/>
      <c r="C318" s="182"/>
      <c r="D318" s="135"/>
      <c r="E318" s="135"/>
      <c r="F318" s="135"/>
      <c r="G318" s="135"/>
    </row>
    <row r="319">
      <c r="B319" s="135"/>
      <c r="C319" s="182"/>
      <c r="D319" s="135"/>
      <c r="E319" s="135"/>
      <c r="F319" s="135"/>
      <c r="G319" s="135"/>
    </row>
    <row r="320">
      <c r="B320" s="135"/>
      <c r="C320" s="182"/>
      <c r="D320" s="135"/>
      <c r="E320" s="135"/>
      <c r="F320" s="135"/>
      <c r="G320" s="135"/>
    </row>
    <row r="321">
      <c r="B321" s="135"/>
      <c r="C321" s="182"/>
      <c r="D321" s="135"/>
      <c r="E321" s="135"/>
      <c r="F321" s="135"/>
      <c r="G321" s="135"/>
    </row>
    <row r="322">
      <c r="B322" s="135"/>
      <c r="C322" s="182"/>
      <c r="D322" s="135"/>
      <c r="E322" s="135"/>
      <c r="F322" s="135"/>
      <c r="G322" s="135"/>
    </row>
    <row r="323">
      <c r="B323" s="135"/>
      <c r="C323" s="182"/>
      <c r="D323" s="135"/>
      <c r="E323" s="135"/>
      <c r="F323" s="135"/>
      <c r="G323" s="135"/>
    </row>
    <row r="324">
      <c r="B324" s="135"/>
      <c r="C324" s="182"/>
      <c r="D324" s="135"/>
      <c r="E324" s="135"/>
      <c r="F324" s="135"/>
      <c r="G324" s="135"/>
    </row>
    <row r="325">
      <c r="B325" s="135"/>
      <c r="C325" s="182"/>
      <c r="D325" s="135"/>
      <c r="E325" s="135"/>
      <c r="F325" s="135"/>
      <c r="G325" s="135"/>
    </row>
    <row r="326">
      <c r="B326" s="135"/>
      <c r="C326" s="182"/>
      <c r="D326" s="135"/>
      <c r="E326" s="135"/>
      <c r="F326" s="135"/>
      <c r="G326" s="135"/>
    </row>
    <row r="327">
      <c r="B327" s="135"/>
      <c r="C327" s="182"/>
      <c r="D327" s="135"/>
      <c r="E327" s="135"/>
      <c r="F327" s="135"/>
      <c r="G327" s="135"/>
    </row>
    <row r="328">
      <c r="B328" s="135"/>
      <c r="C328" s="182"/>
      <c r="D328" s="135"/>
      <c r="E328" s="135"/>
      <c r="F328" s="135"/>
      <c r="G328" s="135"/>
    </row>
    <row r="329">
      <c r="B329" s="135"/>
      <c r="C329" s="182"/>
      <c r="D329" s="135"/>
      <c r="E329" s="135"/>
      <c r="F329" s="135"/>
      <c r="G329" s="135"/>
    </row>
    <row r="330">
      <c r="B330" s="135"/>
      <c r="C330" s="182"/>
      <c r="D330" s="135"/>
      <c r="E330" s="135"/>
      <c r="F330" s="135"/>
      <c r="G330" s="135"/>
    </row>
    <row r="331">
      <c r="B331" s="135"/>
      <c r="C331" s="182"/>
      <c r="D331" s="135"/>
      <c r="E331" s="135"/>
      <c r="F331" s="135"/>
      <c r="G331" s="135"/>
    </row>
    <row r="332">
      <c r="B332" s="135"/>
      <c r="C332" s="182"/>
      <c r="D332" s="135"/>
      <c r="E332" s="135"/>
      <c r="F332" s="135"/>
      <c r="G332" s="135"/>
    </row>
    <row r="333">
      <c r="B333" s="135"/>
      <c r="C333" s="182"/>
      <c r="D333" s="135"/>
      <c r="E333" s="135"/>
      <c r="F333" s="135"/>
      <c r="G333" s="135"/>
    </row>
    <row r="334">
      <c r="B334" s="135"/>
      <c r="C334" s="182"/>
      <c r="D334" s="135"/>
      <c r="E334" s="135"/>
      <c r="F334" s="135"/>
      <c r="G334" s="135"/>
    </row>
    <row r="335">
      <c r="B335" s="135"/>
      <c r="C335" s="182"/>
      <c r="D335" s="135"/>
      <c r="E335" s="135"/>
      <c r="F335" s="135"/>
      <c r="G335" s="135"/>
    </row>
    <row r="336">
      <c r="B336" s="135"/>
      <c r="C336" s="182"/>
      <c r="D336" s="135"/>
      <c r="E336" s="135"/>
      <c r="F336" s="135"/>
      <c r="G336" s="135"/>
    </row>
    <row r="337">
      <c r="B337" s="135"/>
      <c r="C337" s="182"/>
      <c r="D337" s="135"/>
      <c r="E337" s="135"/>
      <c r="F337" s="135"/>
      <c r="G337" s="135"/>
    </row>
    <row r="338">
      <c r="B338" s="135"/>
      <c r="C338" s="182"/>
      <c r="D338" s="135"/>
      <c r="E338" s="135"/>
      <c r="F338" s="135"/>
      <c r="G338" s="135"/>
    </row>
    <row r="339">
      <c r="B339" s="135"/>
      <c r="C339" s="182"/>
      <c r="D339" s="135"/>
      <c r="E339" s="135"/>
      <c r="F339" s="135"/>
      <c r="G339" s="135"/>
    </row>
    <row r="340">
      <c r="B340" s="135"/>
      <c r="C340" s="182"/>
      <c r="D340" s="135"/>
      <c r="E340" s="135"/>
      <c r="F340" s="135"/>
      <c r="G340" s="135"/>
    </row>
    <row r="341">
      <c r="B341" s="135"/>
      <c r="C341" s="182"/>
      <c r="D341" s="135"/>
      <c r="E341" s="135"/>
      <c r="F341" s="135"/>
      <c r="G341" s="135"/>
    </row>
    <row r="342">
      <c r="B342" s="135"/>
      <c r="C342" s="182"/>
      <c r="D342" s="135"/>
      <c r="E342" s="135"/>
      <c r="F342" s="135"/>
      <c r="G342" s="135"/>
    </row>
    <row r="343">
      <c r="B343" s="135"/>
      <c r="C343" s="182"/>
      <c r="D343" s="135"/>
      <c r="E343" s="135"/>
      <c r="F343" s="135"/>
      <c r="G343" s="135"/>
    </row>
    <row r="344">
      <c r="B344" s="135"/>
      <c r="C344" s="182"/>
      <c r="D344" s="135"/>
      <c r="E344" s="135"/>
      <c r="F344" s="135"/>
      <c r="G344" s="135"/>
    </row>
    <row r="345">
      <c r="B345" s="135"/>
      <c r="C345" s="182"/>
      <c r="D345" s="135"/>
      <c r="E345" s="135"/>
      <c r="F345" s="135"/>
      <c r="G345" s="135"/>
    </row>
    <row r="346">
      <c r="B346" s="135"/>
      <c r="C346" s="182"/>
      <c r="D346" s="135"/>
      <c r="E346" s="135"/>
      <c r="F346" s="135"/>
      <c r="G346" s="135"/>
    </row>
    <row r="347">
      <c r="B347" s="135"/>
      <c r="C347" s="182"/>
      <c r="D347" s="135"/>
      <c r="E347" s="135"/>
      <c r="F347" s="135"/>
      <c r="G347" s="135"/>
    </row>
    <row r="348">
      <c r="B348" s="135"/>
      <c r="C348" s="182"/>
      <c r="D348" s="135"/>
      <c r="E348" s="135"/>
      <c r="F348" s="135"/>
      <c r="G348" s="135"/>
    </row>
    <row r="349">
      <c r="B349" s="135"/>
      <c r="C349" s="182"/>
      <c r="D349" s="135"/>
      <c r="E349" s="135"/>
      <c r="F349" s="135"/>
      <c r="G349" s="135"/>
    </row>
    <row r="350">
      <c r="B350" s="135"/>
      <c r="C350" s="182"/>
      <c r="D350" s="135"/>
      <c r="E350" s="135"/>
      <c r="F350" s="135"/>
      <c r="G350" s="135"/>
    </row>
    <row r="351">
      <c r="B351" s="135"/>
      <c r="C351" s="182"/>
      <c r="D351" s="135"/>
      <c r="E351" s="135"/>
      <c r="F351" s="135"/>
      <c r="G351" s="135"/>
    </row>
    <row r="352">
      <c r="B352" s="135"/>
      <c r="C352" s="182"/>
      <c r="D352" s="135"/>
      <c r="E352" s="135"/>
      <c r="F352" s="135"/>
      <c r="G352" s="135"/>
    </row>
    <row r="353">
      <c r="B353" s="135"/>
      <c r="C353" s="182"/>
      <c r="D353" s="135"/>
      <c r="E353" s="135"/>
      <c r="F353" s="135"/>
      <c r="G353" s="135"/>
    </row>
    <row r="354">
      <c r="B354" s="135"/>
      <c r="C354" s="182"/>
      <c r="D354" s="135"/>
      <c r="E354" s="135"/>
      <c r="F354" s="135"/>
      <c r="G354" s="135"/>
    </row>
    <row r="355">
      <c r="B355" s="135"/>
      <c r="C355" s="182"/>
      <c r="D355" s="135"/>
      <c r="E355" s="135"/>
      <c r="F355" s="135"/>
      <c r="G355" s="135"/>
    </row>
    <row r="356">
      <c r="B356" s="135"/>
      <c r="C356" s="182"/>
      <c r="D356" s="135"/>
      <c r="E356" s="135"/>
      <c r="F356" s="135"/>
      <c r="G356" s="135"/>
    </row>
    <row r="357">
      <c r="B357" s="135"/>
      <c r="C357" s="182"/>
      <c r="D357" s="135"/>
      <c r="E357" s="135"/>
      <c r="F357" s="135"/>
      <c r="G357" s="135"/>
    </row>
    <row r="358">
      <c r="B358" s="135"/>
      <c r="C358" s="182"/>
      <c r="D358" s="135"/>
      <c r="E358" s="135"/>
      <c r="F358" s="135"/>
      <c r="G358" s="135"/>
    </row>
    <row r="359">
      <c r="B359" s="135"/>
      <c r="C359" s="182"/>
      <c r="D359" s="135"/>
      <c r="E359" s="135"/>
      <c r="F359" s="135"/>
      <c r="G359" s="135"/>
    </row>
    <row r="360">
      <c r="B360" s="135"/>
      <c r="C360" s="182"/>
      <c r="D360" s="135"/>
      <c r="E360" s="135"/>
      <c r="F360" s="135"/>
      <c r="G360" s="135"/>
    </row>
    <row r="361">
      <c r="B361" s="135"/>
      <c r="C361" s="182"/>
      <c r="D361" s="135"/>
      <c r="E361" s="135"/>
      <c r="F361" s="135"/>
      <c r="G361" s="135"/>
    </row>
    <row r="362">
      <c r="B362" s="135"/>
      <c r="C362" s="182"/>
      <c r="D362" s="135"/>
      <c r="E362" s="135"/>
      <c r="F362" s="135"/>
      <c r="G362" s="135"/>
    </row>
    <row r="363">
      <c r="B363" s="135"/>
      <c r="C363" s="182"/>
      <c r="D363" s="135"/>
      <c r="E363" s="135"/>
      <c r="F363" s="135"/>
      <c r="G363" s="135"/>
    </row>
    <row r="364">
      <c r="B364" s="135"/>
      <c r="C364" s="182"/>
      <c r="D364" s="135"/>
      <c r="E364" s="135"/>
      <c r="F364" s="135"/>
      <c r="G364" s="135"/>
    </row>
    <row r="365">
      <c r="B365" s="135"/>
      <c r="C365" s="182"/>
      <c r="D365" s="135"/>
      <c r="E365" s="135"/>
      <c r="F365" s="135"/>
      <c r="G365" s="135"/>
    </row>
    <row r="366">
      <c r="B366" s="135"/>
      <c r="C366" s="182"/>
      <c r="D366" s="135"/>
      <c r="E366" s="135"/>
      <c r="F366" s="135"/>
      <c r="G366" s="135"/>
    </row>
    <row r="367">
      <c r="B367" s="135"/>
      <c r="C367" s="182"/>
      <c r="D367" s="135"/>
      <c r="E367" s="135"/>
      <c r="F367" s="135"/>
      <c r="G367" s="135"/>
    </row>
    <row r="368">
      <c r="B368" s="135"/>
      <c r="C368" s="182"/>
      <c r="D368" s="135"/>
      <c r="E368" s="135"/>
      <c r="F368" s="135"/>
      <c r="G368" s="135"/>
    </row>
    <row r="369">
      <c r="B369" s="135"/>
      <c r="C369" s="182"/>
      <c r="D369" s="135"/>
      <c r="E369" s="135"/>
      <c r="F369" s="135"/>
      <c r="G369" s="135"/>
    </row>
    <row r="370">
      <c r="B370" s="135"/>
      <c r="C370" s="182"/>
      <c r="D370" s="135"/>
      <c r="E370" s="135"/>
      <c r="F370" s="135"/>
      <c r="G370" s="135"/>
    </row>
    <row r="371">
      <c r="B371" s="135"/>
      <c r="C371" s="182"/>
      <c r="D371" s="135"/>
      <c r="E371" s="135"/>
      <c r="F371" s="135"/>
      <c r="G371" s="135"/>
    </row>
    <row r="372">
      <c r="B372" s="135"/>
      <c r="C372" s="182"/>
      <c r="D372" s="135"/>
      <c r="E372" s="135"/>
      <c r="F372" s="135"/>
      <c r="G372" s="135"/>
    </row>
    <row r="373">
      <c r="B373" s="135"/>
      <c r="C373" s="182"/>
      <c r="D373" s="135"/>
      <c r="E373" s="135"/>
      <c r="F373" s="135"/>
      <c r="G373" s="135"/>
    </row>
    <row r="374">
      <c r="B374" s="135"/>
      <c r="C374" s="182"/>
      <c r="D374" s="135"/>
      <c r="E374" s="135"/>
      <c r="F374" s="135"/>
      <c r="G374" s="135"/>
    </row>
    <row r="375">
      <c r="B375" s="135"/>
      <c r="C375" s="182"/>
      <c r="D375" s="135"/>
      <c r="E375" s="135"/>
      <c r="F375" s="135"/>
      <c r="G375" s="135"/>
    </row>
    <row r="376">
      <c r="B376" s="135"/>
      <c r="C376" s="182"/>
      <c r="D376" s="135"/>
      <c r="E376" s="135"/>
      <c r="F376" s="135"/>
      <c r="G376" s="135"/>
    </row>
    <row r="377">
      <c r="B377" s="135"/>
      <c r="C377" s="182"/>
      <c r="D377" s="135"/>
      <c r="E377" s="135"/>
      <c r="F377" s="135"/>
      <c r="G377" s="135"/>
    </row>
    <row r="378">
      <c r="B378" s="135"/>
      <c r="C378" s="182"/>
      <c r="D378" s="135"/>
      <c r="E378" s="135"/>
      <c r="F378" s="135"/>
      <c r="G378" s="135"/>
    </row>
    <row r="379">
      <c r="B379" s="135"/>
      <c r="C379" s="182"/>
      <c r="D379" s="135"/>
      <c r="E379" s="135"/>
      <c r="F379" s="135"/>
      <c r="G379" s="135"/>
    </row>
    <row r="380">
      <c r="B380" s="135"/>
      <c r="C380" s="182"/>
      <c r="D380" s="135"/>
      <c r="E380" s="135"/>
      <c r="F380" s="135"/>
      <c r="G380" s="135"/>
    </row>
    <row r="381">
      <c r="B381" s="135"/>
      <c r="C381" s="182"/>
      <c r="D381" s="135"/>
      <c r="E381" s="135"/>
      <c r="F381" s="135"/>
      <c r="G381" s="135"/>
    </row>
    <row r="382">
      <c r="B382" s="135"/>
      <c r="C382" s="182"/>
      <c r="D382" s="135"/>
      <c r="E382" s="135"/>
      <c r="F382" s="135"/>
      <c r="G382" s="135"/>
    </row>
    <row r="383">
      <c r="B383" s="135"/>
      <c r="C383" s="182"/>
      <c r="D383" s="135"/>
      <c r="E383" s="135"/>
      <c r="F383" s="135"/>
      <c r="G383" s="135"/>
    </row>
    <row r="384">
      <c r="B384" s="135"/>
      <c r="C384" s="182"/>
      <c r="D384" s="135"/>
      <c r="E384" s="135"/>
      <c r="F384" s="135"/>
      <c r="G384" s="135"/>
    </row>
    <row r="385">
      <c r="B385" s="135"/>
      <c r="C385" s="182"/>
      <c r="D385" s="135"/>
      <c r="E385" s="135"/>
      <c r="F385" s="135"/>
      <c r="G385" s="135"/>
    </row>
    <row r="386">
      <c r="B386" s="135"/>
      <c r="C386" s="182"/>
      <c r="D386" s="135"/>
      <c r="E386" s="135"/>
      <c r="F386" s="135"/>
      <c r="G386" s="135"/>
    </row>
    <row r="387">
      <c r="B387" s="135"/>
      <c r="C387" s="182"/>
      <c r="D387" s="135"/>
      <c r="E387" s="135"/>
      <c r="F387" s="135"/>
      <c r="G387" s="135"/>
    </row>
    <row r="388">
      <c r="B388" s="135"/>
      <c r="C388" s="182"/>
      <c r="D388" s="135"/>
      <c r="E388" s="135"/>
      <c r="F388" s="135"/>
      <c r="G388" s="135"/>
    </row>
    <row r="389">
      <c r="B389" s="135"/>
      <c r="C389" s="182"/>
      <c r="D389" s="135"/>
      <c r="E389" s="135"/>
      <c r="F389" s="135"/>
      <c r="G389" s="135"/>
    </row>
    <row r="390">
      <c r="B390" s="135"/>
      <c r="C390" s="182"/>
      <c r="D390" s="135"/>
      <c r="E390" s="135"/>
      <c r="F390" s="135"/>
      <c r="G390" s="135"/>
    </row>
    <row r="391">
      <c r="B391" s="135"/>
      <c r="C391" s="182"/>
      <c r="D391" s="135"/>
      <c r="E391" s="135"/>
      <c r="F391" s="135"/>
      <c r="G391" s="135"/>
    </row>
    <row r="392">
      <c r="B392" s="135"/>
      <c r="C392" s="182"/>
      <c r="D392" s="135"/>
      <c r="E392" s="135"/>
      <c r="F392" s="135"/>
      <c r="G392" s="135"/>
    </row>
    <row r="393">
      <c r="B393" s="135"/>
      <c r="C393" s="182"/>
      <c r="D393" s="135"/>
      <c r="E393" s="135"/>
      <c r="F393" s="135"/>
      <c r="G393" s="135"/>
    </row>
    <row r="394">
      <c r="B394" s="135"/>
      <c r="C394" s="182"/>
      <c r="D394" s="135"/>
      <c r="E394" s="135"/>
      <c r="F394" s="135"/>
      <c r="G394" s="135"/>
    </row>
    <row r="395">
      <c r="B395" s="135"/>
      <c r="C395" s="182"/>
      <c r="D395" s="135"/>
      <c r="E395" s="135"/>
      <c r="F395" s="135"/>
      <c r="G395" s="135"/>
    </row>
    <row r="396">
      <c r="B396" s="135"/>
      <c r="C396" s="182"/>
      <c r="D396" s="135"/>
      <c r="E396" s="135"/>
      <c r="F396" s="135"/>
      <c r="G396" s="135"/>
    </row>
    <row r="397">
      <c r="B397" s="135"/>
      <c r="C397" s="182"/>
      <c r="D397" s="135"/>
      <c r="E397" s="135"/>
      <c r="F397" s="135"/>
      <c r="G397" s="135"/>
    </row>
    <row r="398">
      <c r="B398" s="135"/>
      <c r="C398" s="182"/>
      <c r="D398" s="135"/>
      <c r="E398" s="135"/>
      <c r="F398" s="135"/>
      <c r="G398" s="135"/>
    </row>
    <row r="399">
      <c r="B399" s="135"/>
      <c r="C399" s="182"/>
      <c r="D399" s="135"/>
      <c r="E399" s="135"/>
      <c r="F399" s="135"/>
      <c r="G399" s="135"/>
    </row>
    <row r="400">
      <c r="B400" s="135"/>
      <c r="C400" s="182"/>
      <c r="D400" s="135"/>
      <c r="E400" s="135"/>
      <c r="F400" s="135"/>
      <c r="G400" s="135"/>
    </row>
    <row r="401">
      <c r="B401" s="135"/>
      <c r="C401" s="182"/>
      <c r="D401" s="135"/>
      <c r="E401" s="135"/>
      <c r="F401" s="135"/>
      <c r="G401" s="135"/>
    </row>
    <row r="402">
      <c r="B402" s="135"/>
      <c r="C402" s="182"/>
      <c r="D402" s="135"/>
      <c r="E402" s="135"/>
      <c r="F402" s="135"/>
      <c r="G402" s="135"/>
    </row>
    <row r="403">
      <c r="B403" s="135"/>
      <c r="C403" s="182"/>
      <c r="D403" s="135"/>
      <c r="E403" s="135"/>
      <c r="F403" s="135"/>
      <c r="G403" s="135"/>
    </row>
    <row r="404">
      <c r="B404" s="135"/>
      <c r="C404" s="182"/>
      <c r="D404" s="135"/>
      <c r="E404" s="135"/>
      <c r="F404" s="135"/>
      <c r="G404" s="135"/>
    </row>
    <row r="405">
      <c r="B405" s="135"/>
      <c r="C405" s="182"/>
      <c r="D405" s="135"/>
      <c r="E405" s="135"/>
      <c r="F405" s="135"/>
      <c r="G405" s="135"/>
    </row>
    <row r="406">
      <c r="B406" s="135"/>
      <c r="C406" s="182"/>
      <c r="D406" s="135"/>
      <c r="E406" s="135"/>
      <c r="F406" s="135"/>
      <c r="G406" s="135"/>
    </row>
    <row r="407">
      <c r="B407" s="135"/>
      <c r="C407" s="182"/>
      <c r="D407" s="135"/>
      <c r="E407" s="135"/>
      <c r="F407" s="135"/>
      <c r="G407" s="135"/>
    </row>
    <row r="408">
      <c r="B408" s="135"/>
      <c r="C408" s="182"/>
      <c r="D408" s="135"/>
      <c r="E408" s="135"/>
      <c r="F408" s="135"/>
      <c r="G408" s="135"/>
    </row>
    <row r="409">
      <c r="B409" s="135"/>
      <c r="C409" s="182"/>
      <c r="D409" s="135"/>
      <c r="E409" s="135"/>
      <c r="F409" s="135"/>
      <c r="G409" s="135"/>
    </row>
    <row r="410">
      <c r="B410" s="135"/>
      <c r="C410" s="182"/>
      <c r="D410" s="135"/>
      <c r="E410" s="135"/>
      <c r="F410" s="135"/>
      <c r="G410" s="135"/>
    </row>
    <row r="411">
      <c r="B411" s="135"/>
      <c r="C411" s="182"/>
      <c r="D411" s="135"/>
      <c r="E411" s="135"/>
      <c r="F411" s="135"/>
      <c r="G411" s="135"/>
    </row>
    <row r="412">
      <c r="B412" s="135"/>
      <c r="C412" s="182"/>
      <c r="D412" s="135"/>
      <c r="E412" s="135"/>
      <c r="F412" s="135"/>
      <c r="G412" s="135"/>
    </row>
    <row r="413">
      <c r="B413" s="135"/>
      <c r="C413" s="182"/>
      <c r="D413" s="135"/>
      <c r="E413" s="135"/>
      <c r="F413" s="135"/>
      <c r="G413" s="135"/>
    </row>
    <row r="414">
      <c r="B414" s="135"/>
      <c r="C414" s="182"/>
      <c r="D414" s="135"/>
      <c r="E414" s="135"/>
      <c r="F414" s="135"/>
      <c r="G414" s="135"/>
    </row>
    <row r="415">
      <c r="B415" s="135"/>
      <c r="C415" s="182"/>
      <c r="D415" s="135"/>
      <c r="E415" s="135"/>
      <c r="F415" s="135"/>
      <c r="G415" s="135"/>
    </row>
    <row r="416">
      <c r="B416" s="135"/>
      <c r="C416" s="182"/>
      <c r="D416" s="135"/>
      <c r="E416" s="135"/>
      <c r="F416" s="135"/>
      <c r="G416" s="135"/>
    </row>
    <row r="417">
      <c r="B417" s="135"/>
      <c r="C417" s="182"/>
      <c r="D417" s="135"/>
      <c r="E417" s="135"/>
      <c r="F417" s="135"/>
      <c r="G417" s="135"/>
    </row>
    <row r="418">
      <c r="B418" s="135"/>
      <c r="C418" s="182"/>
      <c r="D418" s="135"/>
      <c r="E418" s="135"/>
      <c r="F418" s="135"/>
      <c r="G418" s="135"/>
    </row>
    <row r="419">
      <c r="B419" s="135"/>
      <c r="C419" s="182"/>
      <c r="D419" s="135"/>
      <c r="E419" s="135"/>
      <c r="F419" s="135"/>
      <c r="G419" s="135"/>
    </row>
    <row r="420">
      <c r="B420" s="135"/>
      <c r="C420" s="182"/>
      <c r="D420" s="135"/>
      <c r="E420" s="135"/>
      <c r="F420" s="135"/>
      <c r="G420" s="135"/>
    </row>
    <row r="421">
      <c r="B421" s="135"/>
      <c r="C421" s="182"/>
      <c r="D421" s="135"/>
      <c r="E421" s="135"/>
      <c r="F421" s="135"/>
      <c r="G421" s="135"/>
    </row>
    <row r="422">
      <c r="B422" s="135"/>
      <c r="C422" s="182"/>
      <c r="D422" s="135"/>
      <c r="E422" s="135"/>
      <c r="F422" s="135"/>
      <c r="G422" s="135"/>
    </row>
    <row r="423">
      <c r="B423" s="135"/>
      <c r="C423" s="182"/>
      <c r="D423" s="135"/>
      <c r="E423" s="135"/>
      <c r="F423" s="135"/>
      <c r="G423" s="135"/>
    </row>
    <row r="424">
      <c r="B424" s="135"/>
      <c r="C424" s="182"/>
      <c r="D424" s="135"/>
      <c r="E424" s="135"/>
      <c r="F424" s="135"/>
      <c r="G424" s="135"/>
    </row>
    <row r="425">
      <c r="B425" s="135"/>
      <c r="C425" s="182"/>
      <c r="D425" s="135"/>
      <c r="E425" s="135"/>
      <c r="F425" s="135"/>
      <c r="G425" s="135"/>
    </row>
    <row r="426">
      <c r="B426" s="135"/>
      <c r="C426" s="182"/>
      <c r="D426" s="135"/>
      <c r="E426" s="135"/>
      <c r="F426" s="135"/>
      <c r="G426" s="135"/>
    </row>
    <row r="427">
      <c r="B427" s="135"/>
      <c r="C427" s="182"/>
      <c r="D427" s="135"/>
      <c r="E427" s="135"/>
      <c r="F427" s="135"/>
      <c r="G427" s="135"/>
    </row>
    <row r="428">
      <c r="B428" s="135"/>
      <c r="C428" s="182"/>
      <c r="D428" s="135"/>
      <c r="E428" s="135"/>
      <c r="F428" s="135"/>
      <c r="G428" s="135"/>
    </row>
    <row r="429">
      <c r="B429" s="135"/>
      <c r="C429" s="182"/>
      <c r="D429" s="135"/>
      <c r="E429" s="135"/>
      <c r="F429" s="135"/>
      <c r="G429" s="135"/>
    </row>
    <row r="430">
      <c r="B430" s="135"/>
      <c r="C430" s="182"/>
      <c r="D430" s="135"/>
      <c r="E430" s="135"/>
      <c r="F430" s="135"/>
      <c r="G430" s="135"/>
    </row>
    <row r="431">
      <c r="B431" s="135"/>
      <c r="C431" s="182"/>
      <c r="D431" s="135"/>
      <c r="E431" s="135"/>
      <c r="F431" s="135"/>
      <c r="G431" s="135"/>
    </row>
    <row r="432">
      <c r="B432" s="135"/>
      <c r="C432" s="182"/>
      <c r="D432" s="135"/>
      <c r="E432" s="135"/>
      <c r="F432" s="135"/>
      <c r="G432" s="135"/>
    </row>
    <row r="433">
      <c r="B433" s="135"/>
      <c r="C433" s="182"/>
      <c r="D433" s="135"/>
      <c r="E433" s="135"/>
      <c r="F433" s="135"/>
      <c r="G433" s="135"/>
    </row>
    <row r="434">
      <c r="B434" s="135"/>
      <c r="C434" s="182"/>
      <c r="D434" s="135"/>
      <c r="E434" s="135"/>
      <c r="F434" s="135"/>
      <c r="G434" s="135"/>
    </row>
    <row r="435">
      <c r="B435" s="135"/>
      <c r="C435" s="182"/>
      <c r="D435" s="135"/>
      <c r="E435" s="135"/>
      <c r="F435" s="135"/>
      <c r="G435" s="135"/>
    </row>
    <row r="436">
      <c r="B436" s="135"/>
      <c r="C436" s="182"/>
      <c r="D436" s="135"/>
      <c r="E436" s="135"/>
      <c r="F436" s="135"/>
      <c r="G436" s="135"/>
    </row>
    <row r="437">
      <c r="B437" s="135"/>
      <c r="C437" s="182"/>
      <c r="D437" s="135"/>
      <c r="E437" s="135"/>
      <c r="F437" s="135"/>
      <c r="G437" s="135"/>
    </row>
    <row r="438">
      <c r="B438" s="135"/>
      <c r="C438" s="182"/>
      <c r="D438" s="135"/>
      <c r="E438" s="135"/>
      <c r="F438" s="135"/>
      <c r="G438" s="135"/>
    </row>
    <row r="439">
      <c r="B439" s="135"/>
      <c r="C439" s="182"/>
      <c r="D439" s="135"/>
      <c r="E439" s="135"/>
      <c r="F439" s="135"/>
      <c r="G439" s="135"/>
    </row>
    <row r="440">
      <c r="B440" s="135"/>
      <c r="C440" s="182"/>
      <c r="D440" s="135"/>
      <c r="E440" s="135"/>
      <c r="F440" s="135"/>
      <c r="G440" s="135"/>
    </row>
    <row r="441">
      <c r="B441" s="135"/>
      <c r="C441" s="182"/>
      <c r="D441" s="135"/>
      <c r="E441" s="135"/>
      <c r="F441" s="135"/>
      <c r="G441" s="135"/>
    </row>
    <row r="442">
      <c r="B442" s="135"/>
      <c r="C442" s="182"/>
      <c r="D442" s="135"/>
      <c r="E442" s="135"/>
      <c r="F442" s="135"/>
      <c r="G442" s="135"/>
    </row>
    <row r="443">
      <c r="B443" s="135"/>
      <c r="C443" s="182"/>
      <c r="D443" s="135"/>
      <c r="E443" s="135"/>
      <c r="F443" s="135"/>
      <c r="G443" s="135"/>
    </row>
    <row r="444">
      <c r="B444" s="135"/>
      <c r="C444" s="182"/>
      <c r="D444" s="135"/>
      <c r="E444" s="135"/>
      <c r="F444" s="135"/>
      <c r="G444" s="135"/>
    </row>
    <row r="445">
      <c r="B445" s="135"/>
      <c r="C445" s="182"/>
      <c r="D445" s="135"/>
      <c r="E445" s="135"/>
      <c r="F445" s="135"/>
      <c r="G445" s="135"/>
    </row>
    <row r="446">
      <c r="B446" s="135"/>
      <c r="C446" s="182"/>
      <c r="D446" s="135"/>
      <c r="E446" s="135"/>
      <c r="F446" s="135"/>
      <c r="G446" s="135"/>
    </row>
    <row r="447">
      <c r="B447" s="135"/>
      <c r="C447" s="182"/>
      <c r="D447" s="135"/>
      <c r="E447" s="135"/>
      <c r="F447" s="135"/>
      <c r="G447" s="135"/>
    </row>
    <row r="448">
      <c r="B448" s="135"/>
      <c r="C448" s="182"/>
      <c r="D448" s="135"/>
      <c r="E448" s="135"/>
      <c r="F448" s="135"/>
      <c r="G448" s="135"/>
    </row>
    <row r="449">
      <c r="B449" s="135"/>
      <c r="C449" s="182"/>
      <c r="D449" s="135"/>
      <c r="E449" s="135"/>
      <c r="F449" s="135"/>
      <c r="G449" s="135"/>
    </row>
    <row r="450">
      <c r="B450" s="135"/>
      <c r="C450" s="182"/>
      <c r="D450" s="135"/>
      <c r="E450" s="135"/>
      <c r="F450" s="135"/>
      <c r="G450" s="135"/>
    </row>
    <row r="451">
      <c r="B451" s="135"/>
      <c r="C451" s="182"/>
      <c r="D451" s="135"/>
      <c r="E451" s="135"/>
      <c r="F451" s="135"/>
      <c r="G451" s="135"/>
    </row>
    <row r="452">
      <c r="B452" s="135"/>
      <c r="C452" s="182"/>
      <c r="D452" s="135"/>
      <c r="E452" s="135"/>
      <c r="F452" s="135"/>
      <c r="G452" s="135"/>
    </row>
    <row r="453">
      <c r="B453" s="135"/>
      <c r="C453" s="182"/>
      <c r="D453" s="135"/>
      <c r="E453" s="135"/>
      <c r="F453" s="135"/>
      <c r="G453" s="135"/>
    </row>
    <row r="454">
      <c r="B454" s="135"/>
      <c r="C454" s="182"/>
      <c r="D454" s="135"/>
      <c r="E454" s="135"/>
      <c r="F454" s="135"/>
      <c r="G454" s="135"/>
    </row>
    <row r="455">
      <c r="B455" s="135"/>
      <c r="C455" s="182"/>
      <c r="D455" s="135"/>
      <c r="E455" s="135"/>
      <c r="F455" s="135"/>
      <c r="G455" s="135"/>
    </row>
    <row r="456">
      <c r="B456" s="135"/>
      <c r="C456" s="182"/>
      <c r="D456" s="135"/>
      <c r="E456" s="135"/>
      <c r="F456" s="135"/>
      <c r="G456" s="135"/>
    </row>
    <row r="457">
      <c r="B457" s="135"/>
      <c r="C457" s="182"/>
      <c r="D457" s="135"/>
      <c r="E457" s="135"/>
      <c r="F457" s="135"/>
      <c r="G457" s="135"/>
    </row>
    <row r="458">
      <c r="B458" s="135"/>
      <c r="C458" s="182"/>
      <c r="D458" s="135"/>
      <c r="E458" s="135"/>
      <c r="F458" s="135"/>
      <c r="G458" s="135"/>
    </row>
    <row r="459">
      <c r="B459" s="135"/>
      <c r="C459" s="182"/>
      <c r="D459" s="135"/>
      <c r="E459" s="135"/>
      <c r="F459" s="135"/>
      <c r="G459" s="135"/>
    </row>
    <row r="460">
      <c r="B460" s="135"/>
      <c r="C460" s="182"/>
      <c r="D460" s="135"/>
      <c r="E460" s="135"/>
      <c r="F460" s="135"/>
      <c r="G460" s="135"/>
    </row>
    <row r="461">
      <c r="B461" s="135"/>
      <c r="C461" s="182"/>
      <c r="D461" s="135"/>
      <c r="E461" s="135"/>
      <c r="F461" s="135"/>
      <c r="G461" s="135"/>
    </row>
    <row r="462">
      <c r="B462" s="135"/>
      <c r="C462" s="182"/>
      <c r="D462" s="135"/>
      <c r="E462" s="135"/>
      <c r="F462" s="135"/>
      <c r="G462" s="135"/>
    </row>
    <row r="463">
      <c r="B463" s="135"/>
      <c r="C463" s="182"/>
      <c r="D463" s="135"/>
      <c r="E463" s="135"/>
      <c r="F463" s="135"/>
      <c r="G463" s="135"/>
    </row>
    <row r="464">
      <c r="B464" s="135"/>
      <c r="C464" s="182"/>
      <c r="D464" s="135"/>
      <c r="E464" s="135"/>
      <c r="F464" s="135"/>
      <c r="G464" s="135"/>
    </row>
    <row r="465">
      <c r="B465" s="135"/>
      <c r="C465" s="182"/>
      <c r="D465" s="135"/>
      <c r="E465" s="135"/>
      <c r="F465" s="135"/>
      <c r="G465" s="135"/>
    </row>
    <row r="466">
      <c r="B466" s="135"/>
      <c r="C466" s="182"/>
      <c r="D466" s="135"/>
      <c r="E466" s="135"/>
      <c r="F466" s="135"/>
      <c r="G466" s="135"/>
    </row>
    <row r="467">
      <c r="B467" s="135"/>
      <c r="C467" s="182"/>
      <c r="D467" s="135"/>
      <c r="E467" s="135"/>
      <c r="F467" s="135"/>
      <c r="G467" s="135"/>
    </row>
    <row r="468">
      <c r="B468" s="135"/>
      <c r="C468" s="182"/>
      <c r="D468" s="135"/>
      <c r="E468" s="135"/>
      <c r="F468" s="135"/>
      <c r="G468" s="135"/>
    </row>
    <row r="469">
      <c r="B469" s="135"/>
      <c r="C469" s="182"/>
      <c r="D469" s="135"/>
      <c r="E469" s="135"/>
      <c r="F469" s="135"/>
      <c r="G469" s="135"/>
    </row>
    <row r="470">
      <c r="B470" s="135"/>
      <c r="C470" s="182"/>
      <c r="D470" s="135"/>
      <c r="E470" s="135"/>
      <c r="F470" s="135"/>
      <c r="G470" s="135"/>
    </row>
    <row r="471">
      <c r="B471" s="135"/>
      <c r="C471" s="182"/>
      <c r="D471" s="135"/>
      <c r="E471" s="135"/>
      <c r="F471" s="135"/>
      <c r="G471" s="135"/>
    </row>
    <row r="472">
      <c r="B472" s="135"/>
      <c r="C472" s="182"/>
      <c r="D472" s="135"/>
      <c r="E472" s="135"/>
      <c r="F472" s="135"/>
      <c r="G472" s="135"/>
    </row>
    <row r="473">
      <c r="B473" s="135"/>
      <c r="C473" s="182"/>
      <c r="D473" s="135"/>
      <c r="E473" s="135"/>
      <c r="F473" s="135"/>
      <c r="G473" s="135"/>
    </row>
    <row r="474">
      <c r="B474" s="135"/>
      <c r="C474" s="182"/>
      <c r="D474" s="135"/>
      <c r="E474" s="135"/>
      <c r="F474" s="135"/>
      <c r="G474" s="135"/>
    </row>
    <row r="475">
      <c r="B475" s="135"/>
      <c r="C475" s="182"/>
      <c r="D475" s="135"/>
      <c r="E475" s="135"/>
      <c r="F475" s="135"/>
      <c r="G475" s="135"/>
    </row>
    <row r="476">
      <c r="B476" s="135"/>
      <c r="C476" s="182"/>
      <c r="D476" s="135"/>
      <c r="E476" s="135"/>
      <c r="F476" s="135"/>
      <c r="G476" s="135"/>
    </row>
    <row r="477">
      <c r="B477" s="135"/>
      <c r="C477" s="182"/>
      <c r="D477" s="135"/>
      <c r="E477" s="135"/>
      <c r="F477" s="135"/>
      <c r="G477" s="135"/>
    </row>
    <row r="478">
      <c r="B478" s="135"/>
      <c r="C478" s="182"/>
      <c r="D478" s="135"/>
      <c r="E478" s="135"/>
      <c r="F478" s="135"/>
      <c r="G478" s="135"/>
    </row>
    <row r="479">
      <c r="B479" s="135"/>
      <c r="C479" s="182"/>
      <c r="D479" s="135"/>
      <c r="E479" s="135"/>
      <c r="F479" s="135"/>
      <c r="G479" s="135"/>
    </row>
    <row r="480">
      <c r="B480" s="135"/>
      <c r="C480" s="182"/>
      <c r="D480" s="135"/>
      <c r="E480" s="135"/>
      <c r="F480" s="135"/>
      <c r="G480" s="135"/>
    </row>
    <row r="481">
      <c r="B481" s="135"/>
      <c r="C481" s="182"/>
      <c r="D481" s="135"/>
      <c r="E481" s="135"/>
      <c r="F481" s="135"/>
      <c r="G481" s="135"/>
    </row>
    <row r="482">
      <c r="B482" s="135"/>
      <c r="C482" s="182"/>
      <c r="D482" s="135"/>
      <c r="E482" s="135"/>
      <c r="F482" s="135"/>
      <c r="G482" s="135"/>
    </row>
    <row r="483">
      <c r="B483" s="135"/>
      <c r="C483" s="182"/>
      <c r="D483" s="135"/>
      <c r="E483" s="135"/>
      <c r="F483" s="135"/>
      <c r="G483" s="135"/>
    </row>
    <row r="484">
      <c r="B484" s="135"/>
      <c r="C484" s="182"/>
      <c r="D484" s="135"/>
      <c r="E484" s="135"/>
      <c r="F484" s="135"/>
      <c r="G484" s="135"/>
    </row>
    <row r="485">
      <c r="B485" s="135"/>
      <c r="C485" s="182"/>
      <c r="D485" s="135"/>
      <c r="E485" s="135"/>
      <c r="F485" s="135"/>
      <c r="G485" s="135"/>
    </row>
    <row r="486">
      <c r="B486" s="135"/>
      <c r="C486" s="182"/>
      <c r="D486" s="135"/>
      <c r="E486" s="135"/>
      <c r="F486" s="135"/>
      <c r="G486" s="135"/>
    </row>
    <row r="487">
      <c r="B487" s="135"/>
      <c r="C487" s="182"/>
      <c r="D487" s="135"/>
      <c r="E487" s="135"/>
      <c r="F487" s="135"/>
      <c r="G487" s="135"/>
    </row>
    <row r="488">
      <c r="B488" s="135"/>
      <c r="C488" s="182"/>
      <c r="D488" s="135"/>
      <c r="E488" s="135"/>
      <c r="F488" s="135"/>
      <c r="G488" s="135"/>
    </row>
    <row r="489">
      <c r="B489" s="135"/>
      <c r="C489" s="182"/>
      <c r="D489" s="135"/>
      <c r="E489" s="135"/>
      <c r="F489" s="135"/>
      <c r="G489" s="135"/>
    </row>
    <row r="490">
      <c r="B490" s="135"/>
      <c r="C490" s="182"/>
      <c r="D490" s="135"/>
      <c r="E490" s="135"/>
      <c r="F490" s="135"/>
      <c r="G490" s="135"/>
    </row>
    <row r="491">
      <c r="B491" s="135"/>
      <c r="C491" s="182"/>
      <c r="D491" s="135"/>
      <c r="E491" s="135"/>
      <c r="F491" s="135"/>
      <c r="G491" s="135"/>
    </row>
    <row r="492">
      <c r="B492" s="135"/>
      <c r="C492" s="182"/>
      <c r="D492" s="135"/>
      <c r="E492" s="135"/>
      <c r="F492" s="135"/>
      <c r="G492" s="135"/>
    </row>
    <row r="493">
      <c r="B493" s="135"/>
      <c r="C493" s="182"/>
      <c r="D493" s="135"/>
      <c r="E493" s="135"/>
      <c r="F493" s="135"/>
      <c r="G493" s="135"/>
    </row>
    <row r="494">
      <c r="B494" s="135"/>
      <c r="C494" s="182"/>
      <c r="D494" s="135"/>
      <c r="E494" s="135"/>
      <c r="F494" s="135"/>
      <c r="G494" s="135"/>
    </row>
    <row r="495">
      <c r="B495" s="135"/>
      <c r="C495" s="182"/>
      <c r="D495" s="135"/>
      <c r="E495" s="135"/>
      <c r="F495" s="135"/>
      <c r="G495" s="135"/>
    </row>
    <row r="496">
      <c r="B496" s="135"/>
      <c r="C496" s="182"/>
      <c r="D496" s="135"/>
      <c r="E496" s="135"/>
      <c r="F496" s="135"/>
      <c r="G496" s="135"/>
    </row>
    <row r="497">
      <c r="B497" s="135"/>
      <c r="C497" s="182"/>
      <c r="D497" s="135"/>
      <c r="E497" s="135"/>
      <c r="F497" s="135"/>
      <c r="G497" s="135"/>
    </row>
    <row r="498">
      <c r="B498" s="135"/>
      <c r="C498" s="182"/>
      <c r="D498" s="135"/>
      <c r="E498" s="135"/>
      <c r="F498" s="135"/>
      <c r="G498" s="135"/>
    </row>
    <row r="499">
      <c r="B499" s="135"/>
      <c r="C499" s="182"/>
      <c r="D499" s="135"/>
      <c r="E499" s="135"/>
      <c r="F499" s="135"/>
      <c r="G499" s="135"/>
    </row>
    <row r="500">
      <c r="B500" s="135"/>
      <c r="C500" s="182"/>
      <c r="D500" s="135"/>
      <c r="E500" s="135"/>
      <c r="F500" s="135"/>
      <c r="G500" s="135"/>
    </row>
    <row r="501">
      <c r="B501" s="135"/>
      <c r="C501" s="182"/>
      <c r="D501" s="135"/>
      <c r="E501" s="135"/>
      <c r="F501" s="135"/>
      <c r="G501" s="135"/>
    </row>
    <row r="502">
      <c r="B502" s="135"/>
      <c r="C502" s="182"/>
      <c r="D502" s="135"/>
      <c r="E502" s="135"/>
      <c r="F502" s="135"/>
      <c r="G502" s="135"/>
    </row>
    <row r="503">
      <c r="B503" s="135"/>
      <c r="C503" s="182"/>
      <c r="D503" s="135"/>
      <c r="E503" s="135"/>
      <c r="F503" s="135"/>
      <c r="G503" s="135"/>
    </row>
    <row r="504">
      <c r="B504" s="135"/>
      <c r="C504" s="182"/>
      <c r="D504" s="135"/>
      <c r="E504" s="135"/>
      <c r="F504" s="135"/>
      <c r="G504" s="135"/>
    </row>
    <row r="505">
      <c r="B505" s="135"/>
      <c r="C505" s="182"/>
      <c r="D505" s="135"/>
      <c r="E505" s="135"/>
      <c r="F505" s="135"/>
      <c r="G505" s="135"/>
    </row>
    <row r="506">
      <c r="B506" s="135"/>
      <c r="C506" s="182"/>
      <c r="D506" s="135"/>
      <c r="E506" s="135"/>
      <c r="F506" s="135"/>
      <c r="G506" s="135"/>
    </row>
    <row r="507">
      <c r="B507" s="135"/>
      <c r="C507" s="182"/>
      <c r="D507" s="135"/>
      <c r="E507" s="135"/>
      <c r="F507" s="135"/>
      <c r="G507" s="135"/>
    </row>
    <row r="508">
      <c r="B508" s="135"/>
      <c r="C508" s="182"/>
      <c r="D508" s="135"/>
      <c r="E508" s="135"/>
      <c r="F508" s="135"/>
      <c r="G508" s="135"/>
    </row>
    <row r="509">
      <c r="B509" s="135"/>
      <c r="C509" s="182"/>
      <c r="D509" s="135"/>
      <c r="E509" s="135"/>
      <c r="F509" s="135"/>
      <c r="G509" s="135"/>
    </row>
    <row r="510">
      <c r="B510" s="135"/>
      <c r="C510" s="182"/>
      <c r="D510" s="135"/>
      <c r="E510" s="135"/>
      <c r="F510" s="135"/>
      <c r="G510" s="135"/>
    </row>
    <row r="511">
      <c r="B511" s="135"/>
      <c r="C511" s="182"/>
      <c r="D511" s="135"/>
      <c r="E511" s="135"/>
      <c r="F511" s="135"/>
      <c r="G511" s="135"/>
    </row>
    <row r="512">
      <c r="B512" s="135"/>
      <c r="C512" s="182"/>
      <c r="D512" s="135"/>
      <c r="E512" s="135"/>
      <c r="F512" s="135"/>
      <c r="G512" s="135"/>
    </row>
    <row r="513">
      <c r="B513" s="135"/>
      <c r="C513" s="182"/>
      <c r="D513" s="135"/>
      <c r="E513" s="135"/>
      <c r="F513" s="135"/>
      <c r="G513" s="135"/>
    </row>
    <row r="514">
      <c r="B514" s="135"/>
      <c r="C514" s="182"/>
      <c r="D514" s="135"/>
      <c r="E514" s="135"/>
      <c r="F514" s="135"/>
      <c r="G514" s="135"/>
    </row>
    <row r="515">
      <c r="B515" s="135"/>
      <c r="C515" s="182"/>
      <c r="D515" s="135"/>
      <c r="E515" s="135"/>
      <c r="F515" s="135"/>
      <c r="G515" s="135"/>
    </row>
    <row r="516">
      <c r="B516" s="135"/>
      <c r="C516" s="182"/>
      <c r="D516" s="135"/>
      <c r="E516" s="135"/>
      <c r="F516" s="135"/>
      <c r="G516" s="135"/>
    </row>
    <row r="517">
      <c r="B517" s="135"/>
      <c r="C517" s="182"/>
      <c r="D517" s="135"/>
      <c r="E517" s="135"/>
      <c r="F517" s="135"/>
      <c r="G517" s="135"/>
    </row>
    <row r="518">
      <c r="B518" s="135"/>
      <c r="C518" s="182"/>
      <c r="D518" s="135"/>
      <c r="E518" s="135"/>
      <c r="F518" s="135"/>
      <c r="G518" s="135"/>
    </row>
    <row r="519">
      <c r="B519" s="135"/>
      <c r="C519" s="182"/>
      <c r="D519" s="135"/>
      <c r="E519" s="135"/>
      <c r="F519" s="135"/>
      <c r="G519" s="135"/>
    </row>
    <row r="520">
      <c r="B520" s="135"/>
      <c r="C520" s="182"/>
      <c r="D520" s="135"/>
      <c r="E520" s="135"/>
      <c r="F520" s="135"/>
      <c r="G520" s="135"/>
    </row>
    <row r="521">
      <c r="B521" s="135"/>
      <c r="C521" s="182"/>
      <c r="D521" s="135"/>
      <c r="E521" s="135"/>
      <c r="F521" s="135"/>
      <c r="G521" s="135"/>
    </row>
    <row r="522">
      <c r="B522" s="135"/>
      <c r="C522" s="182"/>
      <c r="D522" s="135"/>
      <c r="E522" s="135"/>
      <c r="F522" s="135"/>
      <c r="G522" s="135"/>
    </row>
    <row r="523">
      <c r="B523" s="135"/>
      <c r="C523" s="182"/>
      <c r="D523" s="135"/>
      <c r="E523" s="135"/>
      <c r="F523" s="135"/>
      <c r="G523" s="135"/>
    </row>
    <row r="524">
      <c r="B524" s="135"/>
      <c r="C524" s="182"/>
      <c r="D524" s="135"/>
      <c r="E524" s="135"/>
      <c r="F524" s="135"/>
      <c r="G524" s="135"/>
    </row>
    <row r="525">
      <c r="B525" s="135"/>
      <c r="C525" s="182"/>
      <c r="D525" s="135"/>
      <c r="E525" s="135"/>
      <c r="F525" s="135"/>
      <c r="G525" s="135"/>
    </row>
    <row r="526">
      <c r="B526" s="135"/>
      <c r="C526" s="182"/>
      <c r="D526" s="135"/>
      <c r="E526" s="135"/>
      <c r="F526" s="135"/>
      <c r="G526" s="135"/>
    </row>
    <row r="527">
      <c r="B527" s="135"/>
      <c r="C527" s="182"/>
      <c r="D527" s="135"/>
      <c r="E527" s="135"/>
      <c r="F527" s="135"/>
      <c r="G527" s="135"/>
    </row>
    <row r="528">
      <c r="B528" s="135"/>
      <c r="C528" s="182"/>
      <c r="D528" s="135"/>
      <c r="E528" s="135"/>
      <c r="F528" s="135"/>
      <c r="G528" s="135"/>
    </row>
    <row r="529">
      <c r="B529" s="135"/>
      <c r="C529" s="182"/>
      <c r="D529" s="135"/>
      <c r="E529" s="135"/>
      <c r="F529" s="135"/>
      <c r="G529" s="135"/>
    </row>
    <row r="530">
      <c r="B530" s="135"/>
      <c r="C530" s="182"/>
      <c r="D530" s="135"/>
      <c r="E530" s="135"/>
      <c r="F530" s="135"/>
      <c r="G530" s="135"/>
    </row>
    <row r="531">
      <c r="B531" s="135"/>
      <c r="C531" s="182"/>
      <c r="D531" s="135"/>
      <c r="E531" s="135"/>
      <c r="F531" s="135"/>
      <c r="G531" s="135"/>
    </row>
    <row r="532">
      <c r="B532" s="135"/>
      <c r="C532" s="182"/>
      <c r="D532" s="135"/>
      <c r="E532" s="135"/>
      <c r="F532" s="135"/>
      <c r="G532" s="135"/>
    </row>
    <row r="533">
      <c r="B533" s="135"/>
      <c r="C533" s="182"/>
      <c r="D533" s="135"/>
      <c r="E533" s="135"/>
      <c r="F533" s="135"/>
      <c r="G533" s="135"/>
    </row>
    <row r="534">
      <c r="B534" s="135"/>
      <c r="C534" s="182"/>
      <c r="D534" s="135"/>
      <c r="E534" s="135"/>
      <c r="F534" s="135"/>
      <c r="G534" s="135"/>
    </row>
    <row r="535">
      <c r="B535" s="135"/>
      <c r="C535" s="182"/>
      <c r="D535" s="135"/>
      <c r="E535" s="135"/>
      <c r="F535" s="135"/>
      <c r="G535" s="135"/>
    </row>
    <row r="536">
      <c r="B536" s="135"/>
      <c r="C536" s="182"/>
      <c r="D536" s="135"/>
      <c r="E536" s="135"/>
      <c r="F536" s="135"/>
      <c r="G536" s="135"/>
    </row>
    <row r="537">
      <c r="B537" s="135"/>
      <c r="C537" s="182"/>
      <c r="D537" s="135"/>
      <c r="E537" s="135"/>
      <c r="F537" s="135"/>
      <c r="G537" s="135"/>
    </row>
    <row r="538">
      <c r="B538" s="135"/>
      <c r="C538" s="182"/>
      <c r="D538" s="135"/>
      <c r="E538" s="135"/>
      <c r="F538" s="135"/>
      <c r="G538" s="135"/>
    </row>
    <row r="539">
      <c r="B539" s="135"/>
      <c r="C539" s="182"/>
      <c r="D539" s="135"/>
      <c r="E539" s="135"/>
      <c r="F539" s="135"/>
      <c r="G539" s="135"/>
    </row>
    <row r="540">
      <c r="B540" s="135"/>
      <c r="C540" s="182"/>
      <c r="D540" s="135"/>
      <c r="E540" s="135"/>
      <c r="F540" s="135"/>
      <c r="G540" s="135"/>
    </row>
    <row r="541">
      <c r="B541" s="135"/>
      <c r="C541" s="182"/>
      <c r="D541" s="135"/>
      <c r="E541" s="135"/>
      <c r="F541" s="135"/>
      <c r="G541" s="135"/>
    </row>
    <row r="542">
      <c r="B542" s="135"/>
      <c r="C542" s="182"/>
      <c r="D542" s="135"/>
      <c r="E542" s="135"/>
      <c r="F542" s="135"/>
      <c r="G542" s="135"/>
    </row>
    <row r="543">
      <c r="B543" s="135"/>
      <c r="C543" s="182"/>
      <c r="D543" s="135"/>
      <c r="E543" s="135"/>
      <c r="F543" s="135"/>
      <c r="G543" s="135"/>
    </row>
    <row r="544">
      <c r="B544" s="135"/>
      <c r="C544" s="182"/>
      <c r="D544" s="135"/>
      <c r="E544" s="135"/>
      <c r="F544" s="135"/>
      <c r="G544" s="135"/>
    </row>
    <row r="545">
      <c r="B545" s="135"/>
      <c r="C545" s="182"/>
      <c r="D545" s="135"/>
      <c r="E545" s="135"/>
      <c r="F545" s="135"/>
      <c r="G545" s="135"/>
    </row>
    <row r="546">
      <c r="B546" s="135"/>
      <c r="C546" s="182"/>
      <c r="D546" s="135"/>
      <c r="E546" s="135"/>
      <c r="F546" s="135"/>
      <c r="G546" s="135"/>
    </row>
    <row r="547">
      <c r="B547" s="135"/>
      <c r="C547" s="182"/>
      <c r="D547" s="135"/>
      <c r="E547" s="135"/>
      <c r="F547" s="135"/>
      <c r="G547" s="135"/>
    </row>
    <row r="548">
      <c r="B548" s="135"/>
      <c r="C548" s="182"/>
      <c r="D548" s="135"/>
      <c r="E548" s="135"/>
      <c r="F548" s="135"/>
      <c r="G548" s="135"/>
    </row>
    <row r="549">
      <c r="B549" s="135"/>
      <c r="C549" s="182"/>
      <c r="D549" s="135"/>
      <c r="E549" s="135"/>
      <c r="F549" s="135"/>
      <c r="G549" s="135"/>
    </row>
    <row r="550">
      <c r="B550" s="135"/>
      <c r="C550" s="182"/>
      <c r="D550" s="135"/>
      <c r="E550" s="135"/>
      <c r="F550" s="135"/>
      <c r="G550" s="135"/>
    </row>
    <row r="551">
      <c r="B551" s="135"/>
      <c r="C551" s="182"/>
      <c r="D551" s="135"/>
      <c r="E551" s="135"/>
      <c r="F551" s="135"/>
      <c r="G551" s="135"/>
    </row>
    <row r="552">
      <c r="B552" s="135"/>
      <c r="C552" s="182"/>
      <c r="D552" s="135"/>
      <c r="E552" s="135"/>
      <c r="F552" s="135"/>
      <c r="G552" s="135"/>
    </row>
    <row r="553">
      <c r="B553" s="135"/>
      <c r="C553" s="182"/>
      <c r="D553" s="135"/>
      <c r="E553" s="135"/>
      <c r="F553" s="135"/>
      <c r="G553" s="135"/>
    </row>
    <row r="554">
      <c r="B554" s="135"/>
      <c r="C554" s="182"/>
      <c r="D554" s="135"/>
      <c r="E554" s="135"/>
      <c r="F554" s="135"/>
      <c r="G554" s="135"/>
    </row>
    <row r="555">
      <c r="B555" s="135"/>
      <c r="C555" s="182"/>
      <c r="D555" s="135"/>
      <c r="E555" s="135"/>
      <c r="F555" s="135"/>
      <c r="G555" s="135"/>
    </row>
    <row r="556">
      <c r="B556" s="135"/>
      <c r="C556" s="182"/>
      <c r="D556" s="135"/>
      <c r="E556" s="135"/>
      <c r="F556" s="135"/>
      <c r="G556" s="135"/>
    </row>
    <row r="557">
      <c r="B557" s="135"/>
      <c r="C557" s="182"/>
      <c r="D557" s="135"/>
      <c r="E557" s="135"/>
      <c r="F557" s="135"/>
      <c r="G557" s="135"/>
    </row>
    <row r="558">
      <c r="B558" s="135"/>
      <c r="C558" s="182"/>
      <c r="D558" s="135"/>
      <c r="E558" s="135"/>
      <c r="F558" s="135"/>
      <c r="G558" s="135"/>
    </row>
    <row r="559">
      <c r="B559" s="135"/>
      <c r="C559" s="182"/>
      <c r="D559" s="135"/>
      <c r="E559" s="135"/>
      <c r="F559" s="135"/>
      <c r="G559" s="135"/>
    </row>
    <row r="560">
      <c r="B560" s="135"/>
      <c r="C560" s="182"/>
      <c r="D560" s="135"/>
      <c r="E560" s="135"/>
      <c r="F560" s="135"/>
      <c r="G560" s="135"/>
    </row>
    <row r="561">
      <c r="B561" s="135"/>
      <c r="C561" s="182"/>
      <c r="D561" s="135"/>
      <c r="E561" s="135"/>
      <c r="F561" s="135"/>
      <c r="G561" s="135"/>
    </row>
    <row r="562">
      <c r="B562" s="135"/>
      <c r="C562" s="182"/>
      <c r="D562" s="135"/>
      <c r="E562" s="135"/>
      <c r="F562" s="135"/>
      <c r="G562" s="135"/>
    </row>
    <row r="563">
      <c r="B563" s="135"/>
      <c r="C563" s="182"/>
      <c r="D563" s="135"/>
      <c r="E563" s="135"/>
      <c r="F563" s="135"/>
      <c r="G563" s="135"/>
    </row>
    <row r="564">
      <c r="B564" s="135"/>
      <c r="C564" s="182"/>
      <c r="D564" s="135"/>
      <c r="E564" s="135"/>
      <c r="F564" s="135"/>
      <c r="G564" s="135"/>
    </row>
    <row r="565">
      <c r="B565" s="135"/>
      <c r="C565" s="182"/>
      <c r="D565" s="135"/>
      <c r="E565" s="135"/>
      <c r="F565" s="135"/>
      <c r="G565" s="135"/>
    </row>
    <row r="566">
      <c r="B566" s="135"/>
      <c r="C566" s="182"/>
      <c r="D566" s="135"/>
      <c r="E566" s="135"/>
      <c r="F566" s="135"/>
      <c r="G566" s="135"/>
    </row>
    <row r="567">
      <c r="B567" s="135"/>
      <c r="C567" s="182"/>
      <c r="D567" s="135"/>
      <c r="E567" s="135"/>
      <c r="F567" s="135"/>
      <c r="G567" s="135"/>
    </row>
    <row r="568">
      <c r="B568" s="135"/>
      <c r="C568" s="182"/>
      <c r="D568" s="135"/>
      <c r="E568" s="135"/>
      <c r="F568" s="135"/>
      <c r="G568" s="135"/>
    </row>
    <row r="569">
      <c r="B569" s="135"/>
      <c r="C569" s="182"/>
      <c r="D569" s="135"/>
      <c r="E569" s="135"/>
      <c r="F569" s="135"/>
      <c r="G569" s="135"/>
    </row>
    <row r="570">
      <c r="B570" s="135"/>
      <c r="C570" s="182"/>
      <c r="D570" s="135"/>
      <c r="E570" s="135"/>
      <c r="F570" s="135"/>
      <c r="G570" s="135"/>
    </row>
    <row r="571">
      <c r="B571" s="135"/>
      <c r="C571" s="182"/>
      <c r="D571" s="135"/>
      <c r="E571" s="135"/>
      <c r="F571" s="135"/>
      <c r="G571" s="135"/>
    </row>
    <row r="572">
      <c r="B572" s="135"/>
      <c r="C572" s="182"/>
      <c r="D572" s="135"/>
      <c r="E572" s="135"/>
      <c r="F572" s="135"/>
      <c r="G572" s="135"/>
    </row>
    <row r="573">
      <c r="B573" s="135"/>
      <c r="C573" s="182"/>
      <c r="D573" s="135"/>
      <c r="E573" s="135"/>
      <c r="F573" s="135"/>
      <c r="G573" s="135"/>
    </row>
    <row r="574">
      <c r="B574" s="135"/>
      <c r="C574" s="182"/>
      <c r="D574" s="135"/>
      <c r="E574" s="135"/>
      <c r="F574" s="135"/>
      <c r="G574" s="135"/>
    </row>
    <row r="575">
      <c r="B575" s="135"/>
      <c r="C575" s="182"/>
      <c r="D575" s="135"/>
      <c r="E575" s="135"/>
      <c r="F575" s="135"/>
      <c r="G575" s="135"/>
    </row>
    <row r="576">
      <c r="B576" s="135"/>
      <c r="C576" s="182"/>
      <c r="D576" s="135"/>
      <c r="E576" s="135"/>
      <c r="F576" s="135"/>
      <c r="G576" s="135"/>
    </row>
    <row r="577">
      <c r="B577" s="135"/>
      <c r="C577" s="182"/>
      <c r="D577" s="135"/>
      <c r="E577" s="135"/>
      <c r="F577" s="135"/>
      <c r="G577" s="135"/>
    </row>
    <row r="578">
      <c r="B578" s="135"/>
      <c r="C578" s="182"/>
      <c r="D578" s="135"/>
      <c r="E578" s="135"/>
      <c r="F578" s="135"/>
      <c r="G578" s="135"/>
    </row>
    <row r="579">
      <c r="B579" s="135"/>
      <c r="C579" s="182"/>
      <c r="D579" s="135"/>
      <c r="E579" s="135"/>
      <c r="F579" s="135"/>
      <c r="G579" s="135"/>
    </row>
    <row r="580">
      <c r="B580" s="135"/>
      <c r="C580" s="182"/>
      <c r="D580" s="135"/>
      <c r="E580" s="135"/>
      <c r="F580" s="135"/>
      <c r="G580" s="135"/>
    </row>
    <row r="581">
      <c r="B581" s="135"/>
      <c r="C581" s="182"/>
      <c r="D581" s="135"/>
      <c r="E581" s="135"/>
      <c r="F581" s="135"/>
      <c r="G581" s="135"/>
    </row>
    <row r="582">
      <c r="B582" s="135"/>
      <c r="C582" s="182"/>
      <c r="D582" s="135"/>
      <c r="E582" s="135"/>
      <c r="F582" s="135"/>
      <c r="G582" s="135"/>
    </row>
    <row r="583">
      <c r="B583" s="135"/>
      <c r="C583" s="182"/>
      <c r="D583" s="135"/>
      <c r="E583" s="135"/>
      <c r="F583" s="135"/>
      <c r="G583" s="135"/>
    </row>
    <row r="584">
      <c r="B584" s="135"/>
      <c r="C584" s="182"/>
      <c r="D584" s="135"/>
      <c r="E584" s="135"/>
      <c r="F584" s="135"/>
      <c r="G584" s="135"/>
    </row>
    <row r="585">
      <c r="B585" s="135"/>
      <c r="C585" s="182"/>
      <c r="D585" s="135"/>
      <c r="E585" s="135"/>
      <c r="F585" s="135"/>
      <c r="G585" s="135"/>
    </row>
    <row r="586">
      <c r="B586" s="135"/>
      <c r="C586" s="182"/>
      <c r="D586" s="135"/>
      <c r="E586" s="135"/>
      <c r="F586" s="135"/>
      <c r="G586" s="135"/>
    </row>
    <row r="587">
      <c r="B587" s="135"/>
      <c r="C587" s="182"/>
      <c r="D587" s="135"/>
      <c r="E587" s="135"/>
      <c r="F587" s="135"/>
      <c r="G587" s="135"/>
    </row>
    <row r="588">
      <c r="B588" s="135"/>
      <c r="C588" s="182"/>
      <c r="D588" s="135"/>
      <c r="E588" s="135"/>
      <c r="F588" s="135"/>
      <c r="G588" s="135"/>
    </row>
    <row r="589">
      <c r="B589" s="135"/>
      <c r="C589" s="182"/>
      <c r="D589" s="135"/>
      <c r="E589" s="135"/>
      <c r="F589" s="135"/>
      <c r="G589" s="135"/>
    </row>
    <row r="590">
      <c r="B590" s="135"/>
      <c r="C590" s="182"/>
      <c r="D590" s="135"/>
      <c r="E590" s="135"/>
      <c r="F590" s="135"/>
      <c r="G590" s="135"/>
    </row>
    <row r="591">
      <c r="B591" s="135"/>
      <c r="C591" s="182"/>
      <c r="D591" s="135"/>
      <c r="E591" s="135"/>
      <c r="F591" s="135"/>
      <c r="G591" s="135"/>
    </row>
    <row r="592">
      <c r="B592" s="135"/>
      <c r="C592" s="182"/>
      <c r="D592" s="135"/>
      <c r="E592" s="135"/>
      <c r="F592" s="135"/>
      <c r="G592" s="135"/>
    </row>
    <row r="593">
      <c r="B593" s="135"/>
      <c r="C593" s="182"/>
      <c r="D593" s="135"/>
      <c r="E593" s="135"/>
      <c r="F593" s="135"/>
      <c r="G593" s="135"/>
    </row>
    <row r="594">
      <c r="B594" s="135"/>
      <c r="C594" s="182"/>
      <c r="D594" s="135"/>
      <c r="E594" s="135"/>
      <c r="F594" s="135"/>
      <c r="G594" s="135"/>
    </row>
    <row r="595">
      <c r="B595" s="135"/>
      <c r="C595" s="182"/>
      <c r="D595" s="135"/>
      <c r="E595" s="135"/>
      <c r="F595" s="135"/>
      <c r="G595" s="135"/>
    </row>
    <row r="596">
      <c r="B596" s="135"/>
      <c r="C596" s="182"/>
      <c r="D596" s="135"/>
      <c r="E596" s="135"/>
      <c r="F596" s="135"/>
      <c r="G596" s="135"/>
    </row>
    <row r="597">
      <c r="B597" s="135"/>
      <c r="C597" s="182"/>
      <c r="D597" s="135"/>
      <c r="E597" s="135"/>
      <c r="F597" s="135"/>
      <c r="G597" s="135"/>
    </row>
    <row r="598">
      <c r="B598" s="135"/>
      <c r="C598" s="182"/>
      <c r="D598" s="135"/>
      <c r="E598" s="135"/>
      <c r="F598" s="135"/>
      <c r="G598" s="135"/>
    </row>
    <row r="599">
      <c r="B599" s="135"/>
      <c r="C599" s="182"/>
      <c r="D599" s="135"/>
      <c r="E599" s="135"/>
      <c r="F599" s="135"/>
      <c r="G599" s="135"/>
    </row>
    <row r="600">
      <c r="B600" s="135"/>
      <c r="C600" s="182"/>
      <c r="D600" s="135"/>
      <c r="E600" s="135"/>
      <c r="F600" s="135"/>
      <c r="G600" s="135"/>
    </row>
    <row r="601">
      <c r="B601" s="135"/>
      <c r="C601" s="182"/>
      <c r="D601" s="135"/>
      <c r="E601" s="135"/>
      <c r="F601" s="135"/>
      <c r="G601" s="135"/>
    </row>
    <row r="602">
      <c r="B602" s="135"/>
      <c r="C602" s="182"/>
      <c r="D602" s="135"/>
      <c r="E602" s="135"/>
      <c r="F602" s="135"/>
      <c r="G602" s="135"/>
    </row>
    <row r="603">
      <c r="B603" s="135"/>
      <c r="C603" s="182"/>
      <c r="D603" s="135"/>
      <c r="E603" s="135"/>
      <c r="F603" s="135"/>
      <c r="G603" s="135"/>
    </row>
    <row r="604">
      <c r="B604" s="135"/>
      <c r="C604" s="182"/>
      <c r="D604" s="135"/>
      <c r="E604" s="135"/>
      <c r="F604" s="135"/>
      <c r="G604" s="135"/>
    </row>
    <row r="605">
      <c r="B605" s="135"/>
      <c r="C605" s="182"/>
      <c r="D605" s="135"/>
      <c r="E605" s="135"/>
      <c r="F605" s="135"/>
      <c r="G605" s="135"/>
    </row>
    <row r="606">
      <c r="B606" s="135"/>
      <c r="C606" s="182"/>
      <c r="D606" s="135"/>
      <c r="E606" s="135"/>
      <c r="F606" s="135"/>
      <c r="G606" s="135"/>
    </row>
    <row r="607">
      <c r="B607" s="135"/>
      <c r="C607" s="182"/>
      <c r="D607" s="135"/>
      <c r="E607" s="135"/>
      <c r="F607" s="135"/>
      <c r="G607" s="135"/>
    </row>
    <row r="608">
      <c r="B608" s="135"/>
      <c r="C608" s="182"/>
      <c r="D608" s="135"/>
      <c r="E608" s="135"/>
      <c r="F608" s="135"/>
      <c r="G608" s="135"/>
    </row>
    <row r="609">
      <c r="B609" s="135"/>
      <c r="C609" s="182"/>
      <c r="D609" s="135"/>
      <c r="E609" s="135"/>
      <c r="F609" s="135"/>
      <c r="G609" s="135"/>
    </row>
    <row r="610">
      <c r="B610" s="135"/>
      <c r="C610" s="182"/>
      <c r="D610" s="135"/>
      <c r="E610" s="135"/>
      <c r="F610" s="135"/>
      <c r="G610" s="135"/>
    </row>
    <row r="611">
      <c r="B611" s="135"/>
      <c r="C611" s="182"/>
      <c r="D611" s="135"/>
      <c r="E611" s="135"/>
      <c r="F611" s="135"/>
      <c r="G611" s="135"/>
    </row>
    <row r="612">
      <c r="B612" s="135"/>
      <c r="C612" s="182"/>
      <c r="D612" s="135"/>
      <c r="E612" s="135"/>
      <c r="F612" s="135"/>
      <c r="G612" s="135"/>
    </row>
    <row r="613">
      <c r="B613" s="135"/>
      <c r="C613" s="182"/>
      <c r="D613" s="135"/>
      <c r="E613" s="135"/>
      <c r="F613" s="135"/>
      <c r="G613" s="135"/>
    </row>
    <row r="614">
      <c r="B614" s="135"/>
      <c r="C614" s="182"/>
      <c r="D614" s="135"/>
      <c r="E614" s="135"/>
      <c r="F614" s="135"/>
      <c r="G614" s="135"/>
    </row>
    <row r="615">
      <c r="B615" s="135"/>
      <c r="C615" s="182"/>
      <c r="D615" s="135"/>
      <c r="E615" s="135"/>
      <c r="F615" s="135"/>
      <c r="G615" s="135"/>
    </row>
    <row r="616">
      <c r="B616" s="135"/>
      <c r="C616" s="182"/>
      <c r="D616" s="135"/>
      <c r="E616" s="135"/>
      <c r="F616" s="135"/>
      <c r="G616" s="135"/>
    </row>
    <row r="617">
      <c r="B617" s="135"/>
      <c r="C617" s="182"/>
      <c r="D617" s="135"/>
      <c r="E617" s="135"/>
      <c r="F617" s="135"/>
      <c r="G617" s="135"/>
    </row>
    <row r="618">
      <c r="B618" s="135"/>
      <c r="C618" s="182"/>
      <c r="D618" s="135"/>
      <c r="E618" s="135"/>
      <c r="F618" s="135"/>
      <c r="G618" s="135"/>
    </row>
    <row r="619">
      <c r="B619" s="135"/>
      <c r="C619" s="182"/>
      <c r="D619" s="135"/>
      <c r="E619" s="135"/>
      <c r="F619" s="135"/>
      <c r="G619" s="135"/>
    </row>
    <row r="620">
      <c r="B620" s="135"/>
      <c r="C620" s="182"/>
      <c r="D620" s="135"/>
      <c r="E620" s="135"/>
      <c r="F620" s="135"/>
      <c r="G620" s="135"/>
    </row>
    <row r="621">
      <c r="B621" s="135"/>
      <c r="C621" s="182"/>
      <c r="D621" s="135"/>
      <c r="E621" s="135"/>
      <c r="F621" s="135"/>
      <c r="G621" s="135"/>
    </row>
    <row r="622">
      <c r="B622" s="135"/>
      <c r="C622" s="182"/>
      <c r="D622" s="135"/>
      <c r="E622" s="135"/>
      <c r="F622" s="135"/>
      <c r="G622" s="135"/>
    </row>
    <row r="623">
      <c r="B623" s="135"/>
      <c r="C623" s="182"/>
      <c r="D623" s="135"/>
      <c r="E623" s="135"/>
      <c r="F623" s="135"/>
      <c r="G623" s="135"/>
    </row>
    <row r="624">
      <c r="B624" s="135"/>
      <c r="C624" s="182"/>
      <c r="D624" s="135"/>
      <c r="E624" s="135"/>
      <c r="F624" s="135"/>
      <c r="G624" s="135"/>
    </row>
    <row r="625">
      <c r="B625" s="135"/>
      <c r="C625" s="182"/>
      <c r="D625" s="135"/>
      <c r="E625" s="135"/>
      <c r="F625" s="135"/>
      <c r="G625" s="135"/>
    </row>
    <row r="626">
      <c r="B626" s="135"/>
      <c r="C626" s="182"/>
      <c r="D626" s="135"/>
      <c r="E626" s="135"/>
      <c r="F626" s="135"/>
      <c r="G626" s="135"/>
    </row>
    <row r="627">
      <c r="B627" s="135"/>
      <c r="C627" s="182"/>
      <c r="D627" s="135"/>
      <c r="E627" s="135"/>
      <c r="F627" s="135"/>
      <c r="G627" s="135"/>
    </row>
    <row r="628">
      <c r="B628" s="135"/>
      <c r="C628" s="182"/>
      <c r="D628" s="135"/>
      <c r="E628" s="135"/>
      <c r="F628" s="135"/>
      <c r="G628" s="135"/>
    </row>
    <row r="629">
      <c r="B629" s="135"/>
      <c r="C629" s="182"/>
      <c r="D629" s="135"/>
      <c r="E629" s="135"/>
      <c r="F629" s="135"/>
      <c r="G629" s="135"/>
    </row>
    <row r="630">
      <c r="B630" s="135"/>
      <c r="C630" s="182"/>
      <c r="D630" s="135"/>
      <c r="E630" s="135"/>
      <c r="F630" s="135"/>
      <c r="G630" s="135"/>
    </row>
    <row r="631">
      <c r="B631" s="135"/>
      <c r="C631" s="182"/>
      <c r="D631" s="135"/>
      <c r="E631" s="135"/>
      <c r="F631" s="135"/>
      <c r="G631" s="135"/>
    </row>
    <row r="632">
      <c r="B632" s="135"/>
      <c r="C632" s="182"/>
      <c r="D632" s="135"/>
      <c r="E632" s="135"/>
      <c r="F632" s="135"/>
      <c r="G632" s="135"/>
    </row>
    <row r="633">
      <c r="B633" s="135"/>
      <c r="C633" s="182"/>
      <c r="D633" s="135"/>
      <c r="E633" s="135"/>
      <c r="F633" s="135"/>
      <c r="G633" s="135"/>
    </row>
    <row r="634">
      <c r="B634" s="135"/>
      <c r="C634" s="182"/>
      <c r="D634" s="135"/>
      <c r="E634" s="135"/>
      <c r="F634" s="135"/>
      <c r="G634" s="135"/>
    </row>
    <row r="635">
      <c r="B635" s="135"/>
      <c r="C635" s="182"/>
      <c r="D635" s="135"/>
      <c r="E635" s="135"/>
      <c r="F635" s="135"/>
      <c r="G635" s="135"/>
    </row>
    <row r="636">
      <c r="B636" s="135"/>
      <c r="C636" s="182"/>
      <c r="D636" s="135"/>
      <c r="E636" s="135"/>
      <c r="F636" s="135"/>
      <c r="G636" s="135"/>
    </row>
    <row r="637">
      <c r="B637" s="135"/>
      <c r="C637" s="182"/>
      <c r="D637" s="135"/>
      <c r="E637" s="135"/>
      <c r="F637" s="135"/>
      <c r="G637" s="135"/>
    </row>
    <row r="638">
      <c r="B638" s="135"/>
      <c r="C638" s="182"/>
      <c r="D638" s="135"/>
      <c r="E638" s="135"/>
      <c r="F638" s="135"/>
      <c r="G638" s="135"/>
    </row>
    <row r="639">
      <c r="B639" s="135"/>
      <c r="C639" s="182"/>
      <c r="D639" s="135"/>
      <c r="E639" s="135"/>
      <c r="F639" s="135"/>
      <c r="G639" s="135"/>
    </row>
    <row r="640">
      <c r="B640" s="135"/>
      <c r="C640" s="182"/>
      <c r="D640" s="135"/>
      <c r="E640" s="135"/>
      <c r="F640" s="135"/>
      <c r="G640" s="135"/>
    </row>
    <row r="641">
      <c r="B641" s="135"/>
      <c r="C641" s="182"/>
      <c r="D641" s="135"/>
      <c r="E641" s="135"/>
      <c r="F641" s="135"/>
      <c r="G641" s="135"/>
    </row>
    <row r="642">
      <c r="B642" s="135"/>
      <c r="C642" s="182"/>
      <c r="D642" s="135"/>
      <c r="E642" s="135"/>
      <c r="F642" s="135"/>
      <c r="G642" s="135"/>
    </row>
    <row r="643">
      <c r="B643" s="135"/>
      <c r="C643" s="182"/>
      <c r="D643" s="135"/>
      <c r="E643" s="135"/>
      <c r="F643" s="135"/>
      <c r="G643" s="135"/>
    </row>
    <row r="644">
      <c r="B644" s="135"/>
      <c r="C644" s="182"/>
      <c r="D644" s="135"/>
      <c r="E644" s="135"/>
      <c r="F644" s="135"/>
      <c r="G644" s="135"/>
    </row>
    <row r="645">
      <c r="B645" s="135"/>
      <c r="C645" s="182"/>
      <c r="D645" s="135"/>
      <c r="E645" s="135"/>
      <c r="F645" s="135"/>
      <c r="G645" s="135"/>
    </row>
    <row r="646">
      <c r="B646" s="135"/>
      <c r="C646" s="182"/>
      <c r="D646" s="135"/>
      <c r="E646" s="135"/>
      <c r="F646" s="135"/>
      <c r="G646" s="135"/>
    </row>
    <row r="647">
      <c r="B647" s="135"/>
      <c r="C647" s="182"/>
      <c r="D647" s="135"/>
      <c r="E647" s="135"/>
      <c r="F647" s="135"/>
      <c r="G647" s="135"/>
    </row>
    <row r="648">
      <c r="B648" s="135"/>
      <c r="C648" s="182"/>
      <c r="D648" s="135"/>
      <c r="E648" s="135"/>
      <c r="F648" s="135"/>
      <c r="G648" s="135"/>
    </row>
    <row r="649">
      <c r="B649" s="135"/>
      <c r="C649" s="182"/>
      <c r="D649" s="135"/>
      <c r="E649" s="135"/>
      <c r="F649" s="135"/>
      <c r="G649" s="135"/>
    </row>
    <row r="650">
      <c r="B650" s="135"/>
      <c r="C650" s="182"/>
      <c r="D650" s="135"/>
      <c r="E650" s="135"/>
      <c r="F650" s="135"/>
      <c r="G650" s="135"/>
    </row>
    <row r="651">
      <c r="B651" s="135"/>
      <c r="C651" s="182"/>
      <c r="D651" s="135"/>
      <c r="E651" s="135"/>
      <c r="F651" s="135"/>
      <c r="G651" s="135"/>
    </row>
    <row r="652">
      <c r="B652" s="135"/>
      <c r="C652" s="182"/>
      <c r="D652" s="135"/>
      <c r="E652" s="135"/>
      <c r="F652" s="135"/>
      <c r="G652" s="135"/>
    </row>
    <row r="653">
      <c r="B653" s="135"/>
      <c r="C653" s="182"/>
      <c r="D653" s="135"/>
      <c r="E653" s="135"/>
      <c r="F653" s="135"/>
      <c r="G653" s="135"/>
    </row>
    <row r="654">
      <c r="B654" s="135"/>
      <c r="C654" s="182"/>
      <c r="D654" s="135"/>
      <c r="E654" s="135"/>
      <c r="F654" s="135"/>
      <c r="G654" s="135"/>
    </row>
    <row r="655">
      <c r="B655" s="135"/>
      <c r="C655" s="182"/>
      <c r="D655" s="135"/>
      <c r="E655" s="135"/>
      <c r="F655" s="135"/>
      <c r="G655" s="135"/>
    </row>
    <row r="656">
      <c r="B656" s="135"/>
      <c r="C656" s="182"/>
      <c r="D656" s="135"/>
      <c r="E656" s="135"/>
      <c r="F656" s="135"/>
      <c r="G656" s="135"/>
    </row>
    <row r="657">
      <c r="B657" s="135"/>
      <c r="C657" s="182"/>
      <c r="D657" s="135"/>
      <c r="E657" s="135"/>
      <c r="F657" s="135"/>
      <c r="G657" s="135"/>
    </row>
    <row r="658">
      <c r="B658" s="135"/>
      <c r="C658" s="182"/>
      <c r="D658" s="135"/>
      <c r="E658" s="135"/>
      <c r="F658" s="135"/>
      <c r="G658" s="135"/>
    </row>
    <row r="659">
      <c r="B659" s="135"/>
      <c r="C659" s="182"/>
      <c r="D659" s="135"/>
      <c r="E659" s="135"/>
      <c r="F659" s="135"/>
      <c r="G659" s="135"/>
    </row>
    <row r="660">
      <c r="B660" s="135"/>
      <c r="C660" s="182"/>
      <c r="D660" s="135"/>
      <c r="E660" s="135"/>
      <c r="F660" s="135"/>
      <c r="G660" s="135"/>
    </row>
    <row r="661">
      <c r="B661" s="135"/>
      <c r="C661" s="182"/>
      <c r="D661" s="135"/>
      <c r="E661" s="135"/>
      <c r="F661" s="135"/>
      <c r="G661" s="135"/>
    </row>
    <row r="662">
      <c r="B662" s="135"/>
      <c r="C662" s="182"/>
      <c r="D662" s="135"/>
      <c r="E662" s="135"/>
      <c r="F662" s="135"/>
      <c r="G662" s="135"/>
    </row>
    <row r="663">
      <c r="B663" s="135"/>
      <c r="C663" s="182"/>
      <c r="D663" s="135"/>
      <c r="E663" s="135"/>
      <c r="F663" s="135"/>
      <c r="G663" s="135"/>
    </row>
    <row r="664">
      <c r="B664" s="135"/>
      <c r="C664" s="182"/>
      <c r="D664" s="135"/>
      <c r="E664" s="135"/>
      <c r="F664" s="135"/>
      <c r="G664" s="135"/>
    </row>
    <row r="665">
      <c r="B665" s="135"/>
      <c r="C665" s="182"/>
      <c r="D665" s="135"/>
      <c r="E665" s="135"/>
      <c r="F665" s="135"/>
      <c r="G665" s="135"/>
    </row>
    <row r="666">
      <c r="B666" s="135"/>
      <c r="C666" s="182"/>
      <c r="D666" s="135"/>
      <c r="E666" s="135"/>
      <c r="F666" s="135"/>
      <c r="G666" s="135"/>
    </row>
    <row r="667">
      <c r="B667" s="135"/>
      <c r="C667" s="182"/>
      <c r="D667" s="135"/>
      <c r="E667" s="135"/>
      <c r="F667" s="135"/>
      <c r="G667" s="135"/>
    </row>
    <row r="668">
      <c r="B668" s="135"/>
      <c r="C668" s="182"/>
      <c r="D668" s="135"/>
      <c r="E668" s="135"/>
      <c r="F668" s="135"/>
      <c r="G668" s="135"/>
    </row>
    <row r="669">
      <c r="B669" s="135"/>
      <c r="C669" s="182"/>
      <c r="D669" s="135"/>
      <c r="E669" s="135"/>
      <c r="F669" s="135"/>
      <c r="G669" s="135"/>
    </row>
    <row r="670">
      <c r="B670" s="135"/>
      <c r="C670" s="182"/>
      <c r="D670" s="135"/>
      <c r="E670" s="135"/>
      <c r="F670" s="135"/>
      <c r="G670" s="135"/>
    </row>
    <row r="671">
      <c r="B671" s="135"/>
      <c r="C671" s="182"/>
      <c r="D671" s="135"/>
      <c r="E671" s="135"/>
      <c r="F671" s="135"/>
      <c r="G671" s="135"/>
    </row>
    <row r="672">
      <c r="B672" s="135"/>
      <c r="C672" s="182"/>
      <c r="D672" s="135"/>
      <c r="E672" s="135"/>
      <c r="F672" s="135"/>
      <c r="G672" s="135"/>
    </row>
    <row r="673">
      <c r="B673" s="135"/>
      <c r="C673" s="182"/>
      <c r="D673" s="135"/>
      <c r="E673" s="135"/>
      <c r="F673" s="135"/>
      <c r="G673" s="135"/>
    </row>
    <row r="674">
      <c r="B674" s="135"/>
      <c r="C674" s="182"/>
      <c r="D674" s="135"/>
      <c r="E674" s="135"/>
      <c r="F674" s="135"/>
      <c r="G674" s="135"/>
    </row>
    <row r="675">
      <c r="B675" s="135"/>
      <c r="C675" s="182"/>
      <c r="D675" s="135"/>
      <c r="E675" s="135"/>
      <c r="F675" s="135"/>
      <c r="G675" s="135"/>
    </row>
    <row r="676">
      <c r="B676" s="135"/>
      <c r="C676" s="182"/>
      <c r="D676" s="135"/>
      <c r="E676" s="135"/>
      <c r="F676" s="135"/>
      <c r="G676" s="135"/>
    </row>
    <row r="677">
      <c r="B677" s="135"/>
      <c r="C677" s="182"/>
      <c r="D677" s="135"/>
      <c r="E677" s="135"/>
      <c r="F677" s="135"/>
      <c r="G677" s="135"/>
    </row>
    <row r="678">
      <c r="B678" s="135"/>
      <c r="C678" s="182"/>
      <c r="D678" s="135"/>
      <c r="E678" s="135"/>
      <c r="F678" s="135"/>
      <c r="G678" s="135"/>
    </row>
    <row r="679">
      <c r="B679" s="135"/>
      <c r="C679" s="182"/>
      <c r="D679" s="135"/>
      <c r="E679" s="135"/>
      <c r="F679" s="135"/>
      <c r="G679" s="135"/>
    </row>
    <row r="680">
      <c r="B680" s="135"/>
      <c r="C680" s="182"/>
      <c r="D680" s="135"/>
      <c r="E680" s="135"/>
      <c r="F680" s="135"/>
      <c r="G680" s="135"/>
    </row>
    <row r="681">
      <c r="B681" s="135"/>
      <c r="C681" s="182"/>
      <c r="D681" s="135"/>
      <c r="E681" s="135"/>
      <c r="F681" s="135"/>
      <c r="G681" s="135"/>
    </row>
    <row r="682">
      <c r="B682" s="135"/>
      <c r="C682" s="182"/>
      <c r="D682" s="135"/>
      <c r="E682" s="135"/>
      <c r="F682" s="135"/>
      <c r="G682" s="135"/>
    </row>
    <row r="683">
      <c r="B683" s="135"/>
      <c r="C683" s="182"/>
      <c r="D683" s="135"/>
      <c r="E683" s="135"/>
      <c r="F683" s="135"/>
      <c r="G683" s="135"/>
    </row>
    <row r="684">
      <c r="B684" s="135"/>
      <c r="C684" s="182"/>
      <c r="D684" s="135"/>
      <c r="E684" s="135"/>
      <c r="F684" s="135"/>
      <c r="G684" s="135"/>
    </row>
    <row r="685">
      <c r="B685" s="135"/>
      <c r="C685" s="182"/>
      <c r="D685" s="135"/>
      <c r="E685" s="135"/>
      <c r="F685" s="135"/>
      <c r="G685" s="135"/>
    </row>
    <row r="686">
      <c r="B686" s="135"/>
      <c r="C686" s="182"/>
      <c r="D686" s="135"/>
      <c r="E686" s="135"/>
      <c r="F686" s="135"/>
      <c r="G686" s="135"/>
    </row>
    <row r="687">
      <c r="B687" s="135"/>
      <c r="C687" s="182"/>
      <c r="D687" s="135"/>
      <c r="E687" s="135"/>
      <c r="F687" s="135"/>
      <c r="G687" s="135"/>
    </row>
    <row r="688">
      <c r="B688" s="135"/>
      <c r="C688" s="182"/>
      <c r="D688" s="135"/>
      <c r="E688" s="135"/>
      <c r="F688" s="135"/>
      <c r="G688" s="135"/>
    </row>
    <row r="689">
      <c r="B689" s="135"/>
      <c r="C689" s="182"/>
      <c r="D689" s="135"/>
      <c r="E689" s="135"/>
      <c r="F689" s="135"/>
      <c r="G689" s="135"/>
    </row>
    <row r="690">
      <c r="B690" s="135"/>
      <c r="C690" s="182"/>
      <c r="D690" s="135"/>
      <c r="E690" s="135"/>
      <c r="F690" s="135"/>
      <c r="G690" s="135"/>
    </row>
    <row r="691">
      <c r="B691" s="135"/>
      <c r="C691" s="182"/>
      <c r="D691" s="135"/>
      <c r="E691" s="135"/>
      <c r="F691" s="135"/>
      <c r="G691" s="135"/>
    </row>
    <row r="692">
      <c r="B692" s="135"/>
      <c r="C692" s="182"/>
      <c r="D692" s="135"/>
      <c r="E692" s="135"/>
      <c r="F692" s="135"/>
      <c r="G692" s="135"/>
    </row>
    <row r="693">
      <c r="B693" s="135"/>
      <c r="C693" s="182"/>
      <c r="D693" s="135"/>
      <c r="E693" s="135"/>
      <c r="F693" s="135"/>
      <c r="G693" s="135"/>
    </row>
    <row r="694">
      <c r="B694" s="135"/>
      <c r="C694" s="182"/>
      <c r="D694" s="135"/>
      <c r="E694" s="135"/>
      <c r="F694" s="135"/>
      <c r="G694" s="135"/>
    </row>
    <row r="695">
      <c r="B695" s="135"/>
      <c r="C695" s="182"/>
      <c r="D695" s="135"/>
      <c r="E695" s="135"/>
      <c r="F695" s="135"/>
      <c r="G695" s="135"/>
    </row>
    <row r="696">
      <c r="B696" s="135"/>
      <c r="C696" s="182"/>
      <c r="D696" s="135"/>
      <c r="E696" s="135"/>
      <c r="F696" s="135"/>
      <c r="G696" s="135"/>
    </row>
    <row r="697">
      <c r="B697" s="135"/>
      <c r="C697" s="182"/>
      <c r="D697" s="135"/>
      <c r="E697" s="135"/>
      <c r="F697" s="135"/>
      <c r="G697" s="135"/>
    </row>
    <row r="698">
      <c r="B698" s="135"/>
      <c r="C698" s="182"/>
      <c r="D698" s="135"/>
      <c r="E698" s="135"/>
      <c r="F698" s="135"/>
      <c r="G698" s="135"/>
    </row>
    <row r="699">
      <c r="B699" s="135"/>
      <c r="C699" s="182"/>
      <c r="D699" s="135"/>
      <c r="E699" s="135"/>
      <c r="F699" s="135"/>
      <c r="G699" s="135"/>
    </row>
    <row r="700">
      <c r="B700" s="135"/>
      <c r="C700" s="182"/>
      <c r="D700" s="135"/>
      <c r="E700" s="135"/>
      <c r="F700" s="135"/>
      <c r="G700" s="135"/>
    </row>
    <row r="701">
      <c r="B701" s="135"/>
      <c r="C701" s="182"/>
      <c r="D701" s="135"/>
      <c r="E701" s="135"/>
      <c r="F701" s="135"/>
      <c r="G701" s="135"/>
    </row>
    <row r="702">
      <c r="B702" s="135"/>
      <c r="C702" s="182"/>
      <c r="D702" s="135"/>
      <c r="E702" s="135"/>
      <c r="F702" s="135"/>
      <c r="G702" s="135"/>
    </row>
    <row r="703">
      <c r="B703" s="135"/>
      <c r="C703" s="182"/>
      <c r="D703" s="135"/>
      <c r="E703" s="135"/>
      <c r="F703" s="135"/>
      <c r="G703" s="135"/>
    </row>
    <row r="704">
      <c r="B704" s="135"/>
      <c r="C704" s="182"/>
      <c r="D704" s="135"/>
      <c r="E704" s="135"/>
      <c r="F704" s="135"/>
      <c r="G704" s="135"/>
    </row>
    <row r="705">
      <c r="B705" s="135"/>
      <c r="C705" s="182"/>
      <c r="D705" s="135"/>
      <c r="E705" s="135"/>
      <c r="F705" s="135"/>
      <c r="G705" s="135"/>
    </row>
    <row r="706">
      <c r="B706" s="135"/>
      <c r="C706" s="182"/>
      <c r="D706" s="135"/>
      <c r="E706" s="135"/>
      <c r="F706" s="135"/>
      <c r="G706" s="135"/>
    </row>
    <row r="707">
      <c r="B707" s="135"/>
      <c r="C707" s="182"/>
      <c r="D707" s="135"/>
      <c r="E707" s="135"/>
      <c r="F707" s="135"/>
      <c r="G707" s="135"/>
    </row>
    <row r="708">
      <c r="B708" s="135"/>
      <c r="C708" s="182"/>
      <c r="D708" s="135"/>
      <c r="E708" s="135"/>
      <c r="F708" s="135"/>
      <c r="G708" s="135"/>
    </row>
    <row r="709">
      <c r="B709" s="135"/>
      <c r="C709" s="182"/>
      <c r="D709" s="135"/>
      <c r="E709" s="135"/>
      <c r="F709" s="135"/>
      <c r="G709" s="135"/>
    </row>
    <row r="710">
      <c r="B710" s="135"/>
      <c r="C710" s="182"/>
      <c r="D710" s="135"/>
      <c r="E710" s="135"/>
      <c r="F710" s="135"/>
      <c r="G710" s="135"/>
    </row>
    <row r="711">
      <c r="B711" s="135"/>
      <c r="C711" s="182"/>
      <c r="D711" s="135"/>
      <c r="E711" s="135"/>
      <c r="F711" s="135"/>
      <c r="G711" s="135"/>
    </row>
    <row r="712">
      <c r="B712" s="135"/>
      <c r="C712" s="182"/>
      <c r="D712" s="135"/>
      <c r="E712" s="135"/>
      <c r="F712" s="135"/>
      <c r="G712" s="135"/>
    </row>
    <row r="713">
      <c r="B713" s="135"/>
      <c r="C713" s="182"/>
      <c r="D713" s="135"/>
      <c r="E713" s="135"/>
      <c r="F713" s="135"/>
      <c r="G713" s="135"/>
    </row>
    <row r="714">
      <c r="B714" s="135"/>
      <c r="C714" s="182"/>
      <c r="D714" s="135"/>
      <c r="E714" s="135"/>
      <c r="F714" s="135"/>
      <c r="G714" s="135"/>
    </row>
    <row r="715">
      <c r="B715" s="135"/>
      <c r="C715" s="182"/>
      <c r="D715" s="135"/>
      <c r="E715" s="135"/>
      <c r="F715" s="135"/>
      <c r="G715" s="135"/>
    </row>
    <row r="716">
      <c r="B716" s="135"/>
      <c r="C716" s="182"/>
      <c r="D716" s="135"/>
      <c r="E716" s="135"/>
      <c r="F716" s="135"/>
      <c r="G716" s="135"/>
    </row>
    <row r="717">
      <c r="B717" s="135"/>
      <c r="C717" s="182"/>
      <c r="D717" s="135"/>
      <c r="E717" s="135"/>
      <c r="F717" s="135"/>
      <c r="G717" s="135"/>
    </row>
    <row r="718">
      <c r="B718" s="135"/>
      <c r="C718" s="182"/>
      <c r="D718" s="135"/>
      <c r="E718" s="135"/>
      <c r="F718" s="135"/>
      <c r="G718" s="135"/>
    </row>
    <row r="719">
      <c r="B719" s="135"/>
      <c r="C719" s="182"/>
      <c r="D719" s="135"/>
      <c r="E719" s="135"/>
      <c r="F719" s="135"/>
      <c r="G719" s="135"/>
    </row>
    <row r="720">
      <c r="B720" s="135"/>
      <c r="C720" s="182"/>
      <c r="D720" s="135"/>
      <c r="E720" s="135"/>
      <c r="F720" s="135"/>
      <c r="G720" s="135"/>
    </row>
    <row r="721">
      <c r="B721" s="135"/>
      <c r="C721" s="182"/>
      <c r="D721" s="135"/>
      <c r="E721" s="135"/>
      <c r="F721" s="135"/>
      <c r="G721" s="135"/>
    </row>
    <row r="722">
      <c r="B722" s="135"/>
      <c r="C722" s="182"/>
      <c r="D722" s="135"/>
      <c r="E722" s="135"/>
      <c r="F722" s="135"/>
      <c r="G722" s="135"/>
    </row>
    <row r="723">
      <c r="B723" s="135"/>
      <c r="C723" s="182"/>
      <c r="D723" s="135"/>
      <c r="E723" s="135"/>
      <c r="F723" s="135"/>
      <c r="G723" s="135"/>
    </row>
    <row r="724">
      <c r="B724" s="135"/>
      <c r="C724" s="182"/>
      <c r="D724" s="135"/>
      <c r="E724" s="135"/>
      <c r="F724" s="135"/>
      <c r="G724" s="135"/>
    </row>
    <row r="725">
      <c r="B725" s="135"/>
      <c r="C725" s="182"/>
      <c r="D725" s="135"/>
      <c r="E725" s="135"/>
      <c r="F725" s="135"/>
      <c r="G725" s="135"/>
    </row>
    <row r="726">
      <c r="B726" s="135"/>
      <c r="C726" s="182"/>
      <c r="D726" s="135"/>
      <c r="E726" s="135"/>
      <c r="F726" s="135"/>
      <c r="G726" s="135"/>
    </row>
    <row r="727">
      <c r="B727" s="135"/>
      <c r="C727" s="182"/>
      <c r="D727" s="135"/>
      <c r="E727" s="135"/>
      <c r="F727" s="135"/>
      <c r="G727" s="135"/>
    </row>
    <row r="728">
      <c r="B728" s="135"/>
      <c r="C728" s="182"/>
      <c r="D728" s="135"/>
      <c r="E728" s="135"/>
      <c r="F728" s="135"/>
      <c r="G728" s="135"/>
    </row>
    <row r="729">
      <c r="B729" s="135"/>
      <c r="C729" s="182"/>
      <c r="D729" s="135"/>
      <c r="E729" s="135"/>
      <c r="F729" s="135"/>
      <c r="G729" s="135"/>
    </row>
    <row r="730">
      <c r="B730" s="135"/>
      <c r="C730" s="182"/>
      <c r="D730" s="135"/>
      <c r="E730" s="135"/>
      <c r="F730" s="135"/>
      <c r="G730" s="135"/>
    </row>
    <row r="731">
      <c r="B731" s="135"/>
      <c r="C731" s="182"/>
      <c r="D731" s="135"/>
      <c r="E731" s="135"/>
      <c r="F731" s="135"/>
      <c r="G731" s="135"/>
    </row>
    <row r="732">
      <c r="B732" s="135"/>
      <c r="C732" s="182"/>
      <c r="D732" s="135"/>
      <c r="E732" s="135"/>
      <c r="F732" s="135"/>
      <c r="G732" s="135"/>
    </row>
    <row r="733">
      <c r="B733" s="135"/>
      <c r="C733" s="182"/>
      <c r="D733" s="135"/>
      <c r="E733" s="135"/>
      <c r="F733" s="135"/>
      <c r="G733" s="135"/>
    </row>
    <row r="734">
      <c r="B734" s="135"/>
      <c r="C734" s="182"/>
      <c r="D734" s="135"/>
      <c r="E734" s="135"/>
      <c r="F734" s="135"/>
      <c r="G734" s="135"/>
    </row>
    <row r="735">
      <c r="B735" s="135"/>
      <c r="C735" s="182"/>
      <c r="D735" s="135"/>
      <c r="E735" s="135"/>
      <c r="F735" s="135"/>
      <c r="G735" s="135"/>
    </row>
    <row r="736">
      <c r="B736" s="135"/>
      <c r="C736" s="182"/>
      <c r="D736" s="135"/>
      <c r="E736" s="135"/>
      <c r="F736" s="135"/>
      <c r="G736" s="135"/>
    </row>
    <row r="737">
      <c r="B737" s="135"/>
      <c r="C737" s="182"/>
      <c r="D737" s="135"/>
      <c r="E737" s="135"/>
      <c r="F737" s="135"/>
      <c r="G737" s="135"/>
    </row>
    <row r="738">
      <c r="B738" s="135"/>
      <c r="C738" s="182"/>
      <c r="D738" s="135"/>
      <c r="E738" s="135"/>
      <c r="F738" s="135"/>
      <c r="G738" s="135"/>
    </row>
    <row r="739">
      <c r="B739" s="135"/>
      <c r="C739" s="182"/>
      <c r="D739" s="135"/>
      <c r="E739" s="135"/>
      <c r="F739" s="135"/>
      <c r="G739" s="135"/>
    </row>
    <row r="740">
      <c r="B740" s="135"/>
      <c r="C740" s="182"/>
      <c r="D740" s="135"/>
      <c r="E740" s="135"/>
      <c r="F740" s="135"/>
      <c r="G740" s="135"/>
    </row>
    <row r="741">
      <c r="B741" s="135"/>
      <c r="C741" s="182"/>
      <c r="D741" s="135"/>
      <c r="E741" s="135"/>
      <c r="F741" s="135"/>
      <c r="G741" s="135"/>
    </row>
    <row r="742">
      <c r="B742" s="135"/>
      <c r="C742" s="182"/>
      <c r="D742" s="135"/>
      <c r="E742" s="135"/>
      <c r="F742" s="135"/>
      <c r="G742" s="135"/>
    </row>
    <row r="743">
      <c r="B743" s="135"/>
      <c r="C743" s="182"/>
      <c r="D743" s="135"/>
      <c r="E743" s="135"/>
      <c r="F743" s="135"/>
      <c r="G743" s="135"/>
    </row>
    <row r="744">
      <c r="B744" s="135"/>
      <c r="C744" s="182"/>
      <c r="D744" s="135"/>
      <c r="E744" s="135"/>
      <c r="F744" s="135"/>
      <c r="G744" s="135"/>
    </row>
    <row r="745">
      <c r="B745" s="135"/>
      <c r="C745" s="182"/>
      <c r="D745" s="135"/>
      <c r="E745" s="135"/>
      <c r="F745" s="135"/>
      <c r="G745" s="135"/>
    </row>
    <row r="746">
      <c r="B746" s="135"/>
      <c r="C746" s="182"/>
      <c r="D746" s="135"/>
      <c r="E746" s="135"/>
      <c r="F746" s="135"/>
      <c r="G746" s="135"/>
    </row>
    <row r="747">
      <c r="B747" s="135"/>
      <c r="C747" s="182"/>
      <c r="D747" s="135"/>
      <c r="E747" s="135"/>
      <c r="F747" s="135"/>
      <c r="G747" s="135"/>
    </row>
    <row r="748">
      <c r="B748" s="135"/>
      <c r="C748" s="182"/>
      <c r="D748" s="135"/>
      <c r="E748" s="135"/>
      <c r="F748" s="135"/>
      <c r="G748" s="135"/>
    </row>
    <row r="749">
      <c r="B749" s="135"/>
      <c r="C749" s="182"/>
      <c r="D749" s="135"/>
      <c r="E749" s="135"/>
      <c r="F749" s="135"/>
      <c r="G749" s="135"/>
    </row>
    <row r="750">
      <c r="B750" s="135"/>
      <c r="C750" s="182"/>
      <c r="D750" s="135"/>
      <c r="E750" s="135"/>
      <c r="F750" s="135"/>
      <c r="G750" s="135"/>
    </row>
    <row r="751">
      <c r="B751" s="135"/>
      <c r="C751" s="182"/>
      <c r="D751" s="135"/>
      <c r="E751" s="135"/>
      <c r="F751" s="135"/>
      <c r="G751" s="135"/>
    </row>
    <row r="752">
      <c r="B752" s="135"/>
      <c r="C752" s="182"/>
      <c r="D752" s="135"/>
      <c r="E752" s="135"/>
      <c r="F752" s="135"/>
      <c r="G752" s="135"/>
    </row>
    <row r="753">
      <c r="B753" s="135"/>
      <c r="C753" s="182"/>
      <c r="D753" s="135"/>
      <c r="E753" s="135"/>
      <c r="F753" s="135"/>
      <c r="G753" s="135"/>
    </row>
    <row r="754">
      <c r="B754" s="135"/>
      <c r="C754" s="182"/>
      <c r="D754" s="135"/>
      <c r="E754" s="135"/>
      <c r="F754" s="135"/>
      <c r="G754" s="135"/>
    </row>
    <row r="755">
      <c r="B755" s="135"/>
      <c r="C755" s="182"/>
      <c r="D755" s="135"/>
      <c r="E755" s="135"/>
      <c r="F755" s="135"/>
      <c r="G755" s="135"/>
    </row>
    <row r="756">
      <c r="B756" s="135"/>
      <c r="C756" s="182"/>
      <c r="D756" s="135"/>
      <c r="E756" s="135"/>
      <c r="F756" s="135"/>
      <c r="G756" s="135"/>
    </row>
    <row r="757">
      <c r="B757" s="135"/>
      <c r="C757" s="182"/>
      <c r="D757" s="135"/>
      <c r="E757" s="135"/>
      <c r="F757" s="135"/>
      <c r="G757" s="135"/>
    </row>
    <row r="758">
      <c r="B758" s="135"/>
      <c r="C758" s="182"/>
      <c r="D758" s="135"/>
      <c r="E758" s="135"/>
      <c r="F758" s="135"/>
      <c r="G758" s="135"/>
    </row>
    <row r="759">
      <c r="B759" s="135"/>
      <c r="C759" s="182"/>
      <c r="D759" s="135"/>
      <c r="E759" s="135"/>
      <c r="F759" s="135"/>
      <c r="G759" s="135"/>
    </row>
    <row r="760">
      <c r="B760" s="135"/>
      <c r="C760" s="182"/>
      <c r="D760" s="135"/>
      <c r="E760" s="135"/>
      <c r="F760" s="135"/>
      <c r="G760" s="135"/>
    </row>
    <row r="761">
      <c r="B761" s="135"/>
      <c r="C761" s="182"/>
      <c r="D761" s="135"/>
      <c r="E761" s="135"/>
      <c r="F761" s="135"/>
      <c r="G761" s="135"/>
    </row>
    <row r="762">
      <c r="B762" s="135"/>
      <c r="C762" s="182"/>
      <c r="D762" s="135"/>
      <c r="E762" s="135"/>
      <c r="F762" s="135"/>
      <c r="G762" s="135"/>
    </row>
    <row r="763">
      <c r="B763" s="135"/>
      <c r="C763" s="182"/>
      <c r="D763" s="135"/>
      <c r="E763" s="135"/>
      <c r="F763" s="135"/>
      <c r="G763" s="135"/>
    </row>
    <row r="764">
      <c r="B764" s="135"/>
      <c r="C764" s="182"/>
      <c r="D764" s="135"/>
      <c r="E764" s="135"/>
      <c r="F764" s="135"/>
      <c r="G764" s="135"/>
    </row>
    <row r="765">
      <c r="B765" s="135"/>
      <c r="C765" s="182"/>
      <c r="D765" s="135"/>
      <c r="E765" s="135"/>
      <c r="F765" s="135"/>
      <c r="G765" s="135"/>
    </row>
    <row r="766">
      <c r="B766" s="135"/>
      <c r="C766" s="182"/>
      <c r="D766" s="135"/>
      <c r="E766" s="135"/>
      <c r="F766" s="135"/>
      <c r="G766" s="135"/>
    </row>
    <row r="767">
      <c r="B767" s="135"/>
      <c r="C767" s="182"/>
      <c r="D767" s="135"/>
      <c r="E767" s="135"/>
      <c r="F767" s="135"/>
      <c r="G767" s="135"/>
    </row>
    <row r="768">
      <c r="B768" s="135"/>
      <c r="C768" s="182"/>
      <c r="D768" s="135"/>
      <c r="E768" s="135"/>
      <c r="F768" s="135"/>
      <c r="G768" s="135"/>
    </row>
    <row r="769">
      <c r="B769" s="135"/>
      <c r="C769" s="182"/>
      <c r="D769" s="135"/>
      <c r="E769" s="135"/>
      <c r="F769" s="135"/>
      <c r="G769" s="135"/>
    </row>
    <row r="770">
      <c r="B770" s="135"/>
      <c r="C770" s="182"/>
      <c r="D770" s="135"/>
      <c r="E770" s="135"/>
      <c r="F770" s="135"/>
      <c r="G770" s="135"/>
    </row>
    <row r="771">
      <c r="B771" s="135"/>
      <c r="C771" s="182"/>
      <c r="D771" s="135"/>
      <c r="E771" s="135"/>
      <c r="F771" s="135"/>
      <c r="G771" s="135"/>
    </row>
    <row r="772">
      <c r="B772" s="135"/>
      <c r="C772" s="182"/>
      <c r="D772" s="135"/>
      <c r="E772" s="135"/>
      <c r="F772" s="135"/>
      <c r="G772" s="135"/>
    </row>
    <row r="773">
      <c r="B773" s="135"/>
      <c r="C773" s="182"/>
      <c r="D773" s="135"/>
      <c r="E773" s="135"/>
      <c r="F773" s="135"/>
      <c r="G773" s="135"/>
    </row>
    <row r="774">
      <c r="B774" s="135"/>
      <c r="C774" s="182"/>
      <c r="D774" s="135"/>
      <c r="E774" s="135"/>
      <c r="F774" s="135"/>
      <c r="G774" s="135"/>
    </row>
    <row r="775">
      <c r="B775" s="135"/>
      <c r="C775" s="182"/>
      <c r="D775" s="135"/>
      <c r="E775" s="135"/>
      <c r="F775" s="135"/>
      <c r="G775" s="135"/>
    </row>
    <row r="776">
      <c r="B776" s="135"/>
      <c r="C776" s="182"/>
      <c r="D776" s="135"/>
      <c r="E776" s="135"/>
      <c r="F776" s="135"/>
      <c r="G776" s="135"/>
    </row>
    <row r="777">
      <c r="B777" s="135"/>
      <c r="C777" s="182"/>
      <c r="D777" s="135"/>
      <c r="E777" s="135"/>
      <c r="F777" s="135"/>
      <c r="G777" s="135"/>
    </row>
    <row r="778">
      <c r="B778" s="135"/>
      <c r="C778" s="182"/>
      <c r="D778" s="135"/>
      <c r="E778" s="135"/>
      <c r="F778" s="135"/>
      <c r="G778" s="135"/>
    </row>
    <row r="779">
      <c r="B779" s="135"/>
      <c r="C779" s="182"/>
      <c r="D779" s="135"/>
      <c r="E779" s="135"/>
      <c r="F779" s="135"/>
      <c r="G779" s="135"/>
    </row>
    <row r="780">
      <c r="B780" s="135"/>
      <c r="C780" s="182"/>
      <c r="D780" s="135"/>
      <c r="E780" s="135"/>
      <c r="F780" s="135"/>
      <c r="G780" s="135"/>
    </row>
    <row r="781">
      <c r="B781" s="135"/>
      <c r="C781" s="182"/>
      <c r="D781" s="135"/>
      <c r="E781" s="135"/>
      <c r="F781" s="135"/>
      <c r="G781" s="135"/>
    </row>
    <row r="782">
      <c r="B782" s="135"/>
      <c r="C782" s="182"/>
      <c r="D782" s="135"/>
      <c r="E782" s="135"/>
      <c r="F782" s="135"/>
      <c r="G782" s="135"/>
    </row>
    <row r="783">
      <c r="B783" s="135"/>
      <c r="C783" s="182"/>
      <c r="D783" s="135"/>
      <c r="E783" s="135"/>
      <c r="F783" s="135"/>
      <c r="G783" s="135"/>
    </row>
    <row r="784">
      <c r="B784" s="135"/>
      <c r="C784" s="182"/>
      <c r="D784" s="135"/>
      <c r="E784" s="135"/>
      <c r="F784" s="135"/>
      <c r="G784" s="135"/>
    </row>
    <row r="785">
      <c r="B785" s="135"/>
      <c r="C785" s="182"/>
      <c r="D785" s="135"/>
      <c r="E785" s="135"/>
      <c r="F785" s="135"/>
      <c r="G785" s="135"/>
    </row>
    <row r="786">
      <c r="B786" s="135"/>
      <c r="C786" s="182"/>
      <c r="D786" s="135"/>
      <c r="E786" s="135"/>
      <c r="F786" s="135"/>
      <c r="G786" s="135"/>
    </row>
    <row r="787">
      <c r="B787" s="135"/>
      <c r="C787" s="182"/>
      <c r="D787" s="135"/>
      <c r="E787" s="135"/>
      <c r="F787" s="135"/>
      <c r="G787" s="135"/>
    </row>
    <row r="788">
      <c r="B788" s="135"/>
      <c r="C788" s="182"/>
      <c r="D788" s="135"/>
      <c r="E788" s="135"/>
      <c r="F788" s="135"/>
      <c r="G788" s="135"/>
    </row>
    <row r="789">
      <c r="B789" s="135"/>
      <c r="C789" s="182"/>
      <c r="D789" s="135"/>
      <c r="E789" s="135"/>
      <c r="F789" s="135"/>
      <c r="G789" s="135"/>
    </row>
    <row r="790">
      <c r="B790" s="135"/>
      <c r="C790" s="182"/>
      <c r="D790" s="135"/>
      <c r="E790" s="135"/>
      <c r="F790" s="135"/>
      <c r="G790" s="135"/>
    </row>
    <row r="791">
      <c r="B791" s="135"/>
      <c r="C791" s="182"/>
      <c r="D791" s="135"/>
      <c r="E791" s="135"/>
      <c r="F791" s="135"/>
      <c r="G791" s="135"/>
    </row>
    <row r="792">
      <c r="B792" s="135"/>
      <c r="C792" s="182"/>
      <c r="D792" s="135"/>
      <c r="E792" s="135"/>
      <c r="F792" s="135"/>
      <c r="G792" s="135"/>
    </row>
    <row r="793">
      <c r="B793" s="135"/>
      <c r="C793" s="182"/>
      <c r="D793" s="135"/>
      <c r="E793" s="135"/>
      <c r="F793" s="135"/>
      <c r="G793" s="135"/>
    </row>
    <row r="794">
      <c r="B794" s="135"/>
      <c r="C794" s="182"/>
      <c r="D794" s="135"/>
      <c r="E794" s="135"/>
      <c r="F794" s="135"/>
      <c r="G794" s="135"/>
    </row>
    <row r="795">
      <c r="B795" s="135"/>
      <c r="C795" s="182"/>
      <c r="D795" s="135"/>
      <c r="E795" s="135"/>
      <c r="F795" s="135"/>
      <c r="G795" s="135"/>
    </row>
    <row r="796">
      <c r="B796" s="135"/>
      <c r="C796" s="182"/>
      <c r="D796" s="135"/>
      <c r="E796" s="135"/>
      <c r="F796" s="135"/>
      <c r="G796" s="135"/>
    </row>
    <row r="797">
      <c r="B797" s="135"/>
      <c r="C797" s="182"/>
      <c r="D797" s="135"/>
      <c r="E797" s="135"/>
      <c r="F797" s="135"/>
      <c r="G797" s="135"/>
    </row>
    <row r="798">
      <c r="B798" s="135"/>
      <c r="C798" s="182"/>
      <c r="D798" s="135"/>
      <c r="E798" s="135"/>
      <c r="F798" s="135"/>
      <c r="G798" s="135"/>
    </row>
    <row r="799">
      <c r="B799" s="135"/>
      <c r="C799" s="182"/>
      <c r="D799" s="135"/>
      <c r="E799" s="135"/>
      <c r="F799" s="135"/>
      <c r="G799" s="135"/>
    </row>
    <row r="800">
      <c r="B800" s="135"/>
      <c r="C800" s="182"/>
      <c r="D800" s="135"/>
      <c r="E800" s="135"/>
      <c r="F800" s="135"/>
      <c r="G800" s="135"/>
    </row>
    <row r="801">
      <c r="B801" s="135"/>
      <c r="C801" s="182"/>
      <c r="D801" s="135"/>
      <c r="E801" s="135"/>
      <c r="F801" s="135"/>
      <c r="G801" s="135"/>
    </row>
    <row r="802">
      <c r="B802" s="135"/>
      <c r="C802" s="182"/>
      <c r="D802" s="135"/>
      <c r="E802" s="135"/>
      <c r="F802" s="135"/>
      <c r="G802" s="135"/>
    </row>
    <row r="803">
      <c r="B803" s="135"/>
      <c r="C803" s="182"/>
      <c r="D803" s="135"/>
      <c r="E803" s="135"/>
      <c r="F803" s="135"/>
      <c r="G803" s="135"/>
    </row>
    <row r="804">
      <c r="B804" s="135"/>
      <c r="C804" s="182"/>
      <c r="D804" s="135"/>
      <c r="E804" s="135"/>
      <c r="F804" s="135"/>
      <c r="G804" s="135"/>
    </row>
    <row r="805">
      <c r="B805" s="135"/>
      <c r="C805" s="182"/>
      <c r="D805" s="135"/>
      <c r="E805" s="135"/>
      <c r="F805" s="135"/>
      <c r="G805" s="135"/>
    </row>
    <row r="806">
      <c r="B806" s="135"/>
      <c r="C806" s="182"/>
      <c r="D806" s="135"/>
      <c r="E806" s="135"/>
      <c r="F806" s="135"/>
      <c r="G806" s="135"/>
    </row>
    <row r="807">
      <c r="B807" s="135"/>
      <c r="C807" s="182"/>
      <c r="D807" s="135"/>
      <c r="E807" s="135"/>
      <c r="F807" s="135"/>
      <c r="G807" s="135"/>
    </row>
    <row r="808">
      <c r="B808" s="135"/>
      <c r="C808" s="182"/>
      <c r="D808" s="135"/>
      <c r="E808" s="135"/>
      <c r="F808" s="135"/>
      <c r="G808" s="135"/>
    </row>
    <row r="809">
      <c r="B809" s="135"/>
      <c r="C809" s="182"/>
      <c r="D809" s="135"/>
      <c r="E809" s="135"/>
      <c r="F809" s="135"/>
      <c r="G809" s="135"/>
    </row>
    <row r="810">
      <c r="B810" s="135"/>
      <c r="C810" s="182"/>
      <c r="D810" s="135"/>
      <c r="E810" s="135"/>
      <c r="F810" s="135"/>
      <c r="G810" s="135"/>
    </row>
    <row r="811">
      <c r="B811" s="135"/>
      <c r="C811" s="182"/>
      <c r="D811" s="135"/>
      <c r="E811" s="135"/>
      <c r="F811" s="135"/>
      <c r="G811" s="135"/>
    </row>
    <row r="812">
      <c r="B812" s="135"/>
      <c r="C812" s="182"/>
      <c r="D812" s="135"/>
      <c r="E812" s="135"/>
      <c r="F812" s="135"/>
      <c r="G812" s="135"/>
    </row>
    <row r="813">
      <c r="B813" s="135"/>
      <c r="C813" s="182"/>
      <c r="D813" s="135"/>
      <c r="E813" s="135"/>
      <c r="F813" s="135"/>
      <c r="G813" s="135"/>
    </row>
    <row r="814">
      <c r="B814" s="135"/>
      <c r="C814" s="182"/>
      <c r="D814" s="135"/>
      <c r="E814" s="135"/>
      <c r="F814" s="135"/>
      <c r="G814" s="135"/>
    </row>
    <row r="815">
      <c r="B815" s="135"/>
      <c r="C815" s="182"/>
      <c r="D815" s="135"/>
      <c r="E815" s="135"/>
      <c r="F815" s="135"/>
      <c r="G815" s="135"/>
    </row>
    <row r="816">
      <c r="B816" s="135"/>
      <c r="C816" s="182"/>
      <c r="D816" s="135"/>
      <c r="E816" s="135"/>
      <c r="F816" s="135"/>
      <c r="G816" s="135"/>
    </row>
    <row r="817">
      <c r="B817" s="135"/>
      <c r="C817" s="182"/>
      <c r="D817" s="135"/>
      <c r="E817" s="135"/>
      <c r="F817" s="135"/>
      <c r="G817" s="135"/>
    </row>
    <row r="818">
      <c r="B818" s="135"/>
      <c r="C818" s="182"/>
      <c r="D818" s="135"/>
      <c r="E818" s="135"/>
      <c r="F818" s="135"/>
      <c r="G818" s="135"/>
    </row>
    <row r="819">
      <c r="B819" s="135"/>
      <c r="C819" s="182"/>
      <c r="D819" s="135"/>
      <c r="E819" s="135"/>
      <c r="F819" s="135"/>
      <c r="G819" s="135"/>
    </row>
    <row r="820">
      <c r="B820" s="135"/>
      <c r="C820" s="182"/>
      <c r="D820" s="135"/>
      <c r="E820" s="135"/>
      <c r="F820" s="135"/>
      <c r="G820" s="135"/>
    </row>
    <row r="821">
      <c r="B821" s="135"/>
      <c r="C821" s="182"/>
      <c r="D821" s="135"/>
      <c r="E821" s="135"/>
      <c r="F821" s="135"/>
      <c r="G821" s="135"/>
    </row>
    <row r="822">
      <c r="B822" s="135"/>
      <c r="C822" s="182"/>
      <c r="D822" s="135"/>
      <c r="E822" s="135"/>
      <c r="F822" s="135"/>
      <c r="G822" s="135"/>
    </row>
    <row r="823">
      <c r="B823" s="135"/>
      <c r="C823" s="182"/>
      <c r="D823" s="135"/>
      <c r="E823" s="135"/>
      <c r="F823" s="135"/>
      <c r="G823" s="135"/>
    </row>
    <row r="824">
      <c r="B824" s="135"/>
      <c r="C824" s="182"/>
      <c r="D824" s="135"/>
      <c r="E824" s="135"/>
      <c r="F824" s="135"/>
      <c r="G824" s="135"/>
    </row>
    <row r="825">
      <c r="B825" s="135"/>
      <c r="C825" s="182"/>
      <c r="D825" s="135"/>
      <c r="E825" s="135"/>
      <c r="F825" s="135"/>
      <c r="G825" s="135"/>
    </row>
    <row r="826">
      <c r="B826" s="135"/>
      <c r="C826" s="182"/>
      <c r="D826" s="135"/>
      <c r="E826" s="135"/>
      <c r="F826" s="135"/>
      <c r="G826" s="135"/>
    </row>
    <row r="827">
      <c r="B827" s="135"/>
      <c r="C827" s="182"/>
      <c r="D827" s="135"/>
      <c r="E827" s="135"/>
      <c r="F827" s="135"/>
      <c r="G827" s="135"/>
    </row>
    <row r="828">
      <c r="B828" s="135"/>
      <c r="C828" s="182"/>
      <c r="D828" s="135"/>
      <c r="E828" s="135"/>
      <c r="F828" s="135"/>
      <c r="G828" s="135"/>
    </row>
    <row r="829">
      <c r="B829" s="135"/>
      <c r="C829" s="182"/>
      <c r="D829" s="135"/>
      <c r="E829" s="135"/>
      <c r="F829" s="135"/>
      <c r="G829" s="135"/>
    </row>
    <row r="830">
      <c r="B830" s="135"/>
      <c r="C830" s="182"/>
      <c r="D830" s="135"/>
      <c r="E830" s="135"/>
      <c r="F830" s="135"/>
      <c r="G830" s="135"/>
    </row>
    <row r="831">
      <c r="B831" s="135"/>
      <c r="C831" s="182"/>
      <c r="D831" s="135"/>
      <c r="E831" s="135"/>
      <c r="F831" s="135"/>
      <c r="G831" s="135"/>
    </row>
    <row r="832">
      <c r="B832" s="135"/>
      <c r="C832" s="182"/>
      <c r="D832" s="135"/>
      <c r="E832" s="135"/>
      <c r="F832" s="135"/>
      <c r="G832" s="135"/>
    </row>
    <row r="833">
      <c r="B833" s="135"/>
      <c r="C833" s="182"/>
      <c r="D833" s="135"/>
      <c r="E833" s="135"/>
      <c r="F833" s="135"/>
      <c r="G833" s="135"/>
    </row>
    <row r="834">
      <c r="B834" s="135"/>
      <c r="C834" s="182"/>
      <c r="D834" s="135"/>
      <c r="E834" s="135"/>
      <c r="F834" s="135"/>
      <c r="G834" s="135"/>
    </row>
    <row r="835">
      <c r="B835" s="135"/>
      <c r="C835" s="182"/>
      <c r="D835" s="135"/>
      <c r="E835" s="135"/>
      <c r="F835" s="135"/>
      <c r="G835" s="135"/>
    </row>
    <row r="836">
      <c r="B836" s="135"/>
      <c r="C836" s="182"/>
      <c r="D836" s="135"/>
      <c r="E836" s="135"/>
      <c r="F836" s="135"/>
      <c r="G836" s="135"/>
    </row>
    <row r="837">
      <c r="B837" s="135"/>
      <c r="C837" s="182"/>
      <c r="D837" s="135"/>
      <c r="E837" s="135"/>
      <c r="F837" s="135"/>
      <c r="G837" s="135"/>
    </row>
    <row r="838">
      <c r="B838" s="135"/>
      <c r="C838" s="182"/>
      <c r="D838" s="135"/>
      <c r="E838" s="135"/>
      <c r="F838" s="135"/>
      <c r="G838" s="135"/>
    </row>
    <row r="839">
      <c r="B839" s="135"/>
      <c r="C839" s="182"/>
      <c r="D839" s="135"/>
      <c r="E839" s="135"/>
      <c r="F839" s="135"/>
      <c r="G839" s="135"/>
    </row>
    <row r="840">
      <c r="B840" s="135"/>
      <c r="C840" s="182"/>
      <c r="D840" s="135"/>
      <c r="E840" s="135"/>
      <c r="F840" s="135"/>
      <c r="G840" s="135"/>
    </row>
    <row r="841">
      <c r="B841" s="135"/>
      <c r="C841" s="182"/>
      <c r="D841" s="135"/>
      <c r="E841" s="135"/>
      <c r="F841" s="135"/>
      <c r="G841" s="135"/>
    </row>
    <row r="842">
      <c r="B842" s="135"/>
      <c r="C842" s="182"/>
      <c r="D842" s="135"/>
      <c r="E842" s="135"/>
      <c r="F842" s="135"/>
      <c r="G842" s="135"/>
    </row>
    <row r="843">
      <c r="B843" s="135"/>
      <c r="C843" s="182"/>
      <c r="D843" s="135"/>
      <c r="E843" s="135"/>
      <c r="F843" s="135"/>
      <c r="G843" s="135"/>
    </row>
    <row r="844">
      <c r="B844" s="135"/>
      <c r="C844" s="182"/>
      <c r="D844" s="135"/>
      <c r="E844" s="135"/>
      <c r="F844" s="135"/>
      <c r="G844" s="135"/>
    </row>
    <row r="845">
      <c r="B845" s="135"/>
      <c r="C845" s="182"/>
      <c r="D845" s="135"/>
      <c r="E845" s="135"/>
      <c r="F845" s="135"/>
      <c r="G845" s="135"/>
    </row>
    <row r="846">
      <c r="B846" s="135"/>
      <c r="C846" s="182"/>
      <c r="D846" s="135"/>
      <c r="E846" s="135"/>
      <c r="F846" s="135"/>
      <c r="G846" s="135"/>
    </row>
    <row r="847">
      <c r="B847" s="135"/>
      <c r="C847" s="182"/>
      <c r="D847" s="135"/>
      <c r="E847" s="135"/>
      <c r="F847" s="135"/>
      <c r="G847" s="135"/>
    </row>
    <row r="848">
      <c r="B848" s="135"/>
      <c r="C848" s="182"/>
      <c r="D848" s="135"/>
      <c r="E848" s="135"/>
      <c r="F848" s="135"/>
      <c r="G848" s="135"/>
    </row>
    <row r="849">
      <c r="B849" s="135"/>
      <c r="C849" s="182"/>
      <c r="D849" s="135"/>
      <c r="E849" s="135"/>
      <c r="F849" s="135"/>
      <c r="G849" s="135"/>
    </row>
    <row r="850">
      <c r="B850" s="135"/>
      <c r="C850" s="182"/>
      <c r="D850" s="135"/>
      <c r="E850" s="135"/>
      <c r="F850" s="135"/>
      <c r="G850" s="135"/>
    </row>
    <row r="851">
      <c r="B851" s="135"/>
      <c r="C851" s="182"/>
      <c r="D851" s="135"/>
      <c r="E851" s="135"/>
      <c r="F851" s="135"/>
      <c r="G851" s="135"/>
    </row>
    <row r="852">
      <c r="B852" s="135"/>
      <c r="C852" s="182"/>
      <c r="D852" s="135"/>
      <c r="E852" s="135"/>
      <c r="F852" s="135"/>
      <c r="G852" s="135"/>
    </row>
    <row r="853">
      <c r="B853" s="135"/>
      <c r="C853" s="182"/>
      <c r="D853" s="135"/>
      <c r="E853" s="135"/>
      <c r="F853" s="135"/>
      <c r="G853" s="135"/>
    </row>
    <row r="854">
      <c r="B854" s="135"/>
      <c r="C854" s="182"/>
      <c r="D854" s="135"/>
      <c r="E854" s="135"/>
      <c r="F854" s="135"/>
      <c r="G854" s="135"/>
    </row>
    <row r="855">
      <c r="B855" s="135"/>
      <c r="C855" s="182"/>
      <c r="D855" s="135"/>
      <c r="E855" s="135"/>
      <c r="F855" s="135"/>
      <c r="G855" s="135"/>
    </row>
    <row r="856">
      <c r="B856" s="135"/>
      <c r="C856" s="182"/>
      <c r="D856" s="135"/>
      <c r="E856" s="135"/>
      <c r="F856" s="135"/>
      <c r="G856" s="135"/>
    </row>
    <row r="857">
      <c r="B857" s="135"/>
      <c r="C857" s="182"/>
      <c r="D857" s="135"/>
      <c r="E857" s="135"/>
      <c r="F857" s="135"/>
      <c r="G857" s="135"/>
    </row>
    <row r="858">
      <c r="B858" s="135"/>
      <c r="C858" s="182"/>
      <c r="D858" s="135"/>
      <c r="E858" s="135"/>
      <c r="F858" s="135"/>
      <c r="G858" s="135"/>
    </row>
    <row r="859">
      <c r="B859" s="135"/>
      <c r="C859" s="182"/>
      <c r="D859" s="135"/>
      <c r="E859" s="135"/>
      <c r="F859" s="135"/>
      <c r="G859" s="135"/>
    </row>
    <row r="860">
      <c r="B860" s="135"/>
      <c r="C860" s="182"/>
      <c r="D860" s="135"/>
      <c r="E860" s="135"/>
      <c r="F860" s="135"/>
      <c r="G860" s="135"/>
    </row>
    <row r="861">
      <c r="B861" s="135"/>
      <c r="C861" s="182"/>
      <c r="D861" s="135"/>
      <c r="E861" s="135"/>
      <c r="F861" s="135"/>
      <c r="G861" s="135"/>
    </row>
    <row r="862">
      <c r="B862" s="135"/>
      <c r="C862" s="182"/>
      <c r="D862" s="135"/>
      <c r="E862" s="135"/>
      <c r="F862" s="135"/>
      <c r="G862" s="135"/>
    </row>
    <row r="863">
      <c r="B863" s="135"/>
      <c r="C863" s="182"/>
      <c r="D863" s="135"/>
      <c r="E863" s="135"/>
      <c r="F863" s="135"/>
      <c r="G863" s="135"/>
    </row>
    <row r="864">
      <c r="B864" s="135"/>
      <c r="C864" s="182"/>
      <c r="D864" s="135"/>
      <c r="E864" s="135"/>
      <c r="F864" s="135"/>
      <c r="G864" s="135"/>
    </row>
    <row r="865">
      <c r="B865" s="135"/>
      <c r="C865" s="182"/>
      <c r="D865" s="135"/>
      <c r="E865" s="135"/>
      <c r="F865" s="135"/>
      <c r="G865" s="135"/>
    </row>
    <row r="866">
      <c r="B866" s="135"/>
      <c r="C866" s="182"/>
      <c r="D866" s="135"/>
      <c r="E866" s="135"/>
      <c r="F866" s="135"/>
      <c r="G866" s="135"/>
    </row>
    <row r="867">
      <c r="B867" s="135"/>
      <c r="C867" s="182"/>
      <c r="D867" s="135"/>
      <c r="E867" s="135"/>
      <c r="F867" s="135"/>
      <c r="G867" s="135"/>
    </row>
    <row r="868">
      <c r="B868" s="135"/>
      <c r="C868" s="182"/>
      <c r="D868" s="135"/>
      <c r="E868" s="135"/>
      <c r="F868" s="135"/>
      <c r="G868" s="135"/>
    </row>
    <row r="869">
      <c r="B869" s="135"/>
      <c r="C869" s="182"/>
      <c r="D869" s="135"/>
      <c r="E869" s="135"/>
      <c r="F869" s="135"/>
      <c r="G869" s="135"/>
    </row>
    <row r="870">
      <c r="B870" s="135"/>
      <c r="C870" s="182"/>
      <c r="D870" s="135"/>
      <c r="E870" s="135"/>
      <c r="F870" s="135"/>
      <c r="G870" s="135"/>
    </row>
    <row r="871">
      <c r="B871" s="135"/>
      <c r="C871" s="182"/>
      <c r="D871" s="135"/>
      <c r="E871" s="135"/>
      <c r="F871" s="135"/>
      <c r="G871" s="135"/>
    </row>
    <row r="872">
      <c r="B872" s="135"/>
      <c r="C872" s="182"/>
      <c r="D872" s="135"/>
      <c r="E872" s="135"/>
      <c r="F872" s="135"/>
      <c r="G872" s="135"/>
    </row>
    <row r="873">
      <c r="B873" s="135"/>
      <c r="C873" s="182"/>
      <c r="D873" s="135"/>
      <c r="E873" s="135"/>
      <c r="F873" s="135"/>
      <c r="G873" s="135"/>
    </row>
    <row r="874">
      <c r="B874" s="135"/>
      <c r="C874" s="182"/>
      <c r="D874" s="135"/>
      <c r="E874" s="135"/>
      <c r="F874" s="135"/>
      <c r="G874" s="135"/>
    </row>
    <row r="875">
      <c r="B875" s="135"/>
      <c r="C875" s="182"/>
      <c r="D875" s="135"/>
      <c r="E875" s="135"/>
      <c r="F875" s="135"/>
      <c r="G875" s="135"/>
    </row>
    <row r="876">
      <c r="B876" s="135"/>
      <c r="C876" s="182"/>
      <c r="D876" s="135"/>
      <c r="E876" s="135"/>
      <c r="F876" s="135"/>
      <c r="G876" s="135"/>
    </row>
    <row r="877">
      <c r="B877" s="135"/>
      <c r="C877" s="182"/>
      <c r="D877" s="135"/>
      <c r="E877" s="135"/>
      <c r="F877" s="135"/>
      <c r="G877" s="135"/>
    </row>
    <row r="878">
      <c r="B878" s="135"/>
      <c r="C878" s="182"/>
      <c r="D878" s="135"/>
      <c r="E878" s="135"/>
      <c r="F878" s="135"/>
      <c r="G878" s="135"/>
    </row>
    <row r="879">
      <c r="B879" s="135"/>
      <c r="C879" s="182"/>
      <c r="D879" s="135"/>
      <c r="E879" s="135"/>
      <c r="F879" s="135"/>
      <c r="G879" s="135"/>
    </row>
    <row r="880">
      <c r="B880" s="135"/>
      <c r="C880" s="182"/>
      <c r="D880" s="135"/>
      <c r="E880" s="135"/>
      <c r="F880" s="135"/>
      <c r="G880" s="135"/>
    </row>
    <row r="881">
      <c r="B881" s="135"/>
      <c r="C881" s="182"/>
      <c r="D881" s="135"/>
      <c r="E881" s="135"/>
      <c r="F881" s="135"/>
      <c r="G881" s="135"/>
    </row>
    <row r="882">
      <c r="B882" s="135"/>
      <c r="C882" s="182"/>
      <c r="D882" s="135"/>
      <c r="E882" s="135"/>
      <c r="F882" s="135"/>
      <c r="G882" s="135"/>
    </row>
    <row r="883">
      <c r="B883" s="135"/>
      <c r="C883" s="182"/>
      <c r="D883" s="135"/>
      <c r="E883" s="135"/>
      <c r="F883" s="135"/>
      <c r="G883" s="135"/>
    </row>
    <row r="884">
      <c r="B884" s="135"/>
      <c r="C884" s="182"/>
      <c r="D884" s="135"/>
      <c r="E884" s="135"/>
      <c r="F884" s="135"/>
      <c r="G884" s="135"/>
    </row>
    <row r="885">
      <c r="B885" s="135"/>
      <c r="C885" s="182"/>
      <c r="D885" s="135"/>
      <c r="E885" s="135"/>
      <c r="F885" s="135"/>
      <c r="G885" s="135"/>
    </row>
    <row r="886">
      <c r="B886" s="135"/>
      <c r="C886" s="182"/>
      <c r="D886" s="135"/>
      <c r="E886" s="135"/>
      <c r="F886" s="135"/>
      <c r="G886" s="135"/>
    </row>
    <row r="887">
      <c r="B887" s="135"/>
      <c r="C887" s="182"/>
      <c r="D887" s="135"/>
      <c r="E887" s="135"/>
      <c r="F887" s="135"/>
      <c r="G887" s="135"/>
    </row>
    <row r="888">
      <c r="B888" s="135"/>
      <c r="C888" s="182"/>
      <c r="D888" s="135"/>
      <c r="E888" s="135"/>
      <c r="F888" s="135"/>
      <c r="G888" s="135"/>
    </row>
    <row r="889">
      <c r="B889" s="135"/>
      <c r="C889" s="182"/>
      <c r="D889" s="135"/>
      <c r="E889" s="135"/>
      <c r="F889" s="135"/>
      <c r="G889" s="135"/>
    </row>
    <row r="890">
      <c r="B890" s="135"/>
      <c r="C890" s="182"/>
      <c r="D890" s="135"/>
      <c r="E890" s="135"/>
      <c r="F890" s="135"/>
      <c r="G890" s="135"/>
    </row>
    <row r="891">
      <c r="B891" s="135"/>
      <c r="C891" s="182"/>
      <c r="D891" s="135"/>
      <c r="E891" s="135"/>
      <c r="F891" s="135"/>
      <c r="G891" s="135"/>
    </row>
    <row r="892">
      <c r="B892" s="135"/>
      <c r="C892" s="182"/>
      <c r="D892" s="135"/>
      <c r="E892" s="135"/>
      <c r="F892" s="135"/>
      <c r="G892" s="135"/>
    </row>
    <row r="893">
      <c r="B893" s="135"/>
      <c r="C893" s="182"/>
      <c r="D893" s="135"/>
      <c r="E893" s="135"/>
      <c r="F893" s="135"/>
      <c r="G893" s="135"/>
    </row>
    <row r="894">
      <c r="B894" s="135"/>
      <c r="C894" s="182"/>
      <c r="D894" s="135"/>
      <c r="E894" s="135"/>
      <c r="F894" s="135"/>
      <c r="G894" s="135"/>
    </row>
    <row r="895">
      <c r="B895" s="135"/>
      <c r="C895" s="182"/>
      <c r="D895" s="135"/>
      <c r="E895" s="135"/>
      <c r="F895" s="135"/>
      <c r="G895" s="135"/>
    </row>
    <row r="896">
      <c r="B896" s="135"/>
      <c r="C896" s="182"/>
      <c r="D896" s="135"/>
      <c r="E896" s="135"/>
      <c r="F896" s="135"/>
      <c r="G896" s="135"/>
    </row>
    <row r="897">
      <c r="B897" s="135"/>
      <c r="C897" s="182"/>
      <c r="D897" s="135"/>
      <c r="E897" s="135"/>
      <c r="F897" s="135"/>
      <c r="G897" s="135"/>
    </row>
    <row r="898">
      <c r="B898" s="135"/>
      <c r="C898" s="182"/>
      <c r="D898" s="135"/>
      <c r="E898" s="135"/>
      <c r="F898" s="135"/>
      <c r="G898" s="135"/>
    </row>
    <row r="899">
      <c r="B899" s="135"/>
      <c r="C899" s="182"/>
      <c r="D899" s="135"/>
      <c r="E899" s="135"/>
      <c r="F899" s="135"/>
      <c r="G899" s="135"/>
    </row>
    <row r="900">
      <c r="B900" s="135"/>
      <c r="C900" s="182"/>
      <c r="D900" s="135"/>
      <c r="E900" s="135"/>
      <c r="F900" s="135"/>
      <c r="G900" s="135"/>
    </row>
    <row r="901">
      <c r="B901" s="135"/>
      <c r="C901" s="182"/>
      <c r="D901" s="135"/>
      <c r="E901" s="135"/>
      <c r="F901" s="135"/>
      <c r="G901" s="135"/>
    </row>
    <row r="902">
      <c r="B902" s="135"/>
      <c r="C902" s="182"/>
      <c r="D902" s="135"/>
      <c r="E902" s="135"/>
      <c r="F902" s="135"/>
      <c r="G902" s="135"/>
    </row>
    <row r="903">
      <c r="B903" s="135"/>
      <c r="C903" s="182"/>
      <c r="D903" s="135"/>
      <c r="E903" s="135"/>
      <c r="F903" s="135"/>
      <c r="G903" s="135"/>
    </row>
    <row r="904">
      <c r="B904" s="135"/>
      <c r="C904" s="182"/>
      <c r="D904" s="135"/>
      <c r="E904" s="135"/>
      <c r="F904" s="135"/>
      <c r="G904" s="135"/>
    </row>
    <row r="905">
      <c r="B905" s="135"/>
      <c r="C905" s="182"/>
      <c r="D905" s="135"/>
      <c r="E905" s="135"/>
      <c r="F905" s="135"/>
      <c r="G905" s="135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